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TDZ_Project_BA\"/>
    </mc:Choice>
  </mc:AlternateContent>
  <xr:revisionPtr revIDLastSave="0" documentId="8_{3A864A11-2632-434B-B75A-591160F76056}" xr6:coauthVersionLast="47" xr6:coauthVersionMax="47" xr10:uidLastSave="{00000000-0000-0000-0000-000000000000}"/>
  <bookViews>
    <workbookView xWindow="-108" yWindow="-108" windowWidth="23256" windowHeight="14016" tabRatio="500" xr2:uid="{00000000-000D-0000-FFFF-FFFF00000000}"/>
  </bookViews>
  <sheets>
    <sheet name="Dashboard" sheetId="1" r:id="rId1"/>
    <sheet name="Products" sheetId="2" r:id="rId2"/>
    <sheet name="PlatformFees" sheetId="3" r:id="rId3"/>
    <sheet name="RawData" sheetId="4" r:id="rId4"/>
    <sheet name="ProductProfitability" sheetId="5" r:id="rId5"/>
    <sheet name="InventoryAlert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7" i="6" l="1"/>
  <c r="I37" i="6" s="1"/>
  <c r="C37" i="6"/>
  <c r="H36" i="6"/>
  <c r="I36" i="6" s="1"/>
  <c r="C36" i="6"/>
  <c r="H35" i="6"/>
  <c r="I35" i="6" s="1"/>
  <c r="C35" i="6"/>
  <c r="H34" i="6"/>
  <c r="I34" i="6" s="1"/>
  <c r="C34" i="6"/>
  <c r="I33" i="6"/>
  <c r="H33" i="6"/>
  <c r="C33" i="6"/>
  <c r="I32" i="6"/>
  <c r="H32" i="6"/>
  <c r="C32" i="6"/>
  <c r="I31" i="6"/>
  <c r="H31" i="6"/>
  <c r="C31" i="6"/>
  <c r="I30" i="6"/>
  <c r="H30" i="6"/>
  <c r="C30" i="6"/>
  <c r="I29" i="6"/>
  <c r="H29" i="6"/>
  <c r="C29" i="6"/>
  <c r="I28" i="6"/>
  <c r="H28" i="6"/>
  <c r="C28" i="6"/>
  <c r="I27" i="6"/>
  <c r="H27" i="6"/>
  <c r="C27" i="6"/>
  <c r="I26" i="6"/>
  <c r="H26" i="6"/>
  <c r="C26" i="6"/>
  <c r="I25" i="6"/>
  <c r="H25" i="6"/>
  <c r="C25" i="6"/>
  <c r="I24" i="6"/>
  <c r="H24" i="6"/>
  <c r="C24" i="6"/>
  <c r="I23" i="6"/>
  <c r="H23" i="6"/>
  <c r="C23" i="6"/>
  <c r="I22" i="6"/>
  <c r="H22" i="6"/>
  <c r="C22" i="6"/>
  <c r="I21" i="6"/>
  <c r="H21" i="6"/>
  <c r="C21" i="6"/>
  <c r="I20" i="6"/>
  <c r="H20" i="6"/>
  <c r="C20" i="6"/>
  <c r="I19" i="6"/>
  <c r="H19" i="6"/>
  <c r="C19" i="6"/>
  <c r="I18" i="6"/>
  <c r="H18" i="6"/>
  <c r="C18" i="6"/>
  <c r="I17" i="6"/>
  <c r="H17" i="6"/>
  <c r="C17" i="6"/>
  <c r="I16" i="6"/>
  <c r="H16" i="6"/>
  <c r="C16" i="6"/>
  <c r="I15" i="6"/>
  <c r="H15" i="6"/>
  <c r="C15" i="6"/>
  <c r="I14" i="6"/>
  <c r="H14" i="6"/>
  <c r="C14" i="6"/>
  <c r="I13" i="6"/>
  <c r="H13" i="6"/>
  <c r="C13" i="6"/>
  <c r="I12" i="6"/>
  <c r="H12" i="6"/>
  <c r="C12" i="6"/>
  <c r="I11" i="6"/>
  <c r="H11" i="6"/>
  <c r="C11" i="6"/>
  <c r="I10" i="6"/>
  <c r="H10" i="6"/>
  <c r="C10" i="6"/>
  <c r="I9" i="6"/>
  <c r="H9" i="6"/>
  <c r="C9" i="6"/>
  <c r="I8" i="6"/>
  <c r="H8" i="6"/>
  <c r="C8" i="6"/>
  <c r="I7" i="6"/>
  <c r="H7" i="6"/>
  <c r="C7" i="6"/>
  <c r="I6" i="6"/>
  <c r="H6" i="6"/>
  <c r="C6" i="6"/>
  <c r="I5" i="6"/>
  <c r="H5" i="6"/>
  <c r="C5" i="6"/>
  <c r="D14" i="5"/>
  <c r="D13" i="5"/>
  <c r="D12" i="5"/>
  <c r="D11" i="5"/>
  <c r="D10" i="5"/>
  <c r="D9" i="5"/>
  <c r="D8" i="5"/>
  <c r="D7" i="5"/>
  <c r="D15" i="5" s="1"/>
  <c r="J1587" i="4"/>
  <c r="L1587" i="4" s="1"/>
  <c r="I1587" i="4"/>
  <c r="K1587" i="4" s="1"/>
  <c r="H1587" i="4"/>
  <c r="G1587" i="4"/>
  <c r="J1586" i="4"/>
  <c r="L1586" i="4" s="1"/>
  <c r="M1586" i="4" s="1"/>
  <c r="N1586" i="4" s="1"/>
  <c r="I1586" i="4"/>
  <c r="K1586" i="4" s="1"/>
  <c r="H1586" i="4"/>
  <c r="G1586" i="4"/>
  <c r="J1585" i="4"/>
  <c r="L1585" i="4" s="1"/>
  <c r="M1585" i="4" s="1"/>
  <c r="N1585" i="4" s="1"/>
  <c r="I1585" i="4"/>
  <c r="K1585" i="4" s="1"/>
  <c r="H1585" i="4"/>
  <c r="G1585" i="4"/>
  <c r="K1584" i="4"/>
  <c r="J1584" i="4"/>
  <c r="L1584" i="4" s="1"/>
  <c r="M1584" i="4" s="1"/>
  <c r="N1584" i="4" s="1"/>
  <c r="I1584" i="4"/>
  <c r="H1584" i="4"/>
  <c r="G1584" i="4"/>
  <c r="J1583" i="4"/>
  <c r="L1583" i="4" s="1"/>
  <c r="M1583" i="4" s="1"/>
  <c r="N1583" i="4" s="1"/>
  <c r="I1583" i="4"/>
  <c r="K1583" i="4" s="1"/>
  <c r="H1583" i="4"/>
  <c r="G1583" i="4"/>
  <c r="J1582" i="4"/>
  <c r="L1582" i="4" s="1"/>
  <c r="M1582" i="4" s="1"/>
  <c r="N1582" i="4" s="1"/>
  <c r="I1582" i="4"/>
  <c r="K1582" i="4" s="1"/>
  <c r="H1582" i="4"/>
  <c r="G1582" i="4"/>
  <c r="K1581" i="4"/>
  <c r="J1581" i="4"/>
  <c r="L1581" i="4" s="1"/>
  <c r="M1581" i="4" s="1"/>
  <c r="N1581" i="4" s="1"/>
  <c r="I1581" i="4"/>
  <c r="H1581" i="4"/>
  <c r="G1581" i="4"/>
  <c r="K1580" i="4"/>
  <c r="J1580" i="4"/>
  <c r="L1580" i="4" s="1"/>
  <c r="M1580" i="4" s="1"/>
  <c r="N1580" i="4" s="1"/>
  <c r="I1580" i="4"/>
  <c r="H1580" i="4"/>
  <c r="G1580" i="4"/>
  <c r="L1579" i="4"/>
  <c r="M1579" i="4" s="1"/>
  <c r="N1579" i="4" s="1"/>
  <c r="J1579" i="4"/>
  <c r="I1579" i="4"/>
  <c r="K1579" i="4" s="1"/>
  <c r="H1579" i="4"/>
  <c r="G1579" i="4"/>
  <c r="J1578" i="4"/>
  <c r="L1578" i="4" s="1"/>
  <c r="I1578" i="4"/>
  <c r="K1578" i="4" s="1"/>
  <c r="M1578" i="4" s="1"/>
  <c r="N1578" i="4" s="1"/>
  <c r="H1578" i="4"/>
  <c r="G1578" i="4"/>
  <c r="K1577" i="4"/>
  <c r="J1577" i="4"/>
  <c r="L1577" i="4" s="1"/>
  <c r="M1577" i="4" s="1"/>
  <c r="N1577" i="4" s="1"/>
  <c r="I1577" i="4"/>
  <c r="H1577" i="4"/>
  <c r="G1577" i="4"/>
  <c r="J1576" i="4"/>
  <c r="L1576" i="4" s="1"/>
  <c r="M1576" i="4" s="1"/>
  <c r="N1576" i="4" s="1"/>
  <c r="I1576" i="4"/>
  <c r="K1576" i="4" s="1"/>
  <c r="H1576" i="4"/>
  <c r="G1576" i="4"/>
  <c r="K1575" i="4"/>
  <c r="M1575" i="4" s="1"/>
  <c r="N1575" i="4" s="1"/>
  <c r="J1575" i="4"/>
  <c r="L1575" i="4" s="1"/>
  <c r="I1575" i="4"/>
  <c r="H1575" i="4"/>
  <c r="G1575" i="4"/>
  <c r="J1574" i="4"/>
  <c r="L1574" i="4" s="1"/>
  <c r="M1574" i="4" s="1"/>
  <c r="N1574" i="4" s="1"/>
  <c r="I1574" i="4"/>
  <c r="K1574" i="4" s="1"/>
  <c r="H1574" i="4"/>
  <c r="G1574" i="4"/>
  <c r="J1573" i="4"/>
  <c r="L1573" i="4" s="1"/>
  <c r="M1573" i="4" s="1"/>
  <c r="N1573" i="4" s="1"/>
  <c r="I1573" i="4"/>
  <c r="K1573" i="4" s="1"/>
  <c r="H1573" i="4"/>
  <c r="G1573" i="4"/>
  <c r="K1572" i="4"/>
  <c r="J1572" i="4"/>
  <c r="L1572" i="4" s="1"/>
  <c r="M1572" i="4" s="1"/>
  <c r="N1572" i="4" s="1"/>
  <c r="I1572" i="4"/>
  <c r="H1572" i="4"/>
  <c r="G1572" i="4"/>
  <c r="J1571" i="4"/>
  <c r="L1571" i="4" s="1"/>
  <c r="I1571" i="4"/>
  <c r="K1571" i="4" s="1"/>
  <c r="H1571" i="4"/>
  <c r="G1571" i="4"/>
  <c r="M1570" i="4"/>
  <c r="N1570" i="4" s="1"/>
  <c r="L1570" i="4"/>
  <c r="J1570" i="4"/>
  <c r="I1570" i="4"/>
  <c r="K1570" i="4" s="1"/>
  <c r="H1570" i="4"/>
  <c r="G1570" i="4"/>
  <c r="J1569" i="4"/>
  <c r="L1569" i="4" s="1"/>
  <c r="M1569" i="4" s="1"/>
  <c r="N1569" i="4" s="1"/>
  <c r="I1569" i="4"/>
  <c r="K1569" i="4" s="1"/>
  <c r="H1569" i="4"/>
  <c r="G1569" i="4"/>
  <c r="J1568" i="4"/>
  <c r="L1568" i="4" s="1"/>
  <c r="I1568" i="4"/>
  <c r="K1568" i="4" s="1"/>
  <c r="H1568" i="4"/>
  <c r="G1568" i="4"/>
  <c r="J1567" i="4"/>
  <c r="L1567" i="4" s="1"/>
  <c r="M1567" i="4" s="1"/>
  <c r="N1567" i="4" s="1"/>
  <c r="I1567" i="4"/>
  <c r="K1567" i="4" s="1"/>
  <c r="H1567" i="4"/>
  <c r="G1567" i="4"/>
  <c r="K1566" i="4"/>
  <c r="J1566" i="4"/>
  <c r="L1566" i="4" s="1"/>
  <c r="I1566" i="4"/>
  <c r="H1566" i="4"/>
  <c r="G1566" i="4"/>
  <c r="J1565" i="4"/>
  <c r="L1565" i="4" s="1"/>
  <c r="M1565" i="4" s="1"/>
  <c r="N1565" i="4" s="1"/>
  <c r="I1565" i="4"/>
  <c r="K1565" i="4" s="1"/>
  <c r="H1565" i="4"/>
  <c r="G1565" i="4"/>
  <c r="K1564" i="4"/>
  <c r="J1564" i="4"/>
  <c r="L1564" i="4" s="1"/>
  <c r="M1564" i="4" s="1"/>
  <c r="N1564" i="4" s="1"/>
  <c r="I1564" i="4"/>
  <c r="H1564" i="4"/>
  <c r="G1564" i="4"/>
  <c r="K1563" i="4"/>
  <c r="M1563" i="4" s="1"/>
  <c r="N1563" i="4" s="1"/>
  <c r="J1563" i="4"/>
  <c r="L1563" i="4" s="1"/>
  <c r="I1563" i="4"/>
  <c r="H1563" i="4"/>
  <c r="G1563" i="4"/>
  <c r="L1562" i="4"/>
  <c r="J1562" i="4"/>
  <c r="I1562" i="4"/>
  <c r="K1562" i="4" s="1"/>
  <c r="H1562" i="4"/>
  <c r="G1562" i="4"/>
  <c r="K1561" i="4"/>
  <c r="J1561" i="4"/>
  <c r="L1561" i="4" s="1"/>
  <c r="M1561" i="4" s="1"/>
  <c r="N1561" i="4" s="1"/>
  <c r="I1561" i="4"/>
  <c r="H1561" i="4"/>
  <c r="G1561" i="4"/>
  <c r="J1560" i="4"/>
  <c r="L1560" i="4" s="1"/>
  <c r="I1560" i="4"/>
  <c r="K1560" i="4" s="1"/>
  <c r="H1560" i="4"/>
  <c r="G1560" i="4"/>
  <c r="L1559" i="4"/>
  <c r="J1559" i="4"/>
  <c r="I1559" i="4"/>
  <c r="K1559" i="4" s="1"/>
  <c r="H1559" i="4"/>
  <c r="G1559" i="4"/>
  <c r="K1558" i="4"/>
  <c r="J1558" i="4"/>
  <c r="L1558" i="4" s="1"/>
  <c r="M1558" i="4" s="1"/>
  <c r="N1558" i="4" s="1"/>
  <c r="I1558" i="4"/>
  <c r="H1558" i="4"/>
  <c r="G1558" i="4"/>
  <c r="J1557" i="4"/>
  <c r="L1557" i="4" s="1"/>
  <c r="I1557" i="4"/>
  <c r="K1557" i="4" s="1"/>
  <c r="M1557" i="4" s="1"/>
  <c r="N1557" i="4" s="1"/>
  <c r="H1557" i="4"/>
  <c r="G1557" i="4"/>
  <c r="L1556" i="4"/>
  <c r="J1556" i="4"/>
  <c r="I1556" i="4"/>
  <c r="K1556" i="4" s="1"/>
  <c r="H1556" i="4"/>
  <c r="G1556" i="4"/>
  <c r="K1555" i="4"/>
  <c r="J1555" i="4"/>
  <c r="L1555" i="4" s="1"/>
  <c r="M1555" i="4" s="1"/>
  <c r="N1555" i="4" s="1"/>
  <c r="I1555" i="4"/>
  <c r="H1555" i="4"/>
  <c r="G1555" i="4"/>
  <c r="K1554" i="4"/>
  <c r="M1554" i="4" s="1"/>
  <c r="N1554" i="4" s="1"/>
  <c r="J1554" i="4"/>
  <c r="L1554" i="4" s="1"/>
  <c r="I1554" i="4"/>
  <c r="H1554" i="4"/>
  <c r="G1554" i="4"/>
  <c r="J1553" i="4"/>
  <c r="L1553" i="4" s="1"/>
  <c r="M1553" i="4" s="1"/>
  <c r="N1553" i="4" s="1"/>
  <c r="I1553" i="4"/>
  <c r="K1553" i="4" s="1"/>
  <c r="H1553" i="4"/>
  <c r="G1553" i="4"/>
  <c r="M1552" i="4"/>
  <c r="N1552" i="4" s="1"/>
  <c r="K1552" i="4"/>
  <c r="J1552" i="4"/>
  <c r="L1552" i="4" s="1"/>
  <c r="I1552" i="4"/>
  <c r="H1552" i="4"/>
  <c r="G1552" i="4"/>
  <c r="M1551" i="4"/>
  <c r="N1551" i="4" s="1"/>
  <c r="L1551" i="4"/>
  <c r="J1551" i="4"/>
  <c r="I1551" i="4"/>
  <c r="K1551" i="4" s="1"/>
  <c r="H1551" i="4"/>
  <c r="G1551" i="4"/>
  <c r="K1550" i="4"/>
  <c r="J1550" i="4"/>
  <c r="L1550" i="4" s="1"/>
  <c r="M1550" i="4" s="1"/>
  <c r="N1550" i="4" s="1"/>
  <c r="I1550" i="4"/>
  <c r="H1550" i="4"/>
  <c r="G1550" i="4"/>
  <c r="K1549" i="4"/>
  <c r="J1549" i="4"/>
  <c r="L1549" i="4" s="1"/>
  <c r="M1549" i="4" s="1"/>
  <c r="N1549" i="4" s="1"/>
  <c r="I1549" i="4"/>
  <c r="H1549" i="4"/>
  <c r="G1549" i="4"/>
  <c r="L1548" i="4"/>
  <c r="K1548" i="4"/>
  <c r="M1548" i="4" s="1"/>
  <c r="N1548" i="4" s="1"/>
  <c r="J1548" i="4"/>
  <c r="I1548" i="4"/>
  <c r="H1548" i="4"/>
  <c r="G1548" i="4"/>
  <c r="K1547" i="4"/>
  <c r="J1547" i="4"/>
  <c r="L1547" i="4" s="1"/>
  <c r="M1547" i="4" s="1"/>
  <c r="N1547" i="4" s="1"/>
  <c r="I1547" i="4"/>
  <c r="H1547" i="4"/>
  <c r="G1547" i="4"/>
  <c r="L1546" i="4"/>
  <c r="M1546" i="4" s="1"/>
  <c r="N1546" i="4" s="1"/>
  <c r="K1546" i="4"/>
  <c r="J1546" i="4"/>
  <c r="I1546" i="4"/>
  <c r="H1546" i="4"/>
  <c r="G1546" i="4"/>
  <c r="L1545" i="4"/>
  <c r="J1545" i="4"/>
  <c r="I1545" i="4"/>
  <c r="K1545" i="4" s="1"/>
  <c r="M1545" i="4" s="1"/>
  <c r="N1545" i="4" s="1"/>
  <c r="H1545" i="4"/>
  <c r="G1545" i="4"/>
  <c r="L1544" i="4"/>
  <c r="J1544" i="4"/>
  <c r="I1544" i="4"/>
  <c r="K1544" i="4" s="1"/>
  <c r="H1544" i="4"/>
  <c r="G1544" i="4"/>
  <c r="K1543" i="4"/>
  <c r="J1543" i="4"/>
  <c r="L1543" i="4" s="1"/>
  <c r="M1543" i="4" s="1"/>
  <c r="N1543" i="4" s="1"/>
  <c r="I1543" i="4"/>
  <c r="H1543" i="4"/>
  <c r="G1543" i="4"/>
  <c r="J1542" i="4"/>
  <c r="L1542" i="4" s="1"/>
  <c r="M1542" i="4" s="1"/>
  <c r="N1542" i="4" s="1"/>
  <c r="I1542" i="4"/>
  <c r="K1542" i="4" s="1"/>
  <c r="H1542" i="4"/>
  <c r="G1542" i="4"/>
  <c r="N1541" i="4"/>
  <c r="L1541" i="4"/>
  <c r="M1541" i="4" s="1"/>
  <c r="J1541" i="4"/>
  <c r="I1541" i="4"/>
  <c r="K1541" i="4" s="1"/>
  <c r="H1541" i="4"/>
  <c r="G1541" i="4"/>
  <c r="K1540" i="4"/>
  <c r="J1540" i="4"/>
  <c r="L1540" i="4" s="1"/>
  <c r="M1540" i="4" s="1"/>
  <c r="N1540" i="4" s="1"/>
  <c r="I1540" i="4"/>
  <c r="H1540" i="4"/>
  <c r="G1540" i="4"/>
  <c r="K1539" i="4"/>
  <c r="M1539" i="4" s="1"/>
  <c r="N1539" i="4" s="1"/>
  <c r="J1539" i="4"/>
  <c r="L1539" i="4" s="1"/>
  <c r="I1539" i="4"/>
  <c r="H1539" i="4"/>
  <c r="G1539" i="4"/>
  <c r="J1538" i="4"/>
  <c r="L1538" i="4" s="1"/>
  <c r="I1538" i="4"/>
  <c r="K1538" i="4" s="1"/>
  <c r="H1538" i="4"/>
  <c r="G1538" i="4"/>
  <c r="M1537" i="4"/>
  <c r="N1537" i="4" s="1"/>
  <c r="K1537" i="4"/>
  <c r="J1537" i="4"/>
  <c r="L1537" i="4" s="1"/>
  <c r="I1537" i="4"/>
  <c r="H1537" i="4"/>
  <c r="G1537" i="4"/>
  <c r="M1536" i="4"/>
  <c r="N1536" i="4" s="1"/>
  <c r="L1536" i="4"/>
  <c r="J1536" i="4"/>
  <c r="I1536" i="4"/>
  <c r="K1536" i="4" s="1"/>
  <c r="H1536" i="4"/>
  <c r="G1536" i="4"/>
  <c r="K1535" i="4"/>
  <c r="J1535" i="4"/>
  <c r="L1535" i="4" s="1"/>
  <c r="M1535" i="4" s="1"/>
  <c r="N1535" i="4" s="1"/>
  <c r="I1535" i="4"/>
  <c r="H1535" i="4"/>
  <c r="G1535" i="4"/>
  <c r="K1534" i="4"/>
  <c r="J1534" i="4"/>
  <c r="L1534" i="4" s="1"/>
  <c r="M1534" i="4" s="1"/>
  <c r="N1534" i="4" s="1"/>
  <c r="I1534" i="4"/>
  <c r="H1534" i="4"/>
  <c r="G1534" i="4"/>
  <c r="L1533" i="4"/>
  <c r="K1533" i="4"/>
  <c r="M1533" i="4" s="1"/>
  <c r="N1533" i="4" s="1"/>
  <c r="J1533" i="4"/>
  <c r="I1533" i="4"/>
  <c r="H1533" i="4"/>
  <c r="G1533" i="4"/>
  <c r="J1532" i="4"/>
  <c r="L1532" i="4" s="1"/>
  <c r="M1532" i="4" s="1"/>
  <c r="N1532" i="4" s="1"/>
  <c r="I1532" i="4"/>
  <c r="K1532" i="4" s="1"/>
  <c r="H1532" i="4"/>
  <c r="G1532" i="4"/>
  <c r="L1531" i="4"/>
  <c r="M1531" i="4" s="1"/>
  <c r="N1531" i="4" s="1"/>
  <c r="K1531" i="4"/>
  <c r="J1531" i="4"/>
  <c r="I1531" i="4"/>
  <c r="H1531" i="4"/>
  <c r="G1531" i="4"/>
  <c r="L1530" i="4"/>
  <c r="J1530" i="4"/>
  <c r="I1530" i="4"/>
  <c r="K1530" i="4" s="1"/>
  <c r="M1530" i="4" s="1"/>
  <c r="N1530" i="4" s="1"/>
  <c r="H1530" i="4"/>
  <c r="G1530" i="4"/>
  <c r="L1529" i="4"/>
  <c r="M1529" i="4" s="1"/>
  <c r="N1529" i="4" s="1"/>
  <c r="J1529" i="4"/>
  <c r="I1529" i="4"/>
  <c r="K1529" i="4" s="1"/>
  <c r="H1529" i="4"/>
  <c r="G1529" i="4"/>
  <c r="K1528" i="4"/>
  <c r="J1528" i="4"/>
  <c r="L1528" i="4" s="1"/>
  <c r="M1528" i="4" s="1"/>
  <c r="N1528" i="4" s="1"/>
  <c r="I1528" i="4"/>
  <c r="H1528" i="4"/>
  <c r="G1528" i="4"/>
  <c r="L1527" i="4"/>
  <c r="J1527" i="4"/>
  <c r="I1527" i="4"/>
  <c r="K1527" i="4" s="1"/>
  <c r="M1527" i="4" s="1"/>
  <c r="N1527" i="4" s="1"/>
  <c r="H1527" i="4"/>
  <c r="G1527" i="4"/>
  <c r="K1526" i="4"/>
  <c r="J1526" i="4"/>
  <c r="L1526" i="4" s="1"/>
  <c r="M1526" i="4" s="1"/>
  <c r="N1526" i="4" s="1"/>
  <c r="I1526" i="4"/>
  <c r="H1526" i="4"/>
  <c r="G1526" i="4"/>
  <c r="K1525" i="4"/>
  <c r="J1525" i="4"/>
  <c r="L1525" i="4" s="1"/>
  <c r="M1525" i="4" s="1"/>
  <c r="N1525" i="4" s="1"/>
  <c r="I1525" i="4"/>
  <c r="H1525" i="4"/>
  <c r="G1525" i="4"/>
  <c r="L1524" i="4"/>
  <c r="J1524" i="4"/>
  <c r="I1524" i="4"/>
  <c r="K1524" i="4" s="1"/>
  <c r="M1524" i="4" s="1"/>
  <c r="N1524" i="4" s="1"/>
  <c r="H1524" i="4"/>
  <c r="G1524" i="4"/>
  <c r="L1523" i="4"/>
  <c r="M1523" i="4" s="1"/>
  <c r="N1523" i="4" s="1"/>
  <c r="K1523" i="4"/>
  <c r="J1523" i="4"/>
  <c r="I1523" i="4"/>
  <c r="H1523" i="4"/>
  <c r="G1523" i="4"/>
  <c r="K1522" i="4"/>
  <c r="J1522" i="4"/>
  <c r="L1522" i="4" s="1"/>
  <c r="M1522" i="4" s="1"/>
  <c r="N1522" i="4" s="1"/>
  <c r="I1522" i="4"/>
  <c r="H1522" i="4"/>
  <c r="G1522" i="4"/>
  <c r="L1521" i="4"/>
  <c r="K1521" i="4"/>
  <c r="M1521" i="4" s="1"/>
  <c r="N1521" i="4" s="1"/>
  <c r="J1521" i="4"/>
  <c r="I1521" i="4"/>
  <c r="H1521" i="4"/>
  <c r="G1521" i="4"/>
  <c r="J1520" i="4"/>
  <c r="L1520" i="4" s="1"/>
  <c r="I1520" i="4"/>
  <c r="K1520" i="4" s="1"/>
  <c r="H1520" i="4"/>
  <c r="G1520" i="4"/>
  <c r="K1519" i="4"/>
  <c r="J1519" i="4"/>
  <c r="L1519" i="4" s="1"/>
  <c r="M1519" i="4" s="1"/>
  <c r="N1519" i="4" s="1"/>
  <c r="I1519" i="4"/>
  <c r="H1519" i="4"/>
  <c r="G1519" i="4"/>
  <c r="L1518" i="4"/>
  <c r="J1518" i="4"/>
  <c r="I1518" i="4"/>
  <c r="K1518" i="4" s="1"/>
  <c r="M1518" i="4" s="1"/>
  <c r="N1518" i="4" s="1"/>
  <c r="H1518" i="4"/>
  <c r="G1518" i="4"/>
  <c r="J1517" i="4"/>
  <c r="L1517" i="4" s="1"/>
  <c r="M1517" i="4" s="1"/>
  <c r="N1517" i="4" s="1"/>
  <c r="I1517" i="4"/>
  <c r="K1517" i="4" s="1"/>
  <c r="H1517" i="4"/>
  <c r="G1517" i="4"/>
  <c r="K1516" i="4"/>
  <c r="J1516" i="4"/>
  <c r="L1516" i="4" s="1"/>
  <c r="M1516" i="4" s="1"/>
  <c r="N1516" i="4" s="1"/>
  <c r="I1516" i="4"/>
  <c r="H1516" i="4"/>
  <c r="G1516" i="4"/>
  <c r="L1515" i="4"/>
  <c r="K1515" i="4"/>
  <c r="M1515" i="4" s="1"/>
  <c r="N1515" i="4" s="1"/>
  <c r="J1515" i="4"/>
  <c r="I1515" i="4"/>
  <c r="H1515" i="4"/>
  <c r="G1515" i="4"/>
  <c r="J1514" i="4"/>
  <c r="L1514" i="4" s="1"/>
  <c r="I1514" i="4"/>
  <c r="K1514" i="4" s="1"/>
  <c r="H1514" i="4"/>
  <c r="G1514" i="4"/>
  <c r="M1513" i="4"/>
  <c r="N1513" i="4" s="1"/>
  <c r="L1513" i="4"/>
  <c r="K1513" i="4"/>
  <c r="J1513" i="4"/>
  <c r="I1513" i="4"/>
  <c r="H1513" i="4"/>
  <c r="G1513" i="4"/>
  <c r="L1512" i="4"/>
  <c r="J1512" i="4"/>
  <c r="I1512" i="4"/>
  <c r="K1512" i="4" s="1"/>
  <c r="M1512" i="4" s="1"/>
  <c r="N1512" i="4" s="1"/>
  <c r="H1512" i="4"/>
  <c r="G1512" i="4"/>
  <c r="L1511" i="4"/>
  <c r="J1511" i="4"/>
  <c r="I1511" i="4"/>
  <c r="K1511" i="4" s="1"/>
  <c r="H1511" i="4"/>
  <c r="G1511" i="4"/>
  <c r="K1510" i="4"/>
  <c r="J1510" i="4"/>
  <c r="L1510" i="4" s="1"/>
  <c r="M1510" i="4" s="1"/>
  <c r="N1510" i="4" s="1"/>
  <c r="I1510" i="4"/>
  <c r="H1510" i="4"/>
  <c r="G1510" i="4"/>
  <c r="L1509" i="4"/>
  <c r="J1509" i="4"/>
  <c r="I1509" i="4"/>
  <c r="K1509" i="4" s="1"/>
  <c r="M1509" i="4" s="1"/>
  <c r="N1509" i="4" s="1"/>
  <c r="H1509" i="4"/>
  <c r="G1509" i="4"/>
  <c r="N1508" i="4"/>
  <c r="K1508" i="4"/>
  <c r="J1508" i="4"/>
  <c r="L1508" i="4" s="1"/>
  <c r="M1508" i="4" s="1"/>
  <c r="I1508" i="4"/>
  <c r="H1508" i="4"/>
  <c r="G1508" i="4"/>
  <c r="K1507" i="4"/>
  <c r="J1507" i="4"/>
  <c r="L1507" i="4" s="1"/>
  <c r="M1507" i="4" s="1"/>
  <c r="N1507" i="4" s="1"/>
  <c r="I1507" i="4"/>
  <c r="H1507" i="4"/>
  <c r="G1507" i="4"/>
  <c r="M1506" i="4"/>
  <c r="N1506" i="4" s="1"/>
  <c r="L1506" i="4"/>
  <c r="J1506" i="4"/>
  <c r="I1506" i="4"/>
  <c r="K1506" i="4" s="1"/>
  <c r="H1506" i="4"/>
  <c r="G1506" i="4"/>
  <c r="L1505" i="4"/>
  <c r="K1505" i="4"/>
  <c r="J1505" i="4"/>
  <c r="I1505" i="4"/>
  <c r="H1505" i="4"/>
  <c r="G1505" i="4"/>
  <c r="K1504" i="4"/>
  <c r="J1504" i="4"/>
  <c r="L1504" i="4" s="1"/>
  <c r="M1504" i="4" s="1"/>
  <c r="N1504" i="4" s="1"/>
  <c r="I1504" i="4"/>
  <c r="H1504" i="4"/>
  <c r="G1504" i="4"/>
  <c r="L1503" i="4"/>
  <c r="K1503" i="4"/>
  <c r="M1503" i="4" s="1"/>
  <c r="N1503" i="4" s="1"/>
  <c r="J1503" i="4"/>
  <c r="I1503" i="4"/>
  <c r="H1503" i="4"/>
  <c r="G1503" i="4"/>
  <c r="J1502" i="4"/>
  <c r="L1502" i="4" s="1"/>
  <c r="I1502" i="4"/>
  <c r="K1502" i="4" s="1"/>
  <c r="H1502" i="4"/>
  <c r="G1502" i="4"/>
  <c r="K1501" i="4"/>
  <c r="J1501" i="4"/>
  <c r="L1501" i="4" s="1"/>
  <c r="M1501" i="4" s="1"/>
  <c r="N1501" i="4" s="1"/>
  <c r="I1501" i="4"/>
  <c r="H1501" i="4"/>
  <c r="G1501" i="4"/>
  <c r="L1500" i="4"/>
  <c r="J1500" i="4"/>
  <c r="I1500" i="4"/>
  <c r="K1500" i="4" s="1"/>
  <c r="M1500" i="4" s="1"/>
  <c r="N1500" i="4" s="1"/>
  <c r="H1500" i="4"/>
  <c r="G1500" i="4"/>
  <c r="K1499" i="4"/>
  <c r="J1499" i="4"/>
  <c r="L1499" i="4" s="1"/>
  <c r="M1499" i="4" s="1"/>
  <c r="N1499" i="4" s="1"/>
  <c r="I1499" i="4"/>
  <c r="H1499" i="4"/>
  <c r="G1499" i="4"/>
  <c r="K1498" i="4"/>
  <c r="J1498" i="4"/>
  <c r="L1498" i="4" s="1"/>
  <c r="M1498" i="4" s="1"/>
  <c r="N1498" i="4" s="1"/>
  <c r="I1498" i="4"/>
  <c r="H1498" i="4"/>
  <c r="G1498" i="4"/>
  <c r="L1497" i="4"/>
  <c r="K1497" i="4"/>
  <c r="M1497" i="4" s="1"/>
  <c r="N1497" i="4" s="1"/>
  <c r="J1497" i="4"/>
  <c r="I1497" i="4"/>
  <c r="H1497" i="4"/>
  <c r="G1497" i="4"/>
  <c r="K1496" i="4"/>
  <c r="J1496" i="4"/>
  <c r="L1496" i="4" s="1"/>
  <c r="M1496" i="4" s="1"/>
  <c r="N1496" i="4" s="1"/>
  <c r="I1496" i="4"/>
  <c r="H1496" i="4"/>
  <c r="G1496" i="4"/>
  <c r="M1495" i="4"/>
  <c r="N1495" i="4" s="1"/>
  <c r="L1495" i="4"/>
  <c r="K1495" i="4"/>
  <c r="J1495" i="4"/>
  <c r="I1495" i="4"/>
  <c r="H1495" i="4"/>
  <c r="G1495" i="4"/>
  <c r="L1494" i="4"/>
  <c r="J1494" i="4"/>
  <c r="I1494" i="4"/>
  <c r="K1494" i="4" s="1"/>
  <c r="M1494" i="4" s="1"/>
  <c r="N1494" i="4" s="1"/>
  <c r="H1494" i="4"/>
  <c r="G1494" i="4"/>
  <c r="L1493" i="4"/>
  <c r="M1493" i="4" s="1"/>
  <c r="N1493" i="4" s="1"/>
  <c r="J1493" i="4"/>
  <c r="I1493" i="4"/>
  <c r="K1493" i="4" s="1"/>
  <c r="H1493" i="4"/>
  <c r="G1493" i="4"/>
  <c r="K1492" i="4"/>
  <c r="J1492" i="4"/>
  <c r="L1492" i="4" s="1"/>
  <c r="M1492" i="4" s="1"/>
  <c r="N1492" i="4" s="1"/>
  <c r="I1492" i="4"/>
  <c r="H1492" i="4"/>
  <c r="G1492" i="4"/>
  <c r="L1491" i="4"/>
  <c r="J1491" i="4"/>
  <c r="I1491" i="4"/>
  <c r="K1491" i="4" s="1"/>
  <c r="M1491" i="4" s="1"/>
  <c r="N1491" i="4" s="1"/>
  <c r="H1491" i="4"/>
  <c r="G1491" i="4"/>
  <c r="J1490" i="4"/>
  <c r="L1490" i="4" s="1"/>
  <c r="M1490" i="4" s="1"/>
  <c r="N1490" i="4" s="1"/>
  <c r="I1490" i="4"/>
  <c r="K1490" i="4" s="1"/>
  <c r="H1490" i="4"/>
  <c r="G1490" i="4"/>
  <c r="K1489" i="4"/>
  <c r="J1489" i="4"/>
  <c r="L1489" i="4" s="1"/>
  <c r="M1489" i="4" s="1"/>
  <c r="N1489" i="4" s="1"/>
  <c r="I1489" i="4"/>
  <c r="H1489" i="4"/>
  <c r="G1489" i="4"/>
  <c r="M1488" i="4"/>
  <c r="N1488" i="4" s="1"/>
  <c r="L1488" i="4"/>
  <c r="J1488" i="4"/>
  <c r="I1488" i="4"/>
  <c r="K1488" i="4" s="1"/>
  <c r="H1488" i="4"/>
  <c r="G1488" i="4"/>
  <c r="L1487" i="4"/>
  <c r="K1487" i="4"/>
  <c r="J1487" i="4"/>
  <c r="I1487" i="4"/>
  <c r="H1487" i="4"/>
  <c r="G1487" i="4"/>
  <c r="K1486" i="4"/>
  <c r="J1486" i="4"/>
  <c r="L1486" i="4" s="1"/>
  <c r="M1486" i="4" s="1"/>
  <c r="N1486" i="4" s="1"/>
  <c r="I1486" i="4"/>
  <c r="H1486" i="4"/>
  <c r="G1486" i="4"/>
  <c r="N1485" i="4"/>
  <c r="L1485" i="4"/>
  <c r="K1485" i="4"/>
  <c r="M1485" i="4" s="1"/>
  <c r="J1485" i="4"/>
  <c r="I1485" i="4"/>
  <c r="H1485" i="4"/>
  <c r="G1485" i="4"/>
  <c r="J1484" i="4"/>
  <c r="L1484" i="4" s="1"/>
  <c r="M1484" i="4" s="1"/>
  <c r="N1484" i="4" s="1"/>
  <c r="I1484" i="4"/>
  <c r="K1484" i="4" s="1"/>
  <c r="H1484" i="4"/>
  <c r="G1484" i="4"/>
  <c r="K1483" i="4"/>
  <c r="J1483" i="4"/>
  <c r="L1483" i="4" s="1"/>
  <c r="M1483" i="4" s="1"/>
  <c r="N1483" i="4" s="1"/>
  <c r="I1483" i="4"/>
  <c r="H1483" i="4"/>
  <c r="G1483" i="4"/>
  <c r="M1482" i="4"/>
  <c r="N1482" i="4" s="1"/>
  <c r="L1482" i="4"/>
  <c r="J1482" i="4"/>
  <c r="I1482" i="4"/>
  <c r="K1482" i="4" s="1"/>
  <c r="H1482" i="4"/>
  <c r="G1482" i="4"/>
  <c r="J1481" i="4"/>
  <c r="L1481" i="4" s="1"/>
  <c r="I1481" i="4"/>
  <c r="K1481" i="4" s="1"/>
  <c r="H1481" i="4"/>
  <c r="G1481" i="4"/>
  <c r="J1480" i="4"/>
  <c r="L1480" i="4" s="1"/>
  <c r="M1480" i="4" s="1"/>
  <c r="N1480" i="4" s="1"/>
  <c r="I1480" i="4"/>
  <c r="K1480" i="4" s="1"/>
  <c r="H1480" i="4"/>
  <c r="G1480" i="4"/>
  <c r="L1479" i="4"/>
  <c r="J1479" i="4"/>
  <c r="I1479" i="4"/>
  <c r="K1479" i="4" s="1"/>
  <c r="M1479" i="4" s="1"/>
  <c r="N1479" i="4" s="1"/>
  <c r="H1479" i="4"/>
  <c r="G1479" i="4"/>
  <c r="N1478" i="4"/>
  <c r="J1478" i="4"/>
  <c r="L1478" i="4" s="1"/>
  <c r="M1478" i="4" s="1"/>
  <c r="I1478" i="4"/>
  <c r="K1478" i="4" s="1"/>
  <c r="H1478" i="4"/>
  <c r="G1478" i="4"/>
  <c r="J1477" i="4"/>
  <c r="L1477" i="4" s="1"/>
  <c r="M1477" i="4" s="1"/>
  <c r="N1477" i="4" s="1"/>
  <c r="I1477" i="4"/>
  <c r="K1477" i="4" s="1"/>
  <c r="H1477" i="4"/>
  <c r="G1477" i="4"/>
  <c r="L1476" i="4"/>
  <c r="J1476" i="4"/>
  <c r="I1476" i="4"/>
  <c r="K1476" i="4" s="1"/>
  <c r="M1476" i="4" s="1"/>
  <c r="N1476" i="4" s="1"/>
  <c r="H1476" i="4"/>
  <c r="G1476" i="4"/>
  <c r="K1475" i="4"/>
  <c r="J1475" i="4"/>
  <c r="L1475" i="4" s="1"/>
  <c r="M1475" i="4" s="1"/>
  <c r="N1475" i="4" s="1"/>
  <c r="I1475" i="4"/>
  <c r="H1475" i="4"/>
  <c r="G1475" i="4"/>
  <c r="J1474" i="4"/>
  <c r="L1474" i="4" s="1"/>
  <c r="M1474" i="4" s="1"/>
  <c r="N1474" i="4" s="1"/>
  <c r="I1474" i="4"/>
  <c r="K1474" i="4" s="1"/>
  <c r="H1474" i="4"/>
  <c r="G1474" i="4"/>
  <c r="L1473" i="4"/>
  <c r="J1473" i="4"/>
  <c r="I1473" i="4"/>
  <c r="K1473" i="4" s="1"/>
  <c r="M1473" i="4" s="1"/>
  <c r="N1473" i="4" s="1"/>
  <c r="H1473" i="4"/>
  <c r="G1473" i="4"/>
  <c r="K1472" i="4"/>
  <c r="J1472" i="4"/>
  <c r="L1472" i="4" s="1"/>
  <c r="I1472" i="4"/>
  <c r="H1472" i="4"/>
  <c r="G1472" i="4"/>
  <c r="J1471" i="4"/>
  <c r="L1471" i="4" s="1"/>
  <c r="M1471" i="4" s="1"/>
  <c r="N1471" i="4" s="1"/>
  <c r="I1471" i="4"/>
  <c r="K1471" i="4" s="1"/>
  <c r="H1471" i="4"/>
  <c r="G1471" i="4"/>
  <c r="L1470" i="4"/>
  <c r="J1470" i="4"/>
  <c r="I1470" i="4"/>
  <c r="K1470" i="4" s="1"/>
  <c r="M1470" i="4" s="1"/>
  <c r="N1470" i="4" s="1"/>
  <c r="H1470" i="4"/>
  <c r="G1470" i="4"/>
  <c r="K1469" i="4"/>
  <c r="J1469" i="4"/>
  <c r="L1469" i="4" s="1"/>
  <c r="M1469" i="4" s="1"/>
  <c r="N1469" i="4" s="1"/>
  <c r="I1469" i="4"/>
  <c r="H1469" i="4"/>
  <c r="G1469" i="4"/>
  <c r="J1468" i="4"/>
  <c r="L1468" i="4" s="1"/>
  <c r="M1468" i="4" s="1"/>
  <c r="N1468" i="4" s="1"/>
  <c r="I1468" i="4"/>
  <c r="K1468" i="4" s="1"/>
  <c r="H1468" i="4"/>
  <c r="G1468" i="4"/>
  <c r="L1467" i="4"/>
  <c r="J1467" i="4"/>
  <c r="I1467" i="4"/>
  <c r="K1467" i="4" s="1"/>
  <c r="M1467" i="4" s="1"/>
  <c r="N1467" i="4" s="1"/>
  <c r="H1467" i="4"/>
  <c r="G1467" i="4"/>
  <c r="K1466" i="4"/>
  <c r="J1466" i="4"/>
  <c r="L1466" i="4" s="1"/>
  <c r="M1466" i="4" s="1"/>
  <c r="N1466" i="4" s="1"/>
  <c r="I1466" i="4"/>
  <c r="H1466" i="4"/>
  <c r="G1466" i="4"/>
  <c r="J1465" i="4"/>
  <c r="L1465" i="4" s="1"/>
  <c r="M1465" i="4" s="1"/>
  <c r="N1465" i="4" s="1"/>
  <c r="I1465" i="4"/>
  <c r="K1465" i="4" s="1"/>
  <c r="H1465" i="4"/>
  <c r="G1465" i="4"/>
  <c r="L1464" i="4"/>
  <c r="J1464" i="4"/>
  <c r="I1464" i="4"/>
  <c r="K1464" i="4" s="1"/>
  <c r="M1464" i="4" s="1"/>
  <c r="N1464" i="4" s="1"/>
  <c r="H1464" i="4"/>
  <c r="G1464" i="4"/>
  <c r="J1463" i="4"/>
  <c r="L1463" i="4" s="1"/>
  <c r="I1463" i="4"/>
  <c r="K1463" i="4" s="1"/>
  <c r="H1463" i="4"/>
  <c r="G1463" i="4"/>
  <c r="J1462" i="4"/>
  <c r="L1462" i="4" s="1"/>
  <c r="M1462" i="4" s="1"/>
  <c r="N1462" i="4" s="1"/>
  <c r="I1462" i="4"/>
  <c r="K1462" i="4" s="1"/>
  <c r="H1462" i="4"/>
  <c r="G1462" i="4"/>
  <c r="L1461" i="4"/>
  <c r="J1461" i="4"/>
  <c r="I1461" i="4"/>
  <c r="K1461" i="4" s="1"/>
  <c r="M1461" i="4" s="1"/>
  <c r="N1461" i="4" s="1"/>
  <c r="H1461" i="4"/>
  <c r="G1461" i="4"/>
  <c r="K1460" i="4"/>
  <c r="J1460" i="4"/>
  <c r="L1460" i="4" s="1"/>
  <c r="M1460" i="4" s="1"/>
  <c r="N1460" i="4" s="1"/>
  <c r="I1460" i="4"/>
  <c r="H1460" i="4"/>
  <c r="G1460" i="4"/>
  <c r="J1459" i="4"/>
  <c r="L1459" i="4" s="1"/>
  <c r="M1459" i="4" s="1"/>
  <c r="N1459" i="4" s="1"/>
  <c r="I1459" i="4"/>
  <c r="K1459" i="4" s="1"/>
  <c r="H1459" i="4"/>
  <c r="G1459" i="4"/>
  <c r="L1458" i="4"/>
  <c r="J1458" i="4"/>
  <c r="I1458" i="4"/>
  <c r="K1458" i="4" s="1"/>
  <c r="M1458" i="4" s="1"/>
  <c r="N1458" i="4" s="1"/>
  <c r="H1458" i="4"/>
  <c r="G1458" i="4"/>
  <c r="J1457" i="4"/>
  <c r="L1457" i="4" s="1"/>
  <c r="I1457" i="4"/>
  <c r="K1457" i="4" s="1"/>
  <c r="H1457" i="4"/>
  <c r="G1457" i="4"/>
  <c r="J1456" i="4"/>
  <c r="L1456" i="4" s="1"/>
  <c r="M1456" i="4" s="1"/>
  <c r="N1456" i="4" s="1"/>
  <c r="I1456" i="4"/>
  <c r="K1456" i="4" s="1"/>
  <c r="H1456" i="4"/>
  <c r="G1456" i="4"/>
  <c r="L1455" i="4"/>
  <c r="J1455" i="4"/>
  <c r="I1455" i="4"/>
  <c r="K1455" i="4" s="1"/>
  <c r="M1455" i="4" s="1"/>
  <c r="N1455" i="4" s="1"/>
  <c r="H1455" i="4"/>
  <c r="G1455" i="4"/>
  <c r="J1454" i="4"/>
  <c r="L1454" i="4" s="1"/>
  <c r="I1454" i="4"/>
  <c r="K1454" i="4" s="1"/>
  <c r="H1454" i="4"/>
  <c r="G1454" i="4"/>
  <c r="J1453" i="4"/>
  <c r="L1453" i="4" s="1"/>
  <c r="M1453" i="4" s="1"/>
  <c r="N1453" i="4" s="1"/>
  <c r="I1453" i="4"/>
  <c r="K1453" i="4" s="1"/>
  <c r="H1453" i="4"/>
  <c r="G1453" i="4"/>
  <c r="L1452" i="4"/>
  <c r="J1452" i="4"/>
  <c r="I1452" i="4"/>
  <c r="K1452" i="4" s="1"/>
  <c r="M1452" i="4" s="1"/>
  <c r="N1452" i="4" s="1"/>
  <c r="H1452" i="4"/>
  <c r="G1452" i="4"/>
  <c r="N1451" i="4"/>
  <c r="J1451" i="4"/>
  <c r="L1451" i="4" s="1"/>
  <c r="M1451" i="4" s="1"/>
  <c r="I1451" i="4"/>
  <c r="K1451" i="4" s="1"/>
  <c r="H1451" i="4"/>
  <c r="G1451" i="4"/>
  <c r="J1450" i="4"/>
  <c r="L1450" i="4" s="1"/>
  <c r="M1450" i="4" s="1"/>
  <c r="N1450" i="4" s="1"/>
  <c r="I1450" i="4"/>
  <c r="K1450" i="4" s="1"/>
  <c r="H1450" i="4"/>
  <c r="G1450" i="4"/>
  <c r="L1449" i="4"/>
  <c r="J1449" i="4"/>
  <c r="I1449" i="4"/>
  <c r="K1449" i="4" s="1"/>
  <c r="M1449" i="4" s="1"/>
  <c r="N1449" i="4" s="1"/>
  <c r="H1449" i="4"/>
  <c r="G1449" i="4"/>
  <c r="K1448" i="4"/>
  <c r="J1448" i="4"/>
  <c r="L1448" i="4" s="1"/>
  <c r="M1448" i="4" s="1"/>
  <c r="N1448" i="4" s="1"/>
  <c r="I1448" i="4"/>
  <c r="H1448" i="4"/>
  <c r="G1448" i="4"/>
  <c r="J1447" i="4"/>
  <c r="L1447" i="4" s="1"/>
  <c r="M1447" i="4" s="1"/>
  <c r="N1447" i="4" s="1"/>
  <c r="I1447" i="4"/>
  <c r="K1447" i="4" s="1"/>
  <c r="H1447" i="4"/>
  <c r="G1447" i="4"/>
  <c r="M1446" i="4"/>
  <c r="N1446" i="4" s="1"/>
  <c r="L1446" i="4"/>
  <c r="J1446" i="4"/>
  <c r="I1446" i="4"/>
  <c r="K1446" i="4" s="1"/>
  <c r="H1446" i="4"/>
  <c r="G1446" i="4"/>
  <c r="J1445" i="4"/>
  <c r="L1445" i="4" s="1"/>
  <c r="I1445" i="4"/>
  <c r="K1445" i="4" s="1"/>
  <c r="H1445" i="4"/>
  <c r="G1445" i="4"/>
  <c r="J1444" i="4"/>
  <c r="L1444" i="4" s="1"/>
  <c r="M1444" i="4" s="1"/>
  <c r="N1444" i="4" s="1"/>
  <c r="I1444" i="4"/>
  <c r="K1444" i="4" s="1"/>
  <c r="H1444" i="4"/>
  <c r="G1444" i="4"/>
  <c r="L1443" i="4"/>
  <c r="J1443" i="4"/>
  <c r="I1443" i="4"/>
  <c r="K1443" i="4" s="1"/>
  <c r="M1443" i="4" s="1"/>
  <c r="N1443" i="4" s="1"/>
  <c r="H1443" i="4"/>
  <c r="G1443" i="4"/>
  <c r="N1442" i="4"/>
  <c r="J1442" i="4"/>
  <c r="L1442" i="4" s="1"/>
  <c r="M1442" i="4" s="1"/>
  <c r="I1442" i="4"/>
  <c r="K1442" i="4" s="1"/>
  <c r="H1442" i="4"/>
  <c r="G1442" i="4"/>
  <c r="J1441" i="4"/>
  <c r="L1441" i="4" s="1"/>
  <c r="M1441" i="4" s="1"/>
  <c r="N1441" i="4" s="1"/>
  <c r="I1441" i="4"/>
  <c r="K1441" i="4" s="1"/>
  <c r="H1441" i="4"/>
  <c r="G1441" i="4"/>
  <c r="K1440" i="4"/>
  <c r="J1440" i="4"/>
  <c r="L1440" i="4" s="1"/>
  <c r="M1440" i="4" s="1"/>
  <c r="N1440" i="4" s="1"/>
  <c r="I1440" i="4"/>
  <c r="H1440" i="4"/>
  <c r="G1440" i="4"/>
  <c r="L1439" i="4"/>
  <c r="J1439" i="4"/>
  <c r="I1439" i="4"/>
  <c r="K1439" i="4" s="1"/>
  <c r="H1439" i="4"/>
  <c r="G1439" i="4"/>
  <c r="J1438" i="4"/>
  <c r="L1438" i="4" s="1"/>
  <c r="M1438" i="4" s="1"/>
  <c r="N1438" i="4" s="1"/>
  <c r="I1438" i="4"/>
  <c r="K1438" i="4" s="1"/>
  <c r="H1438" i="4"/>
  <c r="G1438" i="4"/>
  <c r="J1437" i="4"/>
  <c r="L1437" i="4" s="1"/>
  <c r="I1437" i="4"/>
  <c r="K1437" i="4" s="1"/>
  <c r="H1437" i="4"/>
  <c r="G1437" i="4"/>
  <c r="J1436" i="4"/>
  <c r="L1436" i="4" s="1"/>
  <c r="M1436" i="4" s="1"/>
  <c r="N1436" i="4" s="1"/>
  <c r="I1436" i="4"/>
  <c r="K1436" i="4" s="1"/>
  <c r="H1436" i="4"/>
  <c r="G1436" i="4"/>
  <c r="L1435" i="4"/>
  <c r="M1435" i="4" s="1"/>
  <c r="N1435" i="4" s="1"/>
  <c r="J1435" i="4"/>
  <c r="I1435" i="4"/>
  <c r="K1435" i="4" s="1"/>
  <c r="H1435" i="4"/>
  <c r="G1435" i="4"/>
  <c r="J1434" i="4"/>
  <c r="L1434" i="4" s="1"/>
  <c r="I1434" i="4"/>
  <c r="K1434" i="4" s="1"/>
  <c r="H1434" i="4"/>
  <c r="G1434" i="4"/>
  <c r="N1433" i="4"/>
  <c r="K1433" i="4"/>
  <c r="J1433" i="4"/>
  <c r="L1433" i="4" s="1"/>
  <c r="M1433" i="4" s="1"/>
  <c r="I1433" i="4"/>
  <c r="H1433" i="4"/>
  <c r="G1433" i="4"/>
  <c r="L1432" i="4"/>
  <c r="M1432" i="4" s="1"/>
  <c r="N1432" i="4" s="1"/>
  <c r="J1432" i="4"/>
  <c r="I1432" i="4"/>
  <c r="K1432" i="4" s="1"/>
  <c r="H1432" i="4"/>
  <c r="G1432" i="4"/>
  <c r="L1431" i="4"/>
  <c r="J1431" i="4"/>
  <c r="I1431" i="4"/>
  <c r="K1431" i="4" s="1"/>
  <c r="M1431" i="4" s="1"/>
  <c r="N1431" i="4" s="1"/>
  <c r="H1431" i="4"/>
  <c r="G1431" i="4"/>
  <c r="J1430" i="4"/>
  <c r="L1430" i="4" s="1"/>
  <c r="M1430" i="4" s="1"/>
  <c r="N1430" i="4" s="1"/>
  <c r="I1430" i="4"/>
  <c r="K1430" i="4" s="1"/>
  <c r="H1430" i="4"/>
  <c r="G1430" i="4"/>
  <c r="J1429" i="4"/>
  <c r="L1429" i="4" s="1"/>
  <c r="M1429" i="4" s="1"/>
  <c r="N1429" i="4" s="1"/>
  <c r="I1429" i="4"/>
  <c r="K1429" i="4" s="1"/>
  <c r="H1429" i="4"/>
  <c r="G1429" i="4"/>
  <c r="K1428" i="4"/>
  <c r="J1428" i="4"/>
  <c r="L1428" i="4" s="1"/>
  <c r="M1428" i="4" s="1"/>
  <c r="N1428" i="4" s="1"/>
  <c r="I1428" i="4"/>
  <c r="H1428" i="4"/>
  <c r="G1428" i="4"/>
  <c r="J1427" i="4"/>
  <c r="L1427" i="4" s="1"/>
  <c r="M1427" i="4" s="1"/>
  <c r="N1427" i="4" s="1"/>
  <c r="I1427" i="4"/>
  <c r="K1427" i="4" s="1"/>
  <c r="H1427" i="4"/>
  <c r="G1427" i="4"/>
  <c r="J1426" i="4"/>
  <c r="L1426" i="4" s="1"/>
  <c r="M1426" i="4" s="1"/>
  <c r="N1426" i="4" s="1"/>
  <c r="I1426" i="4"/>
  <c r="K1426" i="4" s="1"/>
  <c r="H1426" i="4"/>
  <c r="G1426" i="4"/>
  <c r="K1425" i="4"/>
  <c r="J1425" i="4"/>
  <c r="L1425" i="4" s="1"/>
  <c r="M1425" i="4" s="1"/>
  <c r="N1425" i="4" s="1"/>
  <c r="I1425" i="4"/>
  <c r="H1425" i="4"/>
  <c r="G1425" i="4"/>
  <c r="J1424" i="4"/>
  <c r="L1424" i="4" s="1"/>
  <c r="I1424" i="4"/>
  <c r="K1424" i="4" s="1"/>
  <c r="H1424" i="4"/>
  <c r="G1424" i="4"/>
  <c r="M1423" i="4"/>
  <c r="N1423" i="4" s="1"/>
  <c r="L1423" i="4"/>
  <c r="J1423" i="4"/>
  <c r="I1423" i="4"/>
  <c r="K1423" i="4" s="1"/>
  <c r="H1423" i="4"/>
  <c r="G1423" i="4"/>
  <c r="J1422" i="4"/>
  <c r="L1422" i="4" s="1"/>
  <c r="M1422" i="4" s="1"/>
  <c r="N1422" i="4" s="1"/>
  <c r="I1422" i="4"/>
  <c r="K1422" i="4" s="1"/>
  <c r="H1422" i="4"/>
  <c r="G1422" i="4"/>
  <c r="J1421" i="4"/>
  <c r="L1421" i="4" s="1"/>
  <c r="M1421" i="4" s="1"/>
  <c r="N1421" i="4" s="1"/>
  <c r="I1421" i="4"/>
  <c r="K1421" i="4" s="1"/>
  <c r="H1421" i="4"/>
  <c r="G1421" i="4"/>
  <c r="J1420" i="4"/>
  <c r="L1420" i="4" s="1"/>
  <c r="M1420" i="4" s="1"/>
  <c r="N1420" i="4" s="1"/>
  <c r="I1420" i="4"/>
  <c r="K1420" i="4" s="1"/>
  <c r="H1420" i="4"/>
  <c r="G1420" i="4"/>
  <c r="K1419" i="4"/>
  <c r="J1419" i="4"/>
  <c r="L1419" i="4" s="1"/>
  <c r="I1419" i="4"/>
  <c r="H1419" i="4"/>
  <c r="G1419" i="4"/>
  <c r="J1418" i="4"/>
  <c r="L1418" i="4" s="1"/>
  <c r="M1418" i="4" s="1"/>
  <c r="N1418" i="4" s="1"/>
  <c r="I1418" i="4"/>
  <c r="K1418" i="4" s="1"/>
  <c r="H1418" i="4"/>
  <c r="G1418" i="4"/>
  <c r="J1417" i="4"/>
  <c r="L1417" i="4" s="1"/>
  <c r="M1417" i="4" s="1"/>
  <c r="N1417" i="4" s="1"/>
  <c r="I1417" i="4"/>
  <c r="K1417" i="4" s="1"/>
  <c r="H1417" i="4"/>
  <c r="G1417" i="4"/>
  <c r="K1416" i="4"/>
  <c r="J1416" i="4"/>
  <c r="L1416" i="4" s="1"/>
  <c r="M1416" i="4" s="1"/>
  <c r="N1416" i="4" s="1"/>
  <c r="I1416" i="4"/>
  <c r="H1416" i="4"/>
  <c r="G1416" i="4"/>
  <c r="J1415" i="4"/>
  <c r="L1415" i="4" s="1"/>
  <c r="M1415" i="4" s="1"/>
  <c r="N1415" i="4" s="1"/>
  <c r="I1415" i="4"/>
  <c r="K1415" i="4" s="1"/>
  <c r="H1415" i="4"/>
  <c r="G1415" i="4"/>
  <c r="M1414" i="4"/>
  <c r="N1414" i="4" s="1"/>
  <c r="L1414" i="4"/>
  <c r="K1414" i="4"/>
  <c r="J1414" i="4"/>
  <c r="I1414" i="4"/>
  <c r="H1414" i="4"/>
  <c r="G1414" i="4"/>
  <c r="L1413" i="4"/>
  <c r="J1413" i="4"/>
  <c r="I1413" i="4"/>
  <c r="K1413" i="4" s="1"/>
  <c r="M1413" i="4" s="1"/>
  <c r="N1413" i="4" s="1"/>
  <c r="H1413" i="4"/>
  <c r="G1413" i="4"/>
  <c r="L1412" i="4"/>
  <c r="M1412" i="4" s="1"/>
  <c r="N1412" i="4" s="1"/>
  <c r="J1412" i="4"/>
  <c r="I1412" i="4"/>
  <c r="K1412" i="4" s="1"/>
  <c r="H1412" i="4"/>
  <c r="G1412" i="4"/>
  <c r="K1411" i="4"/>
  <c r="J1411" i="4"/>
  <c r="L1411" i="4" s="1"/>
  <c r="M1411" i="4" s="1"/>
  <c r="N1411" i="4" s="1"/>
  <c r="I1411" i="4"/>
  <c r="H1411" i="4"/>
  <c r="G1411" i="4"/>
  <c r="L1410" i="4"/>
  <c r="J1410" i="4"/>
  <c r="I1410" i="4"/>
  <c r="K1410" i="4" s="1"/>
  <c r="M1410" i="4" s="1"/>
  <c r="N1410" i="4" s="1"/>
  <c r="H1410" i="4"/>
  <c r="G1410" i="4"/>
  <c r="K1409" i="4"/>
  <c r="J1409" i="4"/>
  <c r="L1409" i="4" s="1"/>
  <c r="M1409" i="4" s="1"/>
  <c r="N1409" i="4" s="1"/>
  <c r="I1409" i="4"/>
  <c r="H1409" i="4"/>
  <c r="G1409" i="4"/>
  <c r="K1408" i="4"/>
  <c r="J1408" i="4"/>
  <c r="L1408" i="4" s="1"/>
  <c r="M1408" i="4" s="1"/>
  <c r="N1408" i="4" s="1"/>
  <c r="I1408" i="4"/>
  <c r="H1408" i="4"/>
  <c r="G1408" i="4"/>
  <c r="L1407" i="4"/>
  <c r="J1407" i="4"/>
  <c r="I1407" i="4"/>
  <c r="K1407" i="4" s="1"/>
  <c r="M1407" i="4" s="1"/>
  <c r="N1407" i="4" s="1"/>
  <c r="H1407" i="4"/>
  <c r="G1407" i="4"/>
  <c r="L1406" i="4"/>
  <c r="M1406" i="4" s="1"/>
  <c r="N1406" i="4" s="1"/>
  <c r="K1406" i="4"/>
  <c r="J1406" i="4"/>
  <c r="I1406" i="4"/>
  <c r="H1406" i="4"/>
  <c r="G1406" i="4"/>
  <c r="K1405" i="4"/>
  <c r="J1405" i="4"/>
  <c r="L1405" i="4" s="1"/>
  <c r="M1405" i="4" s="1"/>
  <c r="N1405" i="4" s="1"/>
  <c r="I1405" i="4"/>
  <c r="H1405" i="4"/>
  <c r="G1405" i="4"/>
  <c r="N1404" i="4"/>
  <c r="L1404" i="4"/>
  <c r="K1404" i="4"/>
  <c r="M1404" i="4" s="1"/>
  <c r="J1404" i="4"/>
  <c r="I1404" i="4"/>
  <c r="H1404" i="4"/>
  <c r="G1404" i="4"/>
  <c r="J1403" i="4"/>
  <c r="L1403" i="4" s="1"/>
  <c r="I1403" i="4"/>
  <c r="K1403" i="4" s="1"/>
  <c r="H1403" i="4"/>
  <c r="G1403" i="4"/>
  <c r="M1402" i="4"/>
  <c r="N1402" i="4" s="1"/>
  <c r="L1402" i="4"/>
  <c r="K1402" i="4"/>
  <c r="J1402" i="4"/>
  <c r="I1402" i="4"/>
  <c r="H1402" i="4"/>
  <c r="G1402" i="4"/>
  <c r="K1401" i="4"/>
  <c r="M1401" i="4" s="1"/>
  <c r="N1401" i="4" s="1"/>
  <c r="J1401" i="4"/>
  <c r="L1401" i="4" s="1"/>
  <c r="I1401" i="4"/>
  <c r="H1401" i="4"/>
  <c r="G1401" i="4"/>
  <c r="J1400" i="4"/>
  <c r="L1400" i="4" s="1"/>
  <c r="I1400" i="4"/>
  <c r="K1400" i="4" s="1"/>
  <c r="H1400" i="4"/>
  <c r="G1400" i="4"/>
  <c r="M1399" i="4"/>
  <c r="N1399" i="4" s="1"/>
  <c r="K1399" i="4"/>
  <c r="J1399" i="4"/>
  <c r="L1399" i="4" s="1"/>
  <c r="I1399" i="4"/>
  <c r="H1399" i="4"/>
  <c r="G1399" i="4"/>
  <c r="J1398" i="4"/>
  <c r="L1398" i="4" s="1"/>
  <c r="I1398" i="4"/>
  <c r="K1398" i="4" s="1"/>
  <c r="M1398" i="4" s="1"/>
  <c r="N1398" i="4" s="1"/>
  <c r="H1398" i="4"/>
  <c r="G1398" i="4"/>
  <c r="L1397" i="4"/>
  <c r="J1397" i="4"/>
  <c r="I1397" i="4"/>
  <c r="K1397" i="4" s="1"/>
  <c r="H1397" i="4"/>
  <c r="G1397" i="4"/>
  <c r="K1396" i="4"/>
  <c r="J1396" i="4"/>
  <c r="L1396" i="4" s="1"/>
  <c r="M1396" i="4" s="1"/>
  <c r="N1396" i="4" s="1"/>
  <c r="I1396" i="4"/>
  <c r="H1396" i="4"/>
  <c r="G1396" i="4"/>
  <c r="L1395" i="4"/>
  <c r="J1395" i="4"/>
  <c r="I1395" i="4"/>
  <c r="K1395" i="4" s="1"/>
  <c r="M1395" i="4" s="1"/>
  <c r="N1395" i="4" s="1"/>
  <c r="H1395" i="4"/>
  <c r="G1395" i="4"/>
  <c r="N1394" i="4"/>
  <c r="J1394" i="4"/>
  <c r="L1394" i="4" s="1"/>
  <c r="M1394" i="4" s="1"/>
  <c r="I1394" i="4"/>
  <c r="K1394" i="4" s="1"/>
  <c r="H1394" i="4"/>
  <c r="G1394" i="4"/>
  <c r="K1393" i="4"/>
  <c r="J1393" i="4"/>
  <c r="L1393" i="4" s="1"/>
  <c r="M1393" i="4" s="1"/>
  <c r="N1393" i="4" s="1"/>
  <c r="I1393" i="4"/>
  <c r="H1393" i="4"/>
  <c r="G1393" i="4"/>
  <c r="M1392" i="4"/>
  <c r="N1392" i="4" s="1"/>
  <c r="L1392" i="4"/>
  <c r="K1392" i="4"/>
  <c r="J1392" i="4"/>
  <c r="I1392" i="4"/>
  <c r="H1392" i="4"/>
  <c r="G1392" i="4"/>
  <c r="L1391" i="4"/>
  <c r="M1391" i="4" s="1"/>
  <c r="N1391" i="4" s="1"/>
  <c r="K1391" i="4"/>
  <c r="J1391" i="4"/>
  <c r="I1391" i="4"/>
  <c r="H1391" i="4"/>
  <c r="G1391" i="4"/>
  <c r="K1390" i="4"/>
  <c r="J1390" i="4"/>
  <c r="L1390" i="4" s="1"/>
  <c r="M1390" i="4" s="1"/>
  <c r="N1390" i="4" s="1"/>
  <c r="I1390" i="4"/>
  <c r="H1390" i="4"/>
  <c r="G1390" i="4"/>
  <c r="L1389" i="4"/>
  <c r="K1389" i="4"/>
  <c r="M1389" i="4" s="1"/>
  <c r="N1389" i="4" s="1"/>
  <c r="J1389" i="4"/>
  <c r="I1389" i="4"/>
  <c r="H1389" i="4"/>
  <c r="G1389" i="4"/>
  <c r="J1388" i="4"/>
  <c r="L1388" i="4" s="1"/>
  <c r="M1388" i="4" s="1"/>
  <c r="N1388" i="4" s="1"/>
  <c r="I1388" i="4"/>
  <c r="K1388" i="4" s="1"/>
  <c r="H1388" i="4"/>
  <c r="G1388" i="4"/>
  <c r="K1387" i="4"/>
  <c r="J1387" i="4"/>
  <c r="L1387" i="4" s="1"/>
  <c r="M1387" i="4" s="1"/>
  <c r="N1387" i="4" s="1"/>
  <c r="I1387" i="4"/>
  <c r="H1387" i="4"/>
  <c r="G1387" i="4"/>
  <c r="L1386" i="4"/>
  <c r="J1386" i="4"/>
  <c r="I1386" i="4"/>
  <c r="K1386" i="4" s="1"/>
  <c r="M1386" i="4" s="1"/>
  <c r="N1386" i="4" s="1"/>
  <c r="H1386" i="4"/>
  <c r="G1386" i="4"/>
  <c r="K1385" i="4"/>
  <c r="J1385" i="4"/>
  <c r="L1385" i="4" s="1"/>
  <c r="M1385" i="4" s="1"/>
  <c r="N1385" i="4" s="1"/>
  <c r="I1385" i="4"/>
  <c r="H1385" i="4"/>
  <c r="G1385" i="4"/>
  <c r="K1384" i="4"/>
  <c r="J1384" i="4"/>
  <c r="L1384" i="4" s="1"/>
  <c r="M1384" i="4" s="1"/>
  <c r="N1384" i="4" s="1"/>
  <c r="I1384" i="4"/>
  <c r="H1384" i="4"/>
  <c r="G1384" i="4"/>
  <c r="L1383" i="4"/>
  <c r="K1383" i="4"/>
  <c r="M1383" i="4" s="1"/>
  <c r="N1383" i="4" s="1"/>
  <c r="J1383" i="4"/>
  <c r="I1383" i="4"/>
  <c r="H1383" i="4"/>
  <c r="G1383" i="4"/>
  <c r="J1382" i="4"/>
  <c r="L1382" i="4" s="1"/>
  <c r="I1382" i="4"/>
  <c r="K1382" i="4" s="1"/>
  <c r="H1382" i="4"/>
  <c r="G1382" i="4"/>
  <c r="M1381" i="4"/>
  <c r="N1381" i="4" s="1"/>
  <c r="L1381" i="4"/>
  <c r="K1381" i="4"/>
  <c r="J1381" i="4"/>
  <c r="I1381" i="4"/>
  <c r="H1381" i="4"/>
  <c r="G1381" i="4"/>
  <c r="L1380" i="4"/>
  <c r="J1380" i="4"/>
  <c r="I1380" i="4"/>
  <c r="K1380" i="4" s="1"/>
  <c r="M1380" i="4" s="1"/>
  <c r="N1380" i="4" s="1"/>
  <c r="H1380" i="4"/>
  <c r="G1380" i="4"/>
  <c r="L1379" i="4"/>
  <c r="M1379" i="4" s="1"/>
  <c r="N1379" i="4" s="1"/>
  <c r="J1379" i="4"/>
  <c r="I1379" i="4"/>
  <c r="K1379" i="4" s="1"/>
  <c r="H1379" i="4"/>
  <c r="G1379" i="4"/>
  <c r="K1378" i="4"/>
  <c r="J1378" i="4"/>
  <c r="L1378" i="4" s="1"/>
  <c r="M1378" i="4" s="1"/>
  <c r="N1378" i="4" s="1"/>
  <c r="I1378" i="4"/>
  <c r="H1378" i="4"/>
  <c r="G1378" i="4"/>
  <c r="L1377" i="4"/>
  <c r="J1377" i="4"/>
  <c r="I1377" i="4"/>
  <c r="K1377" i="4" s="1"/>
  <c r="M1377" i="4" s="1"/>
  <c r="N1377" i="4" s="1"/>
  <c r="H1377" i="4"/>
  <c r="G1377" i="4"/>
  <c r="J1376" i="4"/>
  <c r="L1376" i="4" s="1"/>
  <c r="M1376" i="4" s="1"/>
  <c r="N1376" i="4" s="1"/>
  <c r="I1376" i="4"/>
  <c r="K1376" i="4" s="1"/>
  <c r="H1376" i="4"/>
  <c r="G1376" i="4"/>
  <c r="K1375" i="4"/>
  <c r="J1375" i="4"/>
  <c r="L1375" i="4" s="1"/>
  <c r="M1375" i="4" s="1"/>
  <c r="N1375" i="4" s="1"/>
  <c r="I1375" i="4"/>
  <c r="H1375" i="4"/>
  <c r="G1375" i="4"/>
  <c r="M1374" i="4"/>
  <c r="N1374" i="4" s="1"/>
  <c r="L1374" i="4"/>
  <c r="J1374" i="4"/>
  <c r="I1374" i="4"/>
  <c r="K1374" i="4" s="1"/>
  <c r="H1374" i="4"/>
  <c r="G1374" i="4"/>
  <c r="L1373" i="4"/>
  <c r="M1373" i="4" s="1"/>
  <c r="N1373" i="4" s="1"/>
  <c r="K1373" i="4"/>
  <c r="J1373" i="4"/>
  <c r="I1373" i="4"/>
  <c r="H1373" i="4"/>
  <c r="G1373" i="4"/>
  <c r="K1372" i="4"/>
  <c r="J1372" i="4"/>
  <c r="L1372" i="4" s="1"/>
  <c r="M1372" i="4" s="1"/>
  <c r="N1372" i="4" s="1"/>
  <c r="I1372" i="4"/>
  <c r="H1372" i="4"/>
  <c r="G1372" i="4"/>
  <c r="N1371" i="4"/>
  <c r="L1371" i="4"/>
  <c r="K1371" i="4"/>
  <c r="M1371" i="4" s="1"/>
  <c r="J1371" i="4"/>
  <c r="I1371" i="4"/>
  <c r="H1371" i="4"/>
  <c r="G1371" i="4"/>
  <c r="J1370" i="4"/>
  <c r="L1370" i="4" s="1"/>
  <c r="M1370" i="4" s="1"/>
  <c r="N1370" i="4" s="1"/>
  <c r="I1370" i="4"/>
  <c r="K1370" i="4" s="1"/>
  <c r="H1370" i="4"/>
  <c r="G1370" i="4"/>
  <c r="K1369" i="4"/>
  <c r="J1369" i="4"/>
  <c r="L1369" i="4" s="1"/>
  <c r="M1369" i="4" s="1"/>
  <c r="N1369" i="4" s="1"/>
  <c r="I1369" i="4"/>
  <c r="H1369" i="4"/>
  <c r="G1369" i="4"/>
  <c r="M1368" i="4"/>
  <c r="N1368" i="4" s="1"/>
  <c r="L1368" i="4"/>
  <c r="J1368" i="4"/>
  <c r="I1368" i="4"/>
  <c r="K1368" i="4" s="1"/>
  <c r="H1368" i="4"/>
  <c r="G1368" i="4"/>
  <c r="J1367" i="4"/>
  <c r="L1367" i="4" s="1"/>
  <c r="I1367" i="4"/>
  <c r="K1367" i="4" s="1"/>
  <c r="H1367" i="4"/>
  <c r="G1367" i="4"/>
  <c r="K1366" i="4"/>
  <c r="J1366" i="4"/>
  <c r="L1366" i="4" s="1"/>
  <c r="M1366" i="4" s="1"/>
  <c r="N1366" i="4" s="1"/>
  <c r="I1366" i="4"/>
  <c r="H1366" i="4"/>
  <c r="G1366" i="4"/>
  <c r="L1365" i="4"/>
  <c r="K1365" i="4"/>
  <c r="M1365" i="4" s="1"/>
  <c r="N1365" i="4" s="1"/>
  <c r="J1365" i="4"/>
  <c r="I1365" i="4"/>
  <c r="H1365" i="4"/>
  <c r="G1365" i="4"/>
  <c r="J1364" i="4"/>
  <c r="L1364" i="4" s="1"/>
  <c r="I1364" i="4"/>
  <c r="K1364" i="4" s="1"/>
  <c r="H1364" i="4"/>
  <c r="G1364" i="4"/>
  <c r="M1363" i="4"/>
  <c r="N1363" i="4" s="1"/>
  <c r="L1363" i="4"/>
  <c r="K1363" i="4"/>
  <c r="J1363" i="4"/>
  <c r="I1363" i="4"/>
  <c r="H1363" i="4"/>
  <c r="G1363" i="4"/>
  <c r="L1362" i="4"/>
  <c r="J1362" i="4"/>
  <c r="I1362" i="4"/>
  <c r="K1362" i="4" s="1"/>
  <c r="M1362" i="4" s="1"/>
  <c r="N1362" i="4" s="1"/>
  <c r="H1362" i="4"/>
  <c r="G1362" i="4"/>
  <c r="L1361" i="4"/>
  <c r="M1361" i="4" s="1"/>
  <c r="N1361" i="4" s="1"/>
  <c r="K1361" i="4"/>
  <c r="J1361" i="4"/>
  <c r="I1361" i="4"/>
  <c r="H1361" i="4"/>
  <c r="G1361" i="4"/>
  <c r="K1360" i="4"/>
  <c r="J1360" i="4"/>
  <c r="L1360" i="4" s="1"/>
  <c r="M1360" i="4" s="1"/>
  <c r="N1360" i="4" s="1"/>
  <c r="I1360" i="4"/>
  <c r="H1360" i="4"/>
  <c r="G1360" i="4"/>
  <c r="L1359" i="4"/>
  <c r="J1359" i="4"/>
  <c r="I1359" i="4"/>
  <c r="K1359" i="4" s="1"/>
  <c r="M1359" i="4" s="1"/>
  <c r="N1359" i="4" s="1"/>
  <c r="H1359" i="4"/>
  <c r="G1359" i="4"/>
  <c r="J1358" i="4"/>
  <c r="L1358" i="4" s="1"/>
  <c r="I1358" i="4"/>
  <c r="K1358" i="4" s="1"/>
  <c r="H1358" i="4"/>
  <c r="G1358" i="4"/>
  <c r="K1357" i="4"/>
  <c r="J1357" i="4"/>
  <c r="L1357" i="4" s="1"/>
  <c r="M1357" i="4" s="1"/>
  <c r="N1357" i="4" s="1"/>
  <c r="I1357" i="4"/>
  <c r="H1357" i="4"/>
  <c r="G1357" i="4"/>
  <c r="M1356" i="4"/>
  <c r="N1356" i="4" s="1"/>
  <c r="L1356" i="4"/>
  <c r="K1356" i="4"/>
  <c r="J1356" i="4"/>
  <c r="I1356" i="4"/>
  <c r="H1356" i="4"/>
  <c r="G1356" i="4"/>
  <c r="L1355" i="4"/>
  <c r="M1355" i="4" s="1"/>
  <c r="N1355" i="4" s="1"/>
  <c r="K1355" i="4"/>
  <c r="J1355" i="4"/>
  <c r="I1355" i="4"/>
  <c r="H1355" i="4"/>
  <c r="G1355" i="4"/>
  <c r="K1354" i="4"/>
  <c r="J1354" i="4"/>
  <c r="L1354" i="4" s="1"/>
  <c r="M1354" i="4" s="1"/>
  <c r="N1354" i="4" s="1"/>
  <c r="I1354" i="4"/>
  <c r="H1354" i="4"/>
  <c r="G1354" i="4"/>
  <c r="L1353" i="4"/>
  <c r="M1353" i="4" s="1"/>
  <c r="N1353" i="4" s="1"/>
  <c r="K1353" i="4"/>
  <c r="J1353" i="4"/>
  <c r="I1353" i="4"/>
  <c r="H1353" i="4"/>
  <c r="G1353" i="4"/>
  <c r="J1352" i="4"/>
  <c r="L1352" i="4" s="1"/>
  <c r="I1352" i="4"/>
  <c r="K1352" i="4" s="1"/>
  <c r="H1352" i="4"/>
  <c r="G1352" i="4"/>
  <c r="M1351" i="4"/>
  <c r="N1351" i="4" s="1"/>
  <c r="K1351" i="4"/>
  <c r="J1351" i="4"/>
  <c r="L1351" i="4" s="1"/>
  <c r="I1351" i="4"/>
  <c r="H1351" i="4"/>
  <c r="G1351" i="4"/>
  <c r="M1350" i="4"/>
  <c r="N1350" i="4" s="1"/>
  <c r="L1350" i="4"/>
  <c r="J1350" i="4"/>
  <c r="I1350" i="4"/>
  <c r="K1350" i="4" s="1"/>
  <c r="H1350" i="4"/>
  <c r="G1350" i="4"/>
  <c r="K1349" i="4"/>
  <c r="J1349" i="4"/>
  <c r="L1349" i="4" s="1"/>
  <c r="M1349" i="4" s="1"/>
  <c r="N1349" i="4" s="1"/>
  <c r="I1349" i="4"/>
  <c r="H1349" i="4"/>
  <c r="G1349" i="4"/>
  <c r="K1348" i="4"/>
  <c r="J1348" i="4"/>
  <c r="L1348" i="4" s="1"/>
  <c r="I1348" i="4"/>
  <c r="H1348" i="4"/>
  <c r="G1348" i="4"/>
  <c r="K1347" i="4"/>
  <c r="J1347" i="4"/>
  <c r="L1347" i="4" s="1"/>
  <c r="M1347" i="4" s="1"/>
  <c r="N1347" i="4" s="1"/>
  <c r="I1347" i="4"/>
  <c r="H1347" i="4"/>
  <c r="G1347" i="4"/>
  <c r="J1346" i="4"/>
  <c r="L1346" i="4" s="1"/>
  <c r="I1346" i="4"/>
  <c r="K1346" i="4" s="1"/>
  <c r="H1346" i="4"/>
  <c r="G1346" i="4"/>
  <c r="L1345" i="4"/>
  <c r="K1345" i="4"/>
  <c r="J1345" i="4"/>
  <c r="I1345" i="4"/>
  <c r="H1345" i="4"/>
  <c r="G1345" i="4"/>
  <c r="K1344" i="4"/>
  <c r="J1344" i="4"/>
  <c r="L1344" i="4" s="1"/>
  <c r="I1344" i="4"/>
  <c r="H1344" i="4"/>
  <c r="G1344" i="4"/>
  <c r="J1343" i="4"/>
  <c r="L1343" i="4" s="1"/>
  <c r="M1343" i="4" s="1"/>
  <c r="N1343" i="4" s="1"/>
  <c r="I1343" i="4"/>
  <c r="K1343" i="4" s="1"/>
  <c r="H1343" i="4"/>
  <c r="G1343" i="4"/>
  <c r="N1342" i="4"/>
  <c r="L1342" i="4"/>
  <c r="M1342" i="4" s="1"/>
  <c r="K1342" i="4"/>
  <c r="J1342" i="4"/>
  <c r="I1342" i="4"/>
  <c r="H1342" i="4"/>
  <c r="G1342" i="4"/>
  <c r="K1341" i="4"/>
  <c r="J1341" i="4"/>
  <c r="L1341" i="4" s="1"/>
  <c r="I1341" i="4"/>
  <c r="H1341" i="4"/>
  <c r="G1341" i="4"/>
  <c r="L1340" i="4"/>
  <c r="M1340" i="4" s="1"/>
  <c r="N1340" i="4" s="1"/>
  <c r="J1340" i="4"/>
  <c r="I1340" i="4"/>
  <c r="K1340" i="4" s="1"/>
  <c r="H1340" i="4"/>
  <c r="G1340" i="4"/>
  <c r="L1339" i="4"/>
  <c r="M1339" i="4" s="1"/>
  <c r="N1339" i="4" s="1"/>
  <c r="K1339" i="4"/>
  <c r="J1339" i="4"/>
  <c r="I1339" i="4"/>
  <c r="H1339" i="4"/>
  <c r="G1339" i="4"/>
  <c r="K1338" i="4"/>
  <c r="J1338" i="4"/>
  <c r="L1338" i="4" s="1"/>
  <c r="I1338" i="4"/>
  <c r="H1338" i="4"/>
  <c r="G1338" i="4"/>
  <c r="J1337" i="4"/>
  <c r="L1337" i="4" s="1"/>
  <c r="I1337" i="4"/>
  <c r="K1337" i="4" s="1"/>
  <c r="H1337" i="4"/>
  <c r="G1337" i="4"/>
  <c r="K1336" i="4"/>
  <c r="J1336" i="4"/>
  <c r="L1336" i="4" s="1"/>
  <c r="I1336" i="4"/>
  <c r="H1336" i="4"/>
  <c r="G1336" i="4"/>
  <c r="K1335" i="4"/>
  <c r="J1335" i="4"/>
  <c r="L1335" i="4" s="1"/>
  <c r="I1335" i="4"/>
  <c r="H1335" i="4"/>
  <c r="G1335" i="4"/>
  <c r="J1334" i="4"/>
  <c r="L1334" i="4" s="1"/>
  <c r="M1334" i="4" s="1"/>
  <c r="N1334" i="4" s="1"/>
  <c r="I1334" i="4"/>
  <c r="K1334" i="4" s="1"/>
  <c r="H1334" i="4"/>
  <c r="G1334" i="4"/>
  <c r="N1333" i="4"/>
  <c r="L1333" i="4"/>
  <c r="M1333" i="4" s="1"/>
  <c r="K1333" i="4"/>
  <c r="J1333" i="4"/>
  <c r="I1333" i="4"/>
  <c r="H1333" i="4"/>
  <c r="G1333" i="4"/>
  <c r="K1332" i="4"/>
  <c r="J1332" i="4"/>
  <c r="L1332" i="4" s="1"/>
  <c r="I1332" i="4"/>
  <c r="H1332" i="4"/>
  <c r="G1332" i="4"/>
  <c r="J1331" i="4"/>
  <c r="L1331" i="4" s="1"/>
  <c r="M1331" i="4" s="1"/>
  <c r="N1331" i="4" s="1"/>
  <c r="I1331" i="4"/>
  <c r="K1331" i="4" s="1"/>
  <c r="H1331" i="4"/>
  <c r="G1331" i="4"/>
  <c r="K1330" i="4"/>
  <c r="J1330" i="4"/>
  <c r="L1330" i="4" s="1"/>
  <c r="M1330" i="4" s="1"/>
  <c r="N1330" i="4" s="1"/>
  <c r="I1330" i="4"/>
  <c r="H1330" i="4"/>
  <c r="G1330" i="4"/>
  <c r="K1329" i="4"/>
  <c r="J1329" i="4"/>
  <c r="L1329" i="4" s="1"/>
  <c r="M1329" i="4" s="1"/>
  <c r="N1329" i="4" s="1"/>
  <c r="I1329" i="4"/>
  <c r="H1329" i="4"/>
  <c r="G1329" i="4"/>
  <c r="J1328" i="4"/>
  <c r="L1328" i="4" s="1"/>
  <c r="M1328" i="4" s="1"/>
  <c r="N1328" i="4" s="1"/>
  <c r="I1328" i="4"/>
  <c r="K1328" i="4" s="1"/>
  <c r="H1328" i="4"/>
  <c r="G1328" i="4"/>
  <c r="K1327" i="4"/>
  <c r="J1327" i="4"/>
  <c r="L1327" i="4" s="1"/>
  <c r="I1327" i="4"/>
  <c r="H1327" i="4"/>
  <c r="G1327" i="4"/>
  <c r="K1326" i="4"/>
  <c r="J1326" i="4"/>
  <c r="L1326" i="4" s="1"/>
  <c r="I1326" i="4"/>
  <c r="H1326" i="4"/>
  <c r="G1326" i="4"/>
  <c r="J1325" i="4"/>
  <c r="L1325" i="4" s="1"/>
  <c r="M1325" i="4" s="1"/>
  <c r="N1325" i="4" s="1"/>
  <c r="I1325" i="4"/>
  <c r="K1325" i="4" s="1"/>
  <c r="H1325" i="4"/>
  <c r="G1325" i="4"/>
  <c r="K1324" i="4"/>
  <c r="J1324" i="4"/>
  <c r="L1324" i="4" s="1"/>
  <c r="M1324" i="4" s="1"/>
  <c r="N1324" i="4" s="1"/>
  <c r="I1324" i="4"/>
  <c r="H1324" i="4"/>
  <c r="G1324" i="4"/>
  <c r="K1323" i="4"/>
  <c r="J1323" i="4"/>
  <c r="L1323" i="4" s="1"/>
  <c r="M1323" i="4" s="1"/>
  <c r="N1323" i="4" s="1"/>
  <c r="I1323" i="4"/>
  <c r="H1323" i="4"/>
  <c r="G1323" i="4"/>
  <c r="J1322" i="4"/>
  <c r="L1322" i="4" s="1"/>
  <c r="I1322" i="4"/>
  <c r="K1322" i="4" s="1"/>
  <c r="H1322" i="4"/>
  <c r="G1322" i="4"/>
  <c r="N1321" i="4"/>
  <c r="K1321" i="4"/>
  <c r="J1321" i="4"/>
  <c r="L1321" i="4" s="1"/>
  <c r="M1321" i="4" s="1"/>
  <c r="I1321" i="4"/>
  <c r="H1321" i="4"/>
  <c r="G1321" i="4"/>
  <c r="K1320" i="4"/>
  <c r="J1320" i="4"/>
  <c r="L1320" i="4" s="1"/>
  <c r="I1320" i="4"/>
  <c r="H1320" i="4"/>
  <c r="G1320" i="4"/>
  <c r="L1319" i="4"/>
  <c r="M1319" i="4" s="1"/>
  <c r="N1319" i="4" s="1"/>
  <c r="J1319" i="4"/>
  <c r="I1319" i="4"/>
  <c r="K1319" i="4" s="1"/>
  <c r="H1319" i="4"/>
  <c r="G1319" i="4"/>
  <c r="L1318" i="4"/>
  <c r="M1318" i="4" s="1"/>
  <c r="N1318" i="4" s="1"/>
  <c r="K1318" i="4"/>
  <c r="J1318" i="4"/>
  <c r="I1318" i="4"/>
  <c r="H1318" i="4"/>
  <c r="G1318" i="4"/>
  <c r="K1317" i="4"/>
  <c r="J1317" i="4"/>
  <c r="L1317" i="4" s="1"/>
  <c r="I1317" i="4"/>
  <c r="H1317" i="4"/>
  <c r="G1317" i="4"/>
  <c r="L1316" i="4"/>
  <c r="J1316" i="4"/>
  <c r="I1316" i="4"/>
  <c r="K1316" i="4" s="1"/>
  <c r="H1316" i="4"/>
  <c r="G1316" i="4"/>
  <c r="L1315" i="4"/>
  <c r="K1315" i="4"/>
  <c r="J1315" i="4"/>
  <c r="I1315" i="4"/>
  <c r="H1315" i="4"/>
  <c r="G1315" i="4"/>
  <c r="K1314" i="4"/>
  <c r="J1314" i="4"/>
  <c r="L1314" i="4" s="1"/>
  <c r="M1314" i="4" s="1"/>
  <c r="N1314" i="4" s="1"/>
  <c r="I1314" i="4"/>
  <c r="H1314" i="4"/>
  <c r="G1314" i="4"/>
  <c r="J1313" i="4"/>
  <c r="L1313" i="4" s="1"/>
  <c r="I1313" i="4"/>
  <c r="K1313" i="4" s="1"/>
  <c r="H1313" i="4"/>
  <c r="G1313" i="4"/>
  <c r="K1312" i="4"/>
  <c r="J1312" i="4"/>
  <c r="L1312" i="4" s="1"/>
  <c r="I1312" i="4"/>
  <c r="H1312" i="4"/>
  <c r="G1312" i="4"/>
  <c r="K1311" i="4"/>
  <c r="J1311" i="4"/>
  <c r="L1311" i="4" s="1"/>
  <c r="I1311" i="4"/>
  <c r="H1311" i="4"/>
  <c r="G1311" i="4"/>
  <c r="J1310" i="4"/>
  <c r="L1310" i="4" s="1"/>
  <c r="M1310" i="4" s="1"/>
  <c r="N1310" i="4" s="1"/>
  <c r="I1310" i="4"/>
  <c r="K1310" i="4" s="1"/>
  <c r="H1310" i="4"/>
  <c r="G1310" i="4"/>
  <c r="K1309" i="4"/>
  <c r="J1309" i="4"/>
  <c r="L1309" i="4" s="1"/>
  <c r="I1309" i="4"/>
  <c r="H1309" i="4"/>
  <c r="G1309" i="4"/>
  <c r="K1308" i="4"/>
  <c r="J1308" i="4"/>
  <c r="L1308" i="4" s="1"/>
  <c r="M1308" i="4" s="1"/>
  <c r="N1308" i="4" s="1"/>
  <c r="I1308" i="4"/>
  <c r="H1308" i="4"/>
  <c r="G1308" i="4"/>
  <c r="J1307" i="4"/>
  <c r="L1307" i="4" s="1"/>
  <c r="I1307" i="4"/>
  <c r="K1307" i="4" s="1"/>
  <c r="H1307" i="4"/>
  <c r="G1307" i="4"/>
  <c r="K1306" i="4"/>
  <c r="J1306" i="4"/>
  <c r="L1306" i="4" s="1"/>
  <c r="M1306" i="4" s="1"/>
  <c r="N1306" i="4" s="1"/>
  <c r="I1306" i="4"/>
  <c r="H1306" i="4"/>
  <c r="G1306" i="4"/>
  <c r="K1305" i="4"/>
  <c r="J1305" i="4"/>
  <c r="L1305" i="4" s="1"/>
  <c r="M1305" i="4" s="1"/>
  <c r="N1305" i="4" s="1"/>
  <c r="I1305" i="4"/>
  <c r="H1305" i="4"/>
  <c r="G1305" i="4"/>
  <c r="L1304" i="4"/>
  <c r="M1304" i="4" s="1"/>
  <c r="N1304" i="4" s="1"/>
  <c r="J1304" i="4"/>
  <c r="I1304" i="4"/>
  <c r="K1304" i="4" s="1"/>
  <c r="H1304" i="4"/>
  <c r="G1304" i="4"/>
  <c r="K1303" i="4"/>
  <c r="J1303" i="4"/>
  <c r="L1303" i="4" s="1"/>
  <c r="I1303" i="4"/>
  <c r="H1303" i="4"/>
  <c r="G1303" i="4"/>
  <c r="K1302" i="4"/>
  <c r="J1302" i="4"/>
  <c r="L1302" i="4" s="1"/>
  <c r="I1302" i="4"/>
  <c r="H1302" i="4"/>
  <c r="G1302" i="4"/>
  <c r="J1301" i="4"/>
  <c r="L1301" i="4" s="1"/>
  <c r="I1301" i="4"/>
  <c r="K1301" i="4" s="1"/>
  <c r="H1301" i="4"/>
  <c r="G1301" i="4"/>
  <c r="N1300" i="4"/>
  <c r="K1300" i="4"/>
  <c r="J1300" i="4"/>
  <c r="L1300" i="4" s="1"/>
  <c r="M1300" i="4" s="1"/>
  <c r="I1300" i="4"/>
  <c r="H1300" i="4"/>
  <c r="G1300" i="4"/>
  <c r="K1299" i="4"/>
  <c r="J1299" i="4"/>
  <c r="L1299" i="4" s="1"/>
  <c r="M1299" i="4" s="1"/>
  <c r="N1299" i="4" s="1"/>
  <c r="I1299" i="4"/>
  <c r="H1299" i="4"/>
  <c r="G1299" i="4"/>
  <c r="K1298" i="4"/>
  <c r="J1298" i="4"/>
  <c r="L1298" i="4" s="1"/>
  <c r="M1298" i="4" s="1"/>
  <c r="N1298" i="4" s="1"/>
  <c r="I1298" i="4"/>
  <c r="H1298" i="4"/>
  <c r="G1298" i="4"/>
  <c r="K1297" i="4"/>
  <c r="J1297" i="4"/>
  <c r="L1297" i="4" s="1"/>
  <c r="I1297" i="4"/>
  <c r="H1297" i="4"/>
  <c r="G1297" i="4"/>
  <c r="K1296" i="4"/>
  <c r="J1296" i="4"/>
  <c r="L1296" i="4" s="1"/>
  <c r="I1296" i="4"/>
  <c r="H1296" i="4"/>
  <c r="G1296" i="4"/>
  <c r="J1295" i="4"/>
  <c r="L1295" i="4" s="1"/>
  <c r="M1295" i="4" s="1"/>
  <c r="N1295" i="4" s="1"/>
  <c r="I1295" i="4"/>
  <c r="K1295" i="4" s="1"/>
  <c r="H1295" i="4"/>
  <c r="G1295" i="4"/>
  <c r="K1294" i="4"/>
  <c r="J1294" i="4"/>
  <c r="L1294" i="4" s="1"/>
  <c r="M1294" i="4" s="1"/>
  <c r="N1294" i="4" s="1"/>
  <c r="I1294" i="4"/>
  <c r="H1294" i="4"/>
  <c r="G1294" i="4"/>
  <c r="K1293" i="4"/>
  <c r="J1293" i="4"/>
  <c r="L1293" i="4" s="1"/>
  <c r="M1293" i="4" s="1"/>
  <c r="N1293" i="4" s="1"/>
  <c r="I1293" i="4"/>
  <c r="H1293" i="4"/>
  <c r="G1293" i="4"/>
  <c r="K1292" i="4"/>
  <c r="J1292" i="4"/>
  <c r="L1292" i="4" s="1"/>
  <c r="M1292" i="4" s="1"/>
  <c r="N1292" i="4" s="1"/>
  <c r="I1292" i="4"/>
  <c r="H1292" i="4"/>
  <c r="G1292" i="4"/>
  <c r="K1291" i="4"/>
  <c r="J1291" i="4"/>
  <c r="L1291" i="4" s="1"/>
  <c r="I1291" i="4"/>
  <c r="H1291" i="4"/>
  <c r="G1291" i="4"/>
  <c r="K1290" i="4"/>
  <c r="J1290" i="4"/>
  <c r="L1290" i="4" s="1"/>
  <c r="I1290" i="4"/>
  <c r="H1290" i="4"/>
  <c r="G1290" i="4"/>
  <c r="J1289" i="4"/>
  <c r="L1289" i="4" s="1"/>
  <c r="M1289" i="4" s="1"/>
  <c r="N1289" i="4" s="1"/>
  <c r="I1289" i="4"/>
  <c r="K1289" i="4" s="1"/>
  <c r="H1289" i="4"/>
  <c r="G1289" i="4"/>
  <c r="K1288" i="4"/>
  <c r="J1288" i="4"/>
  <c r="L1288" i="4" s="1"/>
  <c r="I1288" i="4"/>
  <c r="H1288" i="4"/>
  <c r="G1288" i="4"/>
  <c r="K1287" i="4"/>
  <c r="J1287" i="4"/>
  <c r="L1287" i="4" s="1"/>
  <c r="M1287" i="4" s="1"/>
  <c r="N1287" i="4" s="1"/>
  <c r="I1287" i="4"/>
  <c r="H1287" i="4"/>
  <c r="G1287" i="4"/>
  <c r="J1286" i="4"/>
  <c r="L1286" i="4" s="1"/>
  <c r="I1286" i="4"/>
  <c r="K1286" i="4" s="1"/>
  <c r="H1286" i="4"/>
  <c r="G1286" i="4"/>
  <c r="K1285" i="4"/>
  <c r="J1285" i="4"/>
  <c r="L1285" i="4" s="1"/>
  <c r="M1285" i="4" s="1"/>
  <c r="N1285" i="4" s="1"/>
  <c r="I1285" i="4"/>
  <c r="H1285" i="4"/>
  <c r="G1285" i="4"/>
  <c r="K1284" i="4"/>
  <c r="J1284" i="4"/>
  <c r="L1284" i="4" s="1"/>
  <c r="M1284" i="4" s="1"/>
  <c r="N1284" i="4" s="1"/>
  <c r="I1284" i="4"/>
  <c r="H1284" i="4"/>
  <c r="G1284" i="4"/>
  <c r="J1283" i="4"/>
  <c r="L1283" i="4" s="1"/>
  <c r="M1283" i="4" s="1"/>
  <c r="N1283" i="4" s="1"/>
  <c r="I1283" i="4"/>
  <c r="K1283" i="4" s="1"/>
  <c r="H1283" i="4"/>
  <c r="G1283" i="4"/>
  <c r="L1282" i="4"/>
  <c r="M1282" i="4" s="1"/>
  <c r="N1282" i="4" s="1"/>
  <c r="K1282" i="4"/>
  <c r="J1282" i="4"/>
  <c r="I1282" i="4"/>
  <c r="H1282" i="4"/>
  <c r="G1282" i="4"/>
  <c r="K1281" i="4"/>
  <c r="J1281" i="4"/>
  <c r="L1281" i="4" s="1"/>
  <c r="I1281" i="4"/>
  <c r="H1281" i="4"/>
  <c r="G1281" i="4"/>
  <c r="J1280" i="4"/>
  <c r="L1280" i="4" s="1"/>
  <c r="I1280" i="4"/>
  <c r="K1280" i="4" s="1"/>
  <c r="H1280" i="4"/>
  <c r="G1280" i="4"/>
  <c r="N1279" i="4"/>
  <c r="K1279" i="4"/>
  <c r="J1279" i="4"/>
  <c r="L1279" i="4" s="1"/>
  <c r="M1279" i="4" s="1"/>
  <c r="I1279" i="4"/>
  <c r="H1279" i="4"/>
  <c r="G1279" i="4"/>
  <c r="K1278" i="4"/>
  <c r="J1278" i="4"/>
  <c r="L1278" i="4" s="1"/>
  <c r="M1278" i="4" s="1"/>
  <c r="N1278" i="4" s="1"/>
  <c r="I1278" i="4"/>
  <c r="H1278" i="4"/>
  <c r="G1278" i="4"/>
  <c r="K1277" i="4"/>
  <c r="J1277" i="4"/>
  <c r="L1277" i="4" s="1"/>
  <c r="M1277" i="4" s="1"/>
  <c r="N1277" i="4" s="1"/>
  <c r="I1277" i="4"/>
  <c r="H1277" i="4"/>
  <c r="G1277" i="4"/>
  <c r="K1276" i="4"/>
  <c r="J1276" i="4"/>
  <c r="L1276" i="4" s="1"/>
  <c r="M1276" i="4" s="1"/>
  <c r="N1276" i="4" s="1"/>
  <c r="I1276" i="4"/>
  <c r="H1276" i="4"/>
  <c r="G1276" i="4"/>
  <c r="K1275" i="4"/>
  <c r="J1275" i="4"/>
  <c r="L1275" i="4" s="1"/>
  <c r="M1275" i="4" s="1"/>
  <c r="N1275" i="4" s="1"/>
  <c r="I1275" i="4"/>
  <c r="H1275" i="4"/>
  <c r="G1275" i="4"/>
  <c r="J1274" i="4"/>
  <c r="L1274" i="4" s="1"/>
  <c r="M1274" i="4" s="1"/>
  <c r="N1274" i="4" s="1"/>
  <c r="I1274" i="4"/>
  <c r="K1274" i="4" s="1"/>
  <c r="H1274" i="4"/>
  <c r="G1274" i="4"/>
  <c r="L1273" i="4"/>
  <c r="M1273" i="4" s="1"/>
  <c r="N1273" i="4" s="1"/>
  <c r="K1273" i="4"/>
  <c r="J1273" i="4"/>
  <c r="I1273" i="4"/>
  <c r="H1273" i="4"/>
  <c r="G1273" i="4"/>
  <c r="K1272" i="4"/>
  <c r="J1272" i="4"/>
  <c r="L1272" i="4" s="1"/>
  <c r="M1272" i="4" s="1"/>
  <c r="N1272" i="4" s="1"/>
  <c r="I1272" i="4"/>
  <c r="H1272" i="4"/>
  <c r="G1272" i="4"/>
  <c r="J1271" i="4"/>
  <c r="L1271" i="4" s="1"/>
  <c r="M1271" i="4" s="1"/>
  <c r="N1271" i="4" s="1"/>
  <c r="I1271" i="4"/>
  <c r="K1271" i="4" s="1"/>
  <c r="H1271" i="4"/>
  <c r="G1271" i="4"/>
  <c r="L1270" i="4"/>
  <c r="M1270" i="4" s="1"/>
  <c r="N1270" i="4" s="1"/>
  <c r="K1270" i="4"/>
  <c r="J1270" i="4"/>
  <c r="I1270" i="4"/>
  <c r="H1270" i="4"/>
  <c r="G1270" i="4"/>
  <c r="K1269" i="4"/>
  <c r="J1269" i="4"/>
  <c r="L1269" i="4" s="1"/>
  <c r="M1269" i="4" s="1"/>
  <c r="N1269" i="4" s="1"/>
  <c r="I1269" i="4"/>
  <c r="H1269" i="4"/>
  <c r="G1269" i="4"/>
  <c r="J1268" i="4"/>
  <c r="L1268" i="4" s="1"/>
  <c r="M1268" i="4" s="1"/>
  <c r="N1268" i="4" s="1"/>
  <c r="I1268" i="4"/>
  <c r="K1268" i="4" s="1"/>
  <c r="H1268" i="4"/>
  <c r="G1268" i="4"/>
  <c r="L1267" i="4"/>
  <c r="M1267" i="4" s="1"/>
  <c r="N1267" i="4" s="1"/>
  <c r="K1267" i="4"/>
  <c r="J1267" i="4"/>
  <c r="I1267" i="4"/>
  <c r="H1267" i="4"/>
  <c r="G1267" i="4"/>
  <c r="K1266" i="4"/>
  <c r="J1266" i="4"/>
  <c r="L1266" i="4" s="1"/>
  <c r="M1266" i="4" s="1"/>
  <c r="N1266" i="4" s="1"/>
  <c r="I1266" i="4"/>
  <c r="H1266" i="4"/>
  <c r="G1266" i="4"/>
  <c r="J1265" i="4"/>
  <c r="L1265" i="4" s="1"/>
  <c r="M1265" i="4" s="1"/>
  <c r="N1265" i="4" s="1"/>
  <c r="I1265" i="4"/>
  <c r="K1265" i="4" s="1"/>
  <c r="H1265" i="4"/>
  <c r="G1265" i="4"/>
  <c r="L1264" i="4"/>
  <c r="M1264" i="4" s="1"/>
  <c r="N1264" i="4" s="1"/>
  <c r="K1264" i="4"/>
  <c r="J1264" i="4"/>
  <c r="I1264" i="4"/>
  <c r="H1264" i="4"/>
  <c r="G1264" i="4"/>
  <c r="K1263" i="4"/>
  <c r="J1263" i="4"/>
  <c r="L1263" i="4" s="1"/>
  <c r="M1263" i="4" s="1"/>
  <c r="N1263" i="4" s="1"/>
  <c r="I1263" i="4"/>
  <c r="H1263" i="4"/>
  <c r="G1263" i="4"/>
  <c r="J1262" i="4"/>
  <c r="L1262" i="4" s="1"/>
  <c r="M1262" i="4" s="1"/>
  <c r="N1262" i="4" s="1"/>
  <c r="I1262" i="4"/>
  <c r="K1262" i="4" s="1"/>
  <c r="H1262" i="4"/>
  <c r="G1262" i="4"/>
  <c r="L1261" i="4"/>
  <c r="M1261" i="4" s="1"/>
  <c r="N1261" i="4" s="1"/>
  <c r="K1261" i="4"/>
  <c r="J1261" i="4"/>
  <c r="I1261" i="4"/>
  <c r="H1261" i="4"/>
  <c r="G1261" i="4"/>
  <c r="K1260" i="4"/>
  <c r="J1260" i="4"/>
  <c r="L1260" i="4" s="1"/>
  <c r="M1260" i="4" s="1"/>
  <c r="N1260" i="4" s="1"/>
  <c r="I1260" i="4"/>
  <c r="H1260" i="4"/>
  <c r="G1260" i="4"/>
  <c r="J1259" i="4"/>
  <c r="L1259" i="4" s="1"/>
  <c r="M1259" i="4" s="1"/>
  <c r="N1259" i="4" s="1"/>
  <c r="I1259" i="4"/>
  <c r="K1259" i="4" s="1"/>
  <c r="H1259" i="4"/>
  <c r="G1259" i="4"/>
  <c r="L1258" i="4"/>
  <c r="M1258" i="4" s="1"/>
  <c r="N1258" i="4" s="1"/>
  <c r="K1258" i="4"/>
  <c r="J1258" i="4"/>
  <c r="I1258" i="4"/>
  <c r="H1258" i="4"/>
  <c r="G1258" i="4"/>
  <c r="K1257" i="4"/>
  <c r="J1257" i="4"/>
  <c r="L1257" i="4" s="1"/>
  <c r="M1257" i="4" s="1"/>
  <c r="N1257" i="4" s="1"/>
  <c r="I1257" i="4"/>
  <c r="H1257" i="4"/>
  <c r="G1257" i="4"/>
  <c r="J1256" i="4"/>
  <c r="L1256" i="4" s="1"/>
  <c r="I1256" i="4"/>
  <c r="K1256" i="4" s="1"/>
  <c r="H1256" i="4"/>
  <c r="G1256" i="4"/>
  <c r="L1255" i="4"/>
  <c r="M1255" i="4" s="1"/>
  <c r="N1255" i="4" s="1"/>
  <c r="K1255" i="4"/>
  <c r="J1255" i="4"/>
  <c r="I1255" i="4"/>
  <c r="H1255" i="4"/>
  <c r="G1255" i="4"/>
  <c r="K1254" i="4"/>
  <c r="J1254" i="4"/>
  <c r="L1254" i="4" s="1"/>
  <c r="M1254" i="4" s="1"/>
  <c r="N1254" i="4" s="1"/>
  <c r="I1254" i="4"/>
  <c r="H1254" i="4"/>
  <c r="G1254" i="4"/>
  <c r="J1253" i="4"/>
  <c r="L1253" i="4" s="1"/>
  <c r="M1253" i="4" s="1"/>
  <c r="N1253" i="4" s="1"/>
  <c r="I1253" i="4"/>
  <c r="K1253" i="4" s="1"/>
  <c r="H1253" i="4"/>
  <c r="G1253" i="4"/>
  <c r="L1252" i="4"/>
  <c r="M1252" i="4" s="1"/>
  <c r="N1252" i="4" s="1"/>
  <c r="K1252" i="4"/>
  <c r="J1252" i="4"/>
  <c r="I1252" i="4"/>
  <c r="H1252" i="4"/>
  <c r="G1252" i="4"/>
  <c r="K1251" i="4"/>
  <c r="J1251" i="4"/>
  <c r="L1251" i="4" s="1"/>
  <c r="M1251" i="4" s="1"/>
  <c r="N1251" i="4" s="1"/>
  <c r="I1251" i="4"/>
  <c r="H1251" i="4"/>
  <c r="G1251" i="4"/>
  <c r="J1250" i="4"/>
  <c r="L1250" i="4" s="1"/>
  <c r="M1250" i="4" s="1"/>
  <c r="N1250" i="4" s="1"/>
  <c r="I1250" i="4"/>
  <c r="K1250" i="4" s="1"/>
  <c r="H1250" i="4"/>
  <c r="G1250" i="4"/>
  <c r="L1249" i="4"/>
  <c r="M1249" i="4" s="1"/>
  <c r="N1249" i="4" s="1"/>
  <c r="K1249" i="4"/>
  <c r="J1249" i="4"/>
  <c r="I1249" i="4"/>
  <c r="H1249" i="4"/>
  <c r="G1249" i="4"/>
  <c r="K1248" i="4"/>
  <c r="J1248" i="4"/>
  <c r="L1248" i="4" s="1"/>
  <c r="M1248" i="4" s="1"/>
  <c r="N1248" i="4" s="1"/>
  <c r="I1248" i="4"/>
  <c r="H1248" i="4"/>
  <c r="G1248" i="4"/>
  <c r="J1247" i="4"/>
  <c r="L1247" i="4" s="1"/>
  <c r="M1247" i="4" s="1"/>
  <c r="N1247" i="4" s="1"/>
  <c r="I1247" i="4"/>
  <c r="K1247" i="4" s="1"/>
  <c r="H1247" i="4"/>
  <c r="G1247" i="4"/>
  <c r="L1246" i="4"/>
  <c r="M1246" i="4" s="1"/>
  <c r="N1246" i="4" s="1"/>
  <c r="K1246" i="4"/>
  <c r="J1246" i="4"/>
  <c r="I1246" i="4"/>
  <c r="H1246" i="4"/>
  <c r="G1246" i="4"/>
  <c r="K1245" i="4"/>
  <c r="J1245" i="4"/>
  <c r="L1245" i="4" s="1"/>
  <c r="M1245" i="4" s="1"/>
  <c r="N1245" i="4" s="1"/>
  <c r="I1245" i="4"/>
  <c r="H1245" i="4"/>
  <c r="G1245" i="4"/>
  <c r="J1244" i="4"/>
  <c r="L1244" i="4" s="1"/>
  <c r="I1244" i="4"/>
  <c r="K1244" i="4" s="1"/>
  <c r="H1244" i="4"/>
  <c r="G1244" i="4"/>
  <c r="L1243" i="4"/>
  <c r="M1243" i="4" s="1"/>
  <c r="N1243" i="4" s="1"/>
  <c r="K1243" i="4"/>
  <c r="J1243" i="4"/>
  <c r="I1243" i="4"/>
  <c r="H1243" i="4"/>
  <c r="G1243" i="4"/>
  <c r="K1242" i="4"/>
  <c r="J1242" i="4"/>
  <c r="L1242" i="4" s="1"/>
  <c r="M1242" i="4" s="1"/>
  <c r="N1242" i="4" s="1"/>
  <c r="I1242" i="4"/>
  <c r="H1242" i="4"/>
  <c r="G1242" i="4"/>
  <c r="J1241" i="4"/>
  <c r="L1241" i="4" s="1"/>
  <c r="I1241" i="4"/>
  <c r="K1241" i="4" s="1"/>
  <c r="H1241" i="4"/>
  <c r="G1241" i="4"/>
  <c r="L1240" i="4"/>
  <c r="M1240" i="4" s="1"/>
  <c r="N1240" i="4" s="1"/>
  <c r="K1240" i="4"/>
  <c r="J1240" i="4"/>
  <c r="I1240" i="4"/>
  <c r="H1240" i="4"/>
  <c r="G1240" i="4"/>
  <c r="K1239" i="4"/>
  <c r="J1239" i="4"/>
  <c r="L1239" i="4" s="1"/>
  <c r="M1239" i="4" s="1"/>
  <c r="N1239" i="4" s="1"/>
  <c r="I1239" i="4"/>
  <c r="H1239" i="4"/>
  <c r="G1239" i="4"/>
  <c r="J1238" i="4"/>
  <c r="L1238" i="4" s="1"/>
  <c r="M1238" i="4" s="1"/>
  <c r="N1238" i="4" s="1"/>
  <c r="I1238" i="4"/>
  <c r="K1238" i="4" s="1"/>
  <c r="H1238" i="4"/>
  <c r="G1238" i="4"/>
  <c r="L1237" i="4"/>
  <c r="M1237" i="4" s="1"/>
  <c r="N1237" i="4" s="1"/>
  <c r="K1237" i="4"/>
  <c r="J1237" i="4"/>
  <c r="I1237" i="4"/>
  <c r="H1237" i="4"/>
  <c r="G1237" i="4"/>
  <c r="K1236" i="4"/>
  <c r="J1236" i="4"/>
  <c r="L1236" i="4" s="1"/>
  <c r="M1236" i="4" s="1"/>
  <c r="N1236" i="4" s="1"/>
  <c r="I1236" i="4"/>
  <c r="H1236" i="4"/>
  <c r="G1236" i="4"/>
  <c r="J1235" i="4"/>
  <c r="L1235" i="4" s="1"/>
  <c r="M1235" i="4" s="1"/>
  <c r="N1235" i="4" s="1"/>
  <c r="I1235" i="4"/>
  <c r="K1235" i="4" s="1"/>
  <c r="H1235" i="4"/>
  <c r="G1235" i="4"/>
  <c r="L1234" i="4"/>
  <c r="M1234" i="4" s="1"/>
  <c r="N1234" i="4" s="1"/>
  <c r="K1234" i="4"/>
  <c r="J1234" i="4"/>
  <c r="I1234" i="4"/>
  <c r="H1234" i="4"/>
  <c r="G1234" i="4"/>
  <c r="K1233" i="4"/>
  <c r="J1233" i="4"/>
  <c r="L1233" i="4" s="1"/>
  <c r="M1233" i="4" s="1"/>
  <c r="N1233" i="4" s="1"/>
  <c r="I1233" i="4"/>
  <c r="H1233" i="4"/>
  <c r="G1233" i="4"/>
  <c r="J1232" i="4"/>
  <c r="L1232" i="4" s="1"/>
  <c r="I1232" i="4"/>
  <c r="K1232" i="4" s="1"/>
  <c r="H1232" i="4"/>
  <c r="G1232" i="4"/>
  <c r="L1231" i="4"/>
  <c r="M1231" i="4" s="1"/>
  <c r="N1231" i="4" s="1"/>
  <c r="K1231" i="4"/>
  <c r="J1231" i="4"/>
  <c r="I1231" i="4"/>
  <c r="H1231" i="4"/>
  <c r="G1231" i="4"/>
  <c r="N1230" i="4"/>
  <c r="M1230" i="4"/>
  <c r="L1230" i="4"/>
  <c r="K1230" i="4"/>
  <c r="J1230" i="4"/>
  <c r="I1230" i="4"/>
  <c r="H1230" i="4"/>
  <c r="G1230" i="4"/>
  <c r="J1229" i="4"/>
  <c r="L1229" i="4" s="1"/>
  <c r="M1229" i="4" s="1"/>
  <c r="N1229" i="4" s="1"/>
  <c r="I1229" i="4"/>
  <c r="K1229" i="4" s="1"/>
  <c r="H1229" i="4"/>
  <c r="G1229" i="4"/>
  <c r="L1228" i="4"/>
  <c r="M1228" i="4" s="1"/>
  <c r="N1228" i="4" s="1"/>
  <c r="K1228" i="4"/>
  <c r="J1228" i="4"/>
  <c r="I1228" i="4"/>
  <c r="H1228" i="4"/>
  <c r="G1228" i="4"/>
  <c r="N1227" i="4"/>
  <c r="M1227" i="4"/>
  <c r="L1227" i="4"/>
  <c r="K1227" i="4"/>
  <c r="J1227" i="4"/>
  <c r="I1227" i="4"/>
  <c r="H1227" i="4"/>
  <c r="G1227" i="4"/>
  <c r="J1226" i="4"/>
  <c r="L1226" i="4" s="1"/>
  <c r="I1226" i="4"/>
  <c r="K1226" i="4" s="1"/>
  <c r="H1226" i="4"/>
  <c r="G1226" i="4"/>
  <c r="L1225" i="4"/>
  <c r="M1225" i="4" s="1"/>
  <c r="N1225" i="4" s="1"/>
  <c r="K1225" i="4"/>
  <c r="J1225" i="4"/>
  <c r="I1225" i="4"/>
  <c r="H1225" i="4"/>
  <c r="G1225" i="4"/>
  <c r="N1224" i="4"/>
  <c r="M1224" i="4"/>
  <c r="L1224" i="4"/>
  <c r="K1224" i="4"/>
  <c r="J1224" i="4"/>
  <c r="I1224" i="4"/>
  <c r="H1224" i="4"/>
  <c r="G1224" i="4"/>
  <c r="J1223" i="4"/>
  <c r="L1223" i="4" s="1"/>
  <c r="M1223" i="4" s="1"/>
  <c r="N1223" i="4" s="1"/>
  <c r="I1223" i="4"/>
  <c r="K1223" i="4" s="1"/>
  <c r="H1223" i="4"/>
  <c r="G1223" i="4"/>
  <c r="L1222" i="4"/>
  <c r="M1222" i="4" s="1"/>
  <c r="N1222" i="4" s="1"/>
  <c r="K1222" i="4"/>
  <c r="J1222" i="4"/>
  <c r="I1222" i="4"/>
  <c r="H1222" i="4"/>
  <c r="G1222" i="4"/>
  <c r="N1221" i="4"/>
  <c r="M1221" i="4"/>
  <c r="L1221" i="4"/>
  <c r="K1221" i="4"/>
  <c r="J1221" i="4"/>
  <c r="I1221" i="4"/>
  <c r="H1221" i="4"/>
  <c r="G1221" i="4"/>
  <c r="J1220" i="4"/>
  <c r="L1220" i="4" s="1"/>
  <c r="I1220" i="4"/>
  <c r="K1220" i="4" s="1"/>
  <c r="H1220" i="4"/>
  <c r="G1220" i="4"/>
  <c r="L1219" i="4"/>
  <c r="M1219" i="4" s="1"/>
  <c r="N1219" i="4" s="1"/>
  <c r="K1219" i="4"/>
  <c r="J1219" i="4"/>
  <c r="I1219" i="4"/>
  <c r="H1219" i="4"/>
  <c r="G1219" i="4"/>
  <c r="N1218" i="4"/>
  <c r="M1218" i="4"/>
  <c r="L1218" i="4"/>
  <c r="K1218" i="4"/>
  <c r="J1218" i="4"/>
  <c r="I1218" i="4"/>
  <c r="H1218" i="4"/>
  <c r="G1218" i="4"/>
  <c r="J1217" i="4"/>
  <c r="L1217" i="4" s="1"/>
  <c r="M1217" i="4" s="1"/>
  <c r="N1217" i="4" s="1"/>
  <c r="I1217" i="4"/>
  <c r="K1217" i="4" s="1"/>
  <c r="H1217" i="4"/>
  <c r="G1217" i="4"/>
  <c r="L1216" i="4"/>
  <c r="M1216" i="4" s="1"/>
  <c r="N1216" i="4" s="1"/>
  <c r="K1216" i="4"/>
  <c r="J1216" i="4"/>
  <c r="I1216" i="4"/>
  <c r="H1216" i="4"/>
  <c r="G1216" i="4"/>
  <c r="N1215" i="4"/>
  <c r="M1215" i="4"/>
  <c r="L1215" i="4"/>
  <c r="K1215" i="4"/>
  <c r="J1215" i="4"/>
  <c r="I1215" i="4"/>
  <c r="H1215" i="4"/>
  <c r="G1215" i="4"/>
  <c r="J1214" i="4"/>
  <c r="L1214" i="4" s="1"/>
  <c r="I1214" i="4"/>
  <c r="K1214" i="4" s="1"/>
  <c r="H1214" i="4"/>
  <c r="G1214" i="4"/>
  <c r="L1213" i="4"/>
  <c r="M1213" i="4" s="1"/>
  <c r="N1213" i="4" s="1"/>
  <c r="K1213" i="4"/>
  <c r="J1213" i="4"/>
  <c r="I1213" i="4"/>
  <c r="H1213" i="4"/>
  <c r="G1213" i="4"/>
  <c r="N1212" i="4"/>
  <c r="M1212" i="4"/>
  <c r="L1212" i="4"/>
  <c r="K1212" i="4"/>
  <c r="J1212" i="4"/>
  <c r="I1212" i="4"/>
  <c r="H1212" i="4"/>
  <c r="G1212" i="4"/>
  <c r="J1211" i="4"/>
  <c r="L1211" i="4" s="1"/>
  <c r="M1211" i="4" s="1"/>
  <c r="N1211" i="4" s="1"/>
  <c r="I1211" i="4"/>
  <c r="K1211" i="4" s="1"/>
  <c r="H1211" i="4"/>
  <c r="G1211" i="4"/>
  <c r="L1210" i="4"/>
  <c r="M1210" i="4" s="1"/>
  <c r="N1210" i="4" s="1"/>
  <c r="K1210" i="4"/>
  <c r="J1210" i="4"/>
  <c r="I1210" i="4"/>
  <c r="H1210" i="4"/>
  <c r="G1210" i="4"/>
  <c r="N1209" i="4"/>
  <c r="M1209" i="4"/>
  <c r="L1209" i="4"/>
  <c r="K1209" i="4"/>
  <c r="J1209" i="4"/>
  <c r="I1209" i="4"/>
  <c r="H1209" i="4"/>
  <c r="G1209" i="4"/>
  <c r="J1208" i="4"/>
  <c r="L1208" i="4" s="1"/>
  <c r="I1208" i="4"/>
  <c r="K1208" i="4" s="1"/>
  <c r="H1208" i="4"/>
  <c r="G1208" i="4"/>
  <c r="L1207" i="4"/>
  <c r="M1207" i="4" s="1"/>
  <c r="N1207" i="4" s="1"/>
  <c r="K1207" i="4"/>
  <c r="J1207" i="4"/>
  <c r="I1207" i="4"/>
  <c r="H1207" i="4"/>
  <c r="G1207" i="4"/>
  <c r="N1206" i="4"/>
  <c r="M1206" i="4"/>
  <c r="L1206" i="4"/>
  <c r="K1206" i="4"/>
  <c r="J1206" i="4"/>
  <c r="I1206" i="4"/>
  <c r="H1206" i="4"/>
  <c r="G1206" i="4"/>
  <c r="J1205" i="4"/>
  <c r="L1205" i="4" s="1"/>
  <c r="M1205" i="4" s="1"/>
  <c r="N1205" i="4" s="1"/>
  <c r="I1205" i="4"/>
  <c r="K1205" i="4" s="1"/>
  <c r="H1205" i="4"/>
  <c r="G1205" i="4"/>
  <c r="L1204" i="4"/>
  <c r="M1204" i="4" s="1"/>
  <c r="N1204" i="4" s="1"/>
  <c r="K1204" i="4"/>
  <c r="J1204" i="4"/>
  <c r="I1204" i="4"/>
  <c r="H1204" i="4"/>
  <c r="G1204" i="4"/>
  <c r="N1203" i="4"/>
  <c r="M1203" i="4"/>
  <c r="L1203" i="4"/>
  <c r="K1203" i="4"/>
  <c r="J1203" i="4"/>
  <c r="I1203" i="4"/>
  <c r="H1203" i="4"/>
  <c r="G1203" i="4"/>
  <c r="J1202" i="4"/>
  <c r="L1202" i="4" s="1"/>
  <c r="I1202" i="4"/>
  <c r="K1202" i="4" s="1"/>
  <c r="H1202" i="4"/>
  <c r="G1202" i="4"/>
  <c r="L1201" i="4"/>
  <c r="M1201" i="4" s="1"/>
  <c r="N1201" i="4" s="1"/>
  <c r="K1201" i="4"/>
  <c r="J1201" i="4"/>
  <c r="I1201" i="4"/>
  <c r="H1201" i="4"/>
  <c r="G1201" i="4"/>
  <c r="N1200" i="4"/>
  <c r="M1200" i="4"/>
  <c r="L1200" i="4"/>
  <c r="K1200" i="4"/>
  <c r="J1200" i="4"/>
  <c r="I1200" i="4"/>
  <c r="H1200" i="4"/>
  <c r="G1200" i="4"/>
  <c r="J1199" i="4"/>
  <c r="L1199" i="4" s="1"/>
  <c r="M1199" i="4" s="1"/>
  <c r="N1199" i="4" s="1"/>
  <c r="I1199" i="4"/>
  <c r="K1199" i="4" s="1"/>
  <c r="H1199" i="4"/>
  <c r="G1199" i="4"/>
  <c r="L1198" i="4"/>
  <c r="M1198" i="4" s="1"/>
  <c r="N1198" i="4" s="1"/>
  <c r="K1198" i="4"/>
  <c r="J1198" i="4"/>
  <c r="I1198" i="4"/>
  <c r="H1198" i="4"/>
  <c r="G1198" i="4"/>
  <c r="N1197" i="4"/>
  <c r="M1197" i="4"/>
  <c r="L1197" i="4"/>
  <c r="K1197" i="4"/>
  <c r="J1197" i="4"/>
  <c r="I1197" i="4"/>
  <c r="H1197" i="4"/>
  <c r="G1197" i="4"/>
  <c r="J1196" i="4"/>
  <c r="L1196" i="4" s="1"/>
  <c r="I1196" i="4"/>
  <c r="K1196" i="4" s="1"/>
  <c r="H1196" i="4"/>
  <c r="G1196" i="4"/>
  <c r="L1195" i="4"/>
  <c r="M1195" i="4" s="1"/>
  <c r="N1195" i="4" s="1"/>
  <c r="K1195" i="4"/>
  <c r="J1195" i="4"/>
  <c r="I1195" i="4"/>
  <c r="H1195" i="4"/>
  <c r="G1195" i="4"/>
  <c r="N1194" i="4"/>
  <c r="M1194" i="4"/>
  <c r="L1194" i="4"/>
  <c r="K1194" i="4"/>
  <c r="J1194" i="4"/>
  <c r="I1194" i="4"/>
  <c r="H1194" i="4"/>
  <c r="G1194" i="4"/>
  <c r="J1193" i="4"/>
  <c r="L1193" i="4" s="1"/>
  <c r="M1193" i="4" s="1"/>
  <c r="N1193" i="4" s="1"/>
  <c r="I1193" i="4"/>
  <c r="K1193" i="4" s="1"/>
  <c r="H1193" i="4"/>
  <c r="G1193" i="4"/>
  <c r="L1192" i="4"/>
  <c r="M1192" i="4" s="1"/>
  <c r="N1192" i="4" s="1"/>
  <c r="K1192" i="4"/>
  <c r="J1192" i="4"/>
  <c r="I1192" i="4"/>
  <c r="H1192" i="4"/>
  <c r="G1192" i="4"/>
  <c r="N1191" i="4"/>
  <c r="M1191" i="4"/>
  <c r="L1191" i="4"/>
  <c r="K1191" i="4"/>
  <c r="J1191" i="4"/>
  <c r="I1191" i="4"/>
  <c r="H1191" i="4"/>
  <c r="G1191" i="4"/>
  <c r="J1190" i="4"/>
  <c r="L1190" i="4" s="1"/>
  <c r="I1190" i="4"/>
  <c r="K1190" i="4" s="1"/>
  <c r="H1190" i="4"/>
  <c r="G1190" i="4"/>
  <c r="L1189" i="4"/>
  <c r="M1189" i="4" s="1"/>
  <c r="N1189" i="4" s="1"/>
  <c r="K1189" i="4"/>
  <c r="J1189" i="4"/>
  <c r="I1189" i="4"/>
  <c r="H1189" i="4"/>
  <c r="G1189" i="4"/>
  <c r="N1188" i="4"/>
  <c r="M1188" i="4"/>
  <c r="L1188" i="4"/>
  <c r="K1188" i="4"/>
  <c r="J1188" i="4"/>
  <c r="I1188" i="4"/>
  <c r="H1188" i="4"/>
  <c r="G1188" i="4"/>
  <c r="J1187" i="4"/>
  <c r="L1187" i="4" s="1"/>
  <c r="M1187" i="4" s="1"/>
  <c r="N1187" i="4" s="1"/>
  <c r="I1187" i="4"/>
  <c r="K1187" i="4" s="1"/>
  <c r="H1187" i="4"/>
  <c r="G1187" i="4"/>
  <c r="L1186" i="4"/>
  <c r="M1186" i="4" s="1"/>
  <c r="N1186" i="4" s="1"/>
  <c r="K1186" i="4"/>
  <c r="J1186" i="4"/>
  <c r="I1186" i="4"/>
  <c r="H1186" i="4"/>
  <c r="G1186" i="4"/>
  <c r="N1185" i="4"/>
  <c r="M1185" i="4"/>
  <c r="L1185" i="4"/>
  <c r="K1185" i="4"/>
  <c r="J1185" i="4"/>
  <c r="I1185" i="4"/>
  <c r="H1185" i="4"/>
  <c r="G1185" i="4"/>
  <c r="J1184" i="4"/>
  <c r="L1184" i="4" s="1"/>
  <c r="I1184" i="4"/>
  <c r="K1184" i="4" s="1"/>
  <c r="H1184" i="4"/>
  <c r="G1184" i="4"/>
  <c r="L1183" i="4"/>
  <c r="M1183" i="4" s="1"/>
  <c r="N1183" i="4" s="1"/>
  <c r="K1183" i="4"/>
  <c r="J1183" i="4"/>
  <c r="I1183" i="4"/>
  <c r="H1183" i="4"/>
  <c r="G1183" i="4"/>
  <c r="N1182" i="4"/>
  <c r="M1182" i="4"/>
  <c r="L1182" i="4"/>
  <c r="K1182" i="4"/>
  <c r="J1182" i="4"/>
  <c r="I1182" i="4"/>
  <c r="H1182" i="4"/>
  <c r="G1182" i="4"/>
  <c r="J1181" i="4"/>
  <c r="L1181" i="4" s="1"/>
  <c r="M1181" i="4" s="1"/>
  <c r="N1181" i="4" s="1"/>
  <c r="I1181" i="4"/>
  <c r="K1181" i="4" s="1"/>
  <c r="H1181" i="4"/>
  <c r="G1181" i="4"/>
  <c r="L1180" i="4"/>
  <c r="M1180" i="4" s="1"/>
  <c r="N1180" i="4" s="1"/>
  <c r="K1180" i="4"/>
  <c r="J1180" i="4"/>
  <c r="I1180" i="4"/>
  <c r="H1180" i="4"/>
  <c r="G1180" i="4"/>
  <c r="N1179" i="4"/>
  <c r="M1179" i="4"/>
  <c r="L1179" i="4"/>
  <c r="K1179" i="4"/>
  <c r="J1179" i="4"/>
  <c r="I1179" i="4"/>
  <c r="H1179" i="4"/>
  <c r="G1179" i="4"/>
  <c r="J1178" i="4"/>
  <c r="L1178" i="4" s="1"/>
  <c r="I1178" i="4"/>
  <c r="K1178" i="4" s="1"/>
  <c r="H1178" i="4"/>
  <c r="G1178" i="4"/>
  <c r="L1177" i="4"/>
  <c r="M1177" i="4" s="1"/>
  <c r="N1177" i="4" s="1"/>
  <c r="K1177" i="4"/>
  <c r="J1177" i="4"/>
  <c r="I1177" i="4"/>
  <c r="H1177" i="4"/>
  <c r="G1177" i="4"/>
  <c r="N1176" i="4"/>
  <c r="M1176" i="4"/>
  <c r="L1176" i="4"/>
  <c r="K1176" i="4"/>
  <c r="J1176" i="4"/>
  <c r="I1176" i="4"/>
  <c r="H1176" i="4"/>
  <c r="G1176" i="4"/>
  <c r="J1175" i="4"/>
  <c r="L1175" i="4" s="1"/>
  <c r="M1175" i="4" s="1"/>
  <c r="N1175" i="4" s="1"/>
  <c r="I1175" i="4"/>
  <c r="K1175" i="4" s="1"/>
  <c r="H1175" i="4"/>
  <c r="G1175" i="4"/>
  <c r="L1174" i="4"/>
  <c r="M1174" i="4" s="1"/>
  <c r="N1174" i="4" s="1"/>
  <c r="K1174" i="4"/>
  <c r="J1174" i="4"/>
  <c r="I1174" i="4"/>
  <c r="H1174" i="4"/>
  <c r="G1174" i="4"/>
  <c r="N1173" i="4"/>
  <c r="M1173" i="4"/>
  <c r="L1173" i="4"/>
  <c r="K1173" i="4"/>
  <c r="J1173" i="4"/>
  <c r="I1173" i="4"/>
  <c r="H1173" i="4"/>
  <c r="G1173" i="4"/>
  <c r="J1172" i="4"/>
  <c r="L1172" i="4" s="1"/>
  <c r="I1172" i="4"/>
  <c r="K1172" i="4" s="1"/>
  <c r="H1172" i="4"/>
  <c r="G1172" i="4"/>
  <c r="L1171" i="4"/>
  <c r="M1171" i="4" s="1"/>
  <c r="N1171" i="4" s="1"/>
  <c r="K1171" i="4"/>
  <c r="J1171" i="4"/>
  <c r="I1171" i="4"/>
  <c r="H1171" i="4"/>
  <c r="G1171" i="4"/>
  <c r="N1170" i="4"/>
  <c r="M1170" i="4"/>
  <c r="L1170" i="4"/>
  <c r="K1170" i="4"/>
  <c r="J1170" i="4"/>
  <c r="I1170" i="4"/>
  <c r="H1170" i="4"/>
  <c r="G1170" i="4"/>
  <c r="J1169" i="4"/>
  <c r="L1169" i="4" s="1"/>
  <c r="M1169" i="4" s="1"/>
  <c r="N1169" i="4" s="1"/>
  <c r="I1169" i="4"/>
  <c r="K1169" i="4" s="1"/>
  <c r="H1169" i="4"/>
  <c r="G1169" i="4"/>
  <c r="L1168" i="4"/>
  <c r="M1168" i="4" s="1"/>
  <c r="N1168" i="4" s="1"/>
  <c r="K1168" i="4"/>
  <c r="J1168" i="4"/>
  <c r="I1168" i="4"/>
  <c r="H1168" i="4"/>
  <c r="G1168" i="4"/>
  <c r="L1167" i="4"/>
  <c r="K1167" i="4"/>
  <c r="M1167" i="4" s="1"/>
  <c r="N1167" i="4" s="1"/>
  <c r="J1167" i="4"/>
  <c r="I1167" i="4"/>
  <c r="H1167" i="4"/>
  <c r="G1167" i="4"/>
  <c r="J1166" i="4"/>
  <c r="L1166" i="4" s="1"/>
  <c r="M1166" i="4" s="1"/>
  <c r="N1166" i="4" s="1"/>
  <c r="I1166" i="4"/>
  <c r="K1166" i="4" s="1"/>
  <c r="H1166" i="4"/>
  <c r="G1166" i="4"/>
  <c r="L1165" i="4"/>
  <c r="K1165" i="4"/>
  <c r="J1165" i="4"/>
  <c r="I1165" i="4"/>
  <c r="H1165" i="4"/>
  <c r="G1165" i="4"/>
  <c r="L1164" i="4"/>
  <c r="K1164" i="4"/>
  <c r="M1164" i="4" s="1"/>
  <c r="N1164" i="4" s="1"/>
  <c r="J1164" i="4"/>
  <c r="I1164" i="4"/>
  <c r="H1164" i="4"/>
  <c r="G1164" i="4"/>
  <c r="J1163" i="4"/>
  <c r="L1163" i="4" s="1"/>
  <c r="I1163" i="4"/>
  <c r="K1163" i="4" s="1"/>
  <c r="H1163" i="4"/>
  <c r="G1163" i="4"/>
  <c r="L1162" i="4"/>
  <c r="M1162" i="4" s="1"/>
  <c r="N1162" i="4" s="1"/>
  <c r="K1162" i="4"/>
  <c r="J1162" i="4"/>
  <c r="I1162" i="4"/>
  <c r="H1162" i="4"/>
  <c r="G1162" i="4"/>
  <c r="L1161" i="4"/>
  <c r="K1161" i="4"/>
  <c r="M1161" i="4" s="1"/>
  <c r="N1161" i="4" s="1"/>
  <c r="J1161" i="4"/>
  <c r="I1161" i="4"/>
  <c r="H1161" i="4"/>
  <c r="G1161" i="4"/>
  <c r="J1160" i="4"/>
  <c r="L1160" i="4" s="1"/>
  <c r="M1160" i="4" s="1"/>
  <c r="N1160" i="4" s="1"/>
  <c r="I1160" i="4"/>
  <c r="K1160" i="4" s="1"/>
  <c r="H1160" i="4"/>
  <c r="G1160" i="4"/>
  <c r="L1159" i="4"/>
  <c r="M1159" i="4" s="1"/>
  <c r="N1159" i="4" s="1"/>
  <c r="K1159" i="4"/>
  <c r="J1159" i="4"/>
  <c r="I1159" i="4"/>
  <c r="H1159" i="4"/>
  <c r="G1159" i="4"/>
  <c r="L1158" i="4"/>
  <c r="K1158" i="4"/>
  <c r="M1158" i="4" s="1"/>
  <c r="N1158" i="4" s="1"/>
  <c r="J1158" i="4"/>
  <c r="I1158" i="4"/>
  <c r="H1158" i="4"/>
  <c r="G1158" i="4"/>
  <c r="J1157" i="4"/>
  <c r="L1157" i="4" s="1"/>
  <c r="M1157" i="4" s="1"/>
  <c r="N1157" i="4" s="1"/>
  <c r="I1157" i="4"/>
  <c r="K1157" i="4" s="1"/>
  <c r="H1157" i="4"/>
  <c r="G1157" i="4"/>
  <c r="L1156" i="4"/>
  <c r="K1156" i="4"/>
  <c r="J1156" i="4"/>
  <c r="I1156" i="4"/>
  <c r="H1156" i="4"/>
  <c r="G1156" i="4"/>
  <c r="L1155" i="4"/>
  <c r="K1155" i="4"/>
  <c r="M1155" i="4" s="1"/>
  <c r="N1155" i="4" s="1"/>
  <c r="J1155" i="4"/>
  <c r="I1155" i="4"/>
  <c r="H1155" i="4"/>
  <c r="G1155" i="4"/>
  <c r="J1154" i="4"/>
  <c r="L1154" i="4" s="1"/>
  <c r="I1154" i="4"/>
  <c r="K1154" i="4" s="1"/>
  <c r="H1154" i="4"/>
  <c r="G1154" i="4"/>
  <c r="L1153" i="4"/>
  <c r="M1153" i="4" s="1"/>
  <c r="N1153" i="4" s="1"/>
  <c r="K1153" i="4"/>
  <c r="J1153" i="4"/>
  <c r="I1153" i="4"/>
  <c r="H1153" i="4"/>
  <c r="G1153" i="4"/>
  <c r="L1152" i="4"/>
  <c r="K1152" i="4"/>
  <c r="M1152" i="4" s="1"/>
  <c r="N1152" i="4" s="1"/>
  <c r="J1152" i="4"/>
  <c r="I1152" i="4"/>
  <c r="H1152" i="4"/>
  <c r="G1152" i="4"/>
  <c r="J1151" i="4"/>
  <c r="L1151" i="4" s="1"/>
  <c r="M1151" i="4" s="1"/>
  <c r="N1151" i="4" s="1"/>
  <c r="I1151" i="4"/>
  <c r="K1151" i="4" s="1"/>
  <c r="H1151" i="4"/>
  <c r="G1151" i="4"/>
  <c r="L1150" i="4"/>
  <c r="M1150" i="4" s="1"/>
  <c r="N1150" i="4" s="1"/>
  <c r="K1150" i="4"/>
  <c r="J1150" i="4"/>
  <c r="I1150" i="4"/>
  <c r="H1150" i="4"/>
  <c r="G1150" i="4"/>
  <c r="L1149" i="4"/>
  <c r="K1149" i="4"/>
  <c r="M1149" i="4" s="1"/>
  <c r="N1149" i="4" s="1"/>
  <c r="J1149" i="4"/>
  <c r="I1149" i="4"/>
  <c r="H1149" i="4"/>
  <c r="G1149" i="4"/>
  <c r="J1148" i="4"/>
  <c r="L1148" i="4" s="1"/>
  <c r="M1148" i="4" s="1"/>
  <c r="N1148" i="4" s="1"/>
  <c r="I1148" i="4"/>
  <c r="K1148" i="4" s="1"/>
  <c r="H1148" i="4"/>
  <c r="G1148" i="4"/>
  <c r="L1147" i="4"/>
  <c r="K1147" i="4"/>
  <c r="J1147" i="4"/>
  <c r="I1147" i="4"/>
  <c r="H1147" i="4"/>
  <c r="G1147" i="4"/>
  <c r="N1146" i="4"/>
  <c r="L1146" i="4"/>
  <c r="K1146" i="4"/>
  <c r="M1146" i="4" s="1"/>
  <c r="J1146" i="4"/>
  <c r="I1146" i="4"/>
  <c r="H1146" i="4"/>
  <c r="G1146" i="4"/>
  <c r="J1145" i="4"/>
  <c r="L1145" i="4" s="1"/>
  <c r="M1145" i="4" s="1"/>
  <c r="N1145" i="4" s="1"/>
  <c r="I1145" i="4"/>
  <c r="K1145" i="4" s="1"/>
  <c r="H1145" i="4"/>
  <c r="G1145" i="4"/>
  <c r="L1144" i="4"/>
  <c r="M1144" i="4" s="1"/>
  <c r="N1144" i="4" s="1"/>
  <c r="K1144" i="4"/>
  <c r="J1144" i="4"/>
  <c r="I1144" i="4"/>
  <c r="H1144" i="4"/>
  <c r="G1144" i="4"/>
  <c r="L1143" i="4"/>
  <c r="K1143" i="4"/>
  <c r="M1143" i="4" s="1"/>
  <c r="N1143" i="4" s="1"/>
  <c r="J1143" i="4"/>
  <c r="I1143" i="4"/>
  <c r="H1143" i="4"/>
  <c r="G1143" i="4"/>
  <c r="J1142" i="4"/>
  <c r="L1142" i="4" s="1"/>
  <c r="I1142" i="4"/>
  <c r="K1142" i="4" s="1"/>
  <c r="H1142" i="4"/>
  <c r="G1142" i="4"/>
  <c r="L1141" i="4"/>
  <c r="M1141" i="4" s="1"/>
  <c r="N1141" i="4" s="1"/>
  <c r="K1141" i="4"/>
  <c r="J1141" i="4"/>
  <c r="I1141" i="4"/>
  <c r="H1141" i="4"/>
  <c r="G1141" i="4"/>
  <c r="L1140" i="4"/>
  <c r="K1140" i="4"/>
  <c r="M1140" i="4" s="1"/>
  <c r="N1140" i="4" s="1"/>
  <c r="J1140" i="4"/>
  <c r="I1140" i="4"/>
  <c r="H1140" i="4"/>
  <c r="G1140" i="4"/>
  <c r="J1139" i="4"/>
  <c r="L1139" i="4" s="1"/>
  <c r="I1139" i="4"/>
  <c r="K1139" i="4" s="1"/>
  <c r="H1139" i="4"/>
  <c r="G1139" i="4"/>
  <c r="L1138" i="4"/>
  <c r="M1138" i="4" s="1"/>
  <c r="N1138" i="4" s="1"/>
  <c r="K1138" i="4"/>
  <c r="J1138" i="4"/>
  <c r="I1138" i="4"/>
  <c r="H1138" i="4"/>
  <c r="G1138" i="4"/>
  <c r="N1137" i="4"/>
  <c r="L1137" i="4"/>
  <c r="K1137" i="4"/>
  <c r="M1137" i="4" s="1"/>
  <c r="J1137" i="4"/>
  <c r="I1137" i="4"/>
  <c r="H1137" i="4"/>
  <c r="G1137" i="4"/>
  <c r="J1136" i="4"/>
  <c r="L1136" i="4" s="1"/>
  <c r="I1136" i="4"/>
  <c r="K1136" i="4" s="1"/>
  <c r="H1136" i="4"/>
  <c r="G1136" i="4"/>
  <c r="L1135" i="4"/>
  <c r="M1135" i="4" s="1"/>
  <c r="N1135" i="4" s="1"/>
  <c r="K1135" i="4"/>
  <c r="J1135" i="4"/>
  <c r="I1135" i="4"/>
  <c r="H1135" i="4"/>
  <c r="G1135" i="4"/>
  <c r="N1134" i="4"/>
  <c r="L1134" i="4"/>
  <c r="K1134" i="4"/>
  <c r="M1134" i="4" s="1"/>
  <c r="J1134" i="4"/>
  <c r="I1134" i="4"/>
  <c r="H1134" i="4"/>
  <c r="G1134" i="4"/>
  <c r="J1133" i="4"/>
  <c r="L1133" i="4" s="1"/>
  <c r="M1133" i="4" s="1"/>
  <c r="N1133" i="4" s="1"/>
  <c r="I1133" i="4"/>
  <c r="K1133" i="4" s="1"/>
  <c r="H1133" i="4"/>
  <c r="G1133" i="4"/>
  <c r="L1132" i="4"/>
  <c r="K1132" i="4"/>
  <c r="J1132" i="4"/>
  <c r="I1132" i="4"/>
  <c r="H1132" i="4"/>
  <c r="G1132" i="4"/>
  <c r="L1131" i="4"/>
  <c r="K1131" i="4"/>
  <c r="M1131" i="4" s="1"/>
  <c r="N1131" i="4" s="1"/>
  <c r="J1131" i="4"/>
  <c r="I1131" i="4"/>
  <c r="H1131" i="4"/>
  <c r="G1131" i="4"/>
  <c r="L1130" i="4"/>
  <c r="J1130" i="4"/>
  <c r="I1130" i="4"/>
  <c r="K1130" i="4" s="1"/>
  <c r="H1130" i="4"/>
  <c r="G1130" i="4"/>
  <c r="L1129" i="4"/>
  <c r="M1129" i="4" s="1"/>
  <c r="N1129" i="4" s="1"/>
  <c r="K1129" i="4"/>
  <c r="J1129" i="4"/>
  <c r="I1129" i="4"/>
  <c r="H1129" i="4"/>
  <c r="G1129" i="4"/>
  <c r="N1128" i="4"/>
  <c r="L1128" i="4"/>
  <c r="K1128" i="4"/>
  <c r="M1128" i="4" s="1"/>
  <c r="J1128" i="4"/>
  <c r="I1128" i="4"/>
  <c r="H1128" i="4"/>
  <c r="G1128" i="4"/>
  <c r="K1127" i="4"/>
  <c r="J1127" i="4"/>
  <c r="L1127" i="4" s="1"/>
  <c r="M1127" i="4" s="1"/>
  <c r="N1127" i="4" s="1"/>
  <c r="I1127" i="4"/>
  <c r="H1127" i="4"/>
  <c r="G1127" i="4"/>
  <c r="L1126" i="4"/>
  <c r="M1126" i="4" s="1"/>
  <c r="N1126" i="4" s="1"/>
  <c r="K1126" i="4"/>
  <c r="J1126" i="4"/>
  <c r="I1126" i="4"/>
  <c r="H1126" i="4"/>
  <c r="G1126" i="4"/>
  <c r="M1125" i="4"/>
  <c r="N1125" i="4" s="1"/>
  <c r="L1125" i="4"/>
  <c r="K1125" i="4"/>
  <c r="J1125" i="4"/>
  <c r="I1125" i="4"/>
  <c r="H1125" i="4"/>
  <c r="G1125" i="4"/>
  <c r="L1124" i="4"/>
  <c r="M1124" i="4" s="1"/>
  <c r="N1124" i="4" s="1"/>
  <c r="K1124" i="4"/>
  <c r="J1124" i="4"/>
  <c r="I1124" i="4"/>
  <c r="H1124" i="4"/>
  <c r="G1124" i="4"/>
  <c r="L1123" i="4"/>
  <c r="K1123" i="4"/>
  <c r="J1123" i="4"/>
  <c r="I1123" i="4"/>
  <c r="H1123" i="4"/>
  <c r="G1123" i="4"/>
  <c r="N1122" i="4"/>
  <c r="M1122" i="4"/>
  <c r="L1122" i="4"/>
  <c r="K1122" i="4"/>
  <c r="J1122" i="4"/>
  <c r="I1122" i="4"/>
  <c r="H1122" i="4"/>
  <c r="G1122" i="4"/>
  <c r="K1121" i="4"/>
  <c r="J1121" i="4"/>
  <c r="L1121" i="4" s="1"/>
  <c r="M1121" i="4" s="1"/>
  <c r="N1121" i="4" s="1"/>
  <c r="I1121" i="4"/>
  <c r="H1121" i="4"/>
  <c r="G1121" i="4"/>
  <c r="L1120" i="4"/>
  <c r="M1120" i="4" s="1"/>
  <c r="N1120" i="4" s="1"/>
  <c r="K1120" i="4"/>
  <c r="J1120" i="4"/>
  <c r="I1120" i="4"/>
  <c r="H1120" i="4"/>
  <c r="G1120" i="4"/>
  <c r="N1119" i="4"/>
  <c r="M1119" i="4"/>
  <c r="L1119" i="4"/>
  <c r="K1119" i="4"/>
  <c r="J1119" i="4"/>
  <c r="I1119" i="4"/>
  <c r="H1119" i="4"/>
  <c r="G1119" i="4"/>
  <c r="K1118" i="4"/>
  <c r="J1118" i="4"/>
  <c r="L1118" i="4" s="1"/>
  <c r="M1118" i="4" s="1"/>
  <c r="N1118" i="4" s="1"/>
  <c r="I1118" i="4"/>
  <c r="H1118" i="4"/>
  <c r="G1118" i="4"/>
  <c r="L1117" i="4"/>
  <c r="M1117" i="4" s="1"/>
  <c r="N1117" i="4" s="1"/>
  <c r="K1117" i="4"/>
  <c r="J1117" i="4"/>
  <c r="I1117" i="4"/>
  <c r="H1117" i="4"/>
  <c r="G1117" i="4"/>
  <c r="M1116" i="4"/>
  <c r="N1116" i="4" s="1"/>
  <c r="L1116" i="4"/>
  <c r="K1116" i="4"/>
  <c r="J1116" i="4"/>
  <c r="I1116" i="4"/>
  <c r="H1116" i="4"/>
  <c r="G1116" i="4"/>
  <c r="L1115" i="4"/>
  <c r="M1115" i="4" s="1"/>
  <c r="N1115" i="4" s="1"/>
  <c r="K1115" i="4"/>
  <c r="J1115" i="4"/>
  <c r="I1115" i="4"/>
  <c r="H1115" i="4"/>
  <c r="G1115" i="4"/>
  <c r="L1114" i="4"/>
  <c r="K1114" i="4"/>
  <c r="J1114" i="4"/>
  <c r="I1114" i="4"/>
  <c r="H1114" i="4"/>
  <c r="G1114" i="4"/>
  <c r="N1113" i="4"/>
  <c r="M1113" i="4"/>
  <c r="L1113" i="4"/>
  <c r="K1113" i="4"/>
  <c r="J1113" i="4"/>
  <c r="I1113" i="4"/>
  <c r="H1113" i="4"/>
  <c r="G1113" i="4"/>
  <c r="K1112" i="4"/>
  <c r="J1112" i="4"/>
  <c r="L1112" i="4" s="1"/>
  <c r="M1112" i="4" s="1"/>
  <c r="N1112" i="4" s="1"/>
  <c r="I1112" i="4"/>
  <c r="H1112" i="4"/>
  <c r="G1112" i="4"/>
  <c r="L1111" i="4"/>
  <c r="M1111" i="4" s="1"/>
  <c r="N1111" i="4" s="1"/>
  <c r="K1111" i="4"/>
  <c r="J1111" i="4"/>
  <c r="I1111" i="4"/>
  <c r="H1111" i="4"/>
  <c r="G1111" i="4"/>
  <c r="L1110" i="4"/>
  <c r="M1110" i="4" s="1"/>
  <c r="N1110" i="4" s="1"/>
  <c r="K1110" i="4"/>
  <c r="J1110" i="4"/>
  <c r="I1110" i="4"/>
  <c r="H1110" i="4"/>
  <c r="G1110" i="4"/>
  <c r="K1109" i="4"/>
  <c r="J1109" i="4"/>
  <c r="L1109" i="4" s="1"/>
  <c r="M1109" i="4" s="1"/>
  <c r="N1109" i="4" s="1"/>
  <c r="I1109" i="4"/>
  <c r="H1109" i="4"/>
  <c r="G1109" i="4"/>
  <c r="L1108" i="4"/>
  <c r="M1108" i="4" s="1"/>
  <c r="N1108" i="4" s="1"/>
  <c r="K1108" i="4"/>
  <c r="J1108" i="4"/>
  <c r="I1108" i="4"/>
  <c r="H1108" i="4"/>
  <c r="G1108" i="4"/>
  <c r="M1107" i="4"/>
  <c r="N1107" i="4" s="1"/>
  <c r="L1107" i="4"/>
  <c r="K1107" i="4"/>
  <c r="J1107" i="4"/>
  <c r="I1107" i="4"/>
  <c r="H1107" i="4"/>
  <c r="G1107" i="4"/>
  <c r="L1106" i="4"/>
  <c r="M1106" i="4" s="1"/>
  <c r="N1106" i="4" s="1"/>
  <c r="K1106" i="4"/>
  <c r="J1106" i="4"/>
  <c r="I1106" i="4"/>
  <c r="H1106" i="4"/>
  <c r="G1106" i="4"/>
  <c r="L1105" i="4"/>
  <c r="K1105" i="4"/>
  <c r="J1105" i="4"/>
  <c r="I1105" i="4"/>
  <c r="H1105" i="4"/>
  <c r="G1105" i="4"/>
  <c r="L1104" i="4"/>
  <c r="M1104" i="4" s="1"/>
  <c r="N1104" i="4" s="1"/>
  <c r="K1104" i="4"/>
  <c r="J1104" i="4"/>
  <c r="I1104" i="4"/>
  <c r="H1104" i="4"/>
  <c r="G1104" i="4"/>
  <c r="J1103" i="4"/>
  <c r="L1103" i="4" s="1"/>
  <c r="I1103" i="4"/>
  <c r="K1103" i="4" s="1"/>
  <c r="H1103" i="4"/>
  <c r="G1103" i="4"/>
  <c r="L1102" i="4"/>
  <c r="M1102" i="4" s="1"/>
  <c r="N1102" i="4" s="1"/>
  <c r="K1102" i="4"/>
  <c r="J1102" i="4"/>
  <c r="I1102" i="4"/>
  <c r="H1102" i="4"/>
  <c r="G1102" i="4"/>
  <c r="L1101" i="4"/>
  <c r="M1101" i="4" s="1"/>
  <c r="N1101" i="4" s="1"/>
  <c r="K1101" i="4"/>
  <c r="J1101" i="4"/>
  <c r="I1101" i="4"/>
  <c r="H1101" i="4"/>
  <c r="G1101" i="4"/>
  <c r="J1100" i="4"/>
  <c r="L1100" i="4" s="1"/>
  <c r="I1100" i="4"/>
  <c r="K1100" i="4" s="1"/>
  <c r="H1100" i="4"/>
  <c r="G1100" i="4"/>
  <c r="L1099" i="4"/>
  <c r="M1099" i="4" s="1"/>
  <c r="N1099" i="4" s="1"/>
  <c r="K1099" i="4"/>
  <c r="J1099" i="4"/>
  <c r="I1099" i="4"/>
  <c r="H1099" i="4"/>
  <c r="G1099" i="4"/>
  <c r="L1098" i="4"/>
  <c r="K1098" i="4"/>
  <c r="M1098" i="4" s="1"/>
  <c r="N1098" i="4" s="1"/>
  <c r="J1098" i="4"/>
  <c r="I1098" i="4"/>
  <c r="H1098" i="4"/>
  <c r="G1098" i="4"/>
  <c r="L1097" i="4"/>
  <c r="M1097" i="4" s="1"/>
  <c r="N1097" i="4" s="1"/>
  <c r="J1097" i="4"/>
  <c r="I1097" i="4"/>
  <c r="K1097" i="4" s="1"/>
  <c r="H1097" i="4"/>
  <c r="G1097" i="4"/>
  <c r="L1096" i="4"/>
  <c r="K1096" i="4"/>
  <c r="J1096" i="4"/>
  <c r="I1096" i="4"/>
  <c r="H1096" i="4"/>
  <c r="G1096" i="4"/>
  <c r="L1095" i="4"/>
  <c r="M1095" i="4" s="1"/>
  <c r="N1095" i="4" s="1"/>
  <c r="K1095" i="4"/>
  <c r="J1095" i="4"/>
  <c r="I1095" i="4"/>
  <c r="H1095" i="4"/>
  <c r="G1095" i="4"/>
  <c r="J1094" i="4"/>
  <c r="L1094" i="4" s="1"/>
  <c r="I1094" i="4"/>
  <c r="K1094" i="4" s="1"/>
  <c r="H1094" i="4"/>
  <c r="G1094" i="4"/>
  <c r="L1093" i="4"/>
  <c r="M1093" i="4" s="1"/>
  <c r="N1093" i="4" s="1"/>
  <c r="K1093" i="4"/>
  <c r="J1093" i="4"/>
  <c r="I1093" i="4"/>
  <c r="H1093" i="4"/>
  <c r="G1093" i="4"/>
  <c r="L1092" i="4"/>
  <c r="M1092" i="4" s="1"/>
  <c r="N1092" i="4" s="1"/>
  <c r="K1092" i="4"/>
  <c r="J1092" i="4"/>
  <c r="I1092" i="4"/>
  <c r="H1092" i="4"/>
  <c r="G1092" i="4"/>
  <c r="J1091" i="4"/>
  <c r="L1091" i="4" s="1"/>
  <c r="I1091" i="4"/>
  <c r="K1091" i="4" s="1"/>
  <c r="H1091" i="4"/>
  <c r="G1091" i="4"/>
  <c r="L1090" i="4"/>
  <c r="M1090" i="4" s="1"/>
  <c r="N1090" i="4" s="1"/>
  <c r="K1090" i="4"/>
  <c r="J1090" i="4"/>
  <c r="I1090" i="4"/>
  <c r="H1090" i="4"/>
  <c r="G1090" i="4"/>
  <c r="L1089" i="4"/>
  <c r="M1089" i="4" s="1"/>
  <c r="N1089" i="4" s="1"/>
  <c r="K1089" i="4"/>
  <c r="J1089" i="4"/>
  <c r="I1089" i="4"/>
  <c r="H1089" i="4"/>
  <c r="G1089" i="4"/>
  <c r="L1088" i="4"/>
  <c r="J1088" i="4"/>
  <c r="I1088" i="4"/>
  <c r="K1088" i="4" s="1"/>
  <c r="H1088" i="4"/>
  <c r="G1088" i="4"/>
  <c r="L1087" i="4"/>
  <c r="K1087" i="4"/>
  <c r="J1087" i="4"/>
  <c r="I1087" i="4"/>
  <c r="H1087" i="4"/>
  <c r="G1087" i="4"/>
  <c r="N1086" i="4"/>
  <c r="L1086" i="4"/>
  <c r="M1086" i="4" s="1"/>
  <c r="K1086" i="4"/>
  <c r="J1086" i="4"/>
  <c r="I1086" i="4"/>
  <c r="H1086" i="4"/>
  <c r="G1086" i="4"/>
  <c r="J1085" i="4"/>
  <c r="L1085" i="4" s="1"/>
  <c r="I1085" i="4"/>
  <c r="K1085" i="4" s="1"/>
  <c r="H1085" i="4"/>
  <c r="G1085" i="4"/>
  <c r="L1084" i="4"/>
  <c r="J1084" i="4"/>
  <c r="I1084" i="4"/>
  <c r="K1084" i="4" s="1"/>
  <c r="M1084" i="4" s="1"/>
  <c r="N1084" i="4" s="1"/>
  <c r="H1084" i="4"/>
  <c r="G1084" i="4"/>
  <c r="L1083" i="4"/>
  <c r="J1083" i="4"/>
  <c r="I1083" i="4"/>
  <c r="K1083" i="4" s="1"/>
  <c r="H1083" i="4"/>
  <c r="G1083" i="4"/>
  <c r="J1082" i="4"/>
  <c r="L1082" i="4" s="1"/>
  <c r="M1082" i="4" s="1"/>
  <c r="N1082" i="4" s="1"/>
  <c r="I1082" i="4"/>
  <c r="K1082" i="4" s="1"/>
  <c r="H1082" i="4"/>
  <c r="G1082" i="4"/>
  <c r="J1081" i="4"/>
  <c r="L1081" i="4" s="1"/>
  <c r="I1081" i="4"/>
  <c r="K1081" i="4" s="1"/>
  <c r="H1081" i="4"/>
  <c r="G1081" i="4"/>
  <c r="L1080" i="4"/>
  <c r="J1080" i="4"/>
  <c r="I1080" i="4"/>
  <c r="K1080" i="4" s="1"/>
  <c r="H1080" i="4"/>
  <c r="G1080" i="4"/>
  <c r="J1079" i="4"/>
  <c r="L1079" i="4" s="1"/>
  <c r="M1079" i="4" s="1"/>
  <c r="N1079" i="4" s="1"/>
  <c r="I1079" i="4"/>
  <c r="K1079" i="4" s="1"/>
  <c r="H1079" i="4"/>
  <c r="G1079" i="4"/>
  <c r="J1078" i="4"/>
  <c r="L1078" i="4" s="1"/>
  <c r="M1078" i="4" s="1"/>
  <c r="N1078" i="4" s="1"/>
  <c r="I1078" i="4"/>
  <c r="K1078" i="4" s="1"/>
  <c r="H1078" i="4"/>
  <c r="G1078" i="4"/>
  <c r="L1077" i="4"/>
  <c r="J1077" i="4"/>
  <c r="I1077" i="4"/>
  <c r="K1077" i="4" s="1"/>
  <c r="H1077" i="4"/>
  <c r="G1077" i="4"/>
  <c r="J1076" i="4"/>
  <c r="L1076" i="4" s="1"/>
  <c r="M1076" i="4" s="1"/>
  <c r="N1076" i="4" s="1"/>
  <c r="I1076" i="4"/>
  <c r="K1076" i="4" s="1"/>
  <c r="H1076" i="4"/>
  <c r="G1076" i="4"/>
  <c r="J1075" i="4"/>
  <c r="L1075" i="4" s="1"/>
  <c r="M1075" i="4" s="1"/>
  <c r="N1075" i="4" s="1"/>
  <c r="I1075" i="4"/>
  <c r="K1075" i="4" s="1"/>
  <c r="H1075" i="4"/>
  <c r="G1075" i="4"/>
  <c r="N1074" i="4"/>
  <c r="L1074" i="4"/>
  <c r="M1074" i="4" s="1"/>
  <c r="J1074" i="4"/>
  <c r="I1074" i="4"/>
  <c r="K1074" i="4" s="1"/>
  <c r="H1074" i="4"/>
  <c r="G1074" i="4"/>
  <c r="J1073" i="4"/>
  <c r="L1073" i="4" s="1"/>
  <c r="M1073" i="4" s="1"/>
  <c r="N1073" i="4" s="1"/>
  <c r="I1073" i="4"/>
  <c r="K1073" i="4" s="1"/>
  <c r="H1073" i="4"/>
  <c r="G1073" i="4"/>
  <c r="J1072" i="4"/>
  <c r="L1072" i="4" s="1"/>
  <c r="I1072" i="4"/>
  <c r="K1072" i="4" s="1"/>
  <c r="H1072" i="4"/>
  <c r="G1072" i="4"/>
  <c r="N1071" i="4"/>
  <c r="L1071" i="4"/>
  <c r="M1071" i="4" s="1"/>
  <c r="J1071" i="4"/>
  <c r="I1071" i="4"/>
  <c r="K1071" i="4" s="1"/>
  <c r="H1071" i="4"/>
  <c r="G1071" i="4"/>
  <c r="J1070" i="4"/>
  <c r="L1070" i="4" s="1"/>
  <c r="M1070" i="4" s="1"/>
  <c r="N1070" i="4" s="1"/>
  <c r="I1070" i="4"/>
  <c r="K1070" i="4" s="1"/>
  <c r="H1070" i="4"/>
  <c r="G1070" i="4"/>
  <c r="J1069" i="4"/>
  <c r="L1069" i="4" s="1"/>
  <c r="M1069" i="4" s="1"/>
  <c r="N1069" i="4" s="1"/>
  <c r="I1069" i="4"/>
  <c r="K1069" i="4" s="1"/>
  <c r="H1069" i="4"/>
  <c r="G1069" i="4"/>
  <c r="L1068" i="4"/>
  <c r="M1068" i="4" s="1"/>
  <c r="N1068" i="4" s="1"/>
  <c r="J1068" i="4"/>
  <c r="I1068" i="4"/>
  <c r="K1068" i="4" s="1"/>
  <c r="H1068" i="4"/>
  <c r="G1068" i="4"/>
  <c r="J1067" i="4"/>
  <c r="L1067" i="4" s="1"/>
  <c r="I1067" i="4"/>
  <c r="K1067" i="4" s="1"/>
  <c r="H1067" i="4"/>
  <c r="G1067" i="4"/>
  <c r="J1066" i="4"/>
  <c r="L1066" i="4" s="1"/>
  <c r="M1066" i="4" s="1"/>
  <c r="N1066" i="4" s="1"/>
  <c r="I1066" i="4"/>
  <c r="K1066" i="4" s="1"/>
  <c r="H1066" i="4"/>
  <c r="G1066" i="4"/>
  <c r="N1065" i="4"/>
  <c r="L1065" i="4"/>
  <c r="M1065" i="4" s="1"/>
  <c r="K1065" i="4"/>
  <c r="J1065" i="4"/>
  <c r="I1065" i="4"/>
  <c r="H1065" i="4"/>
  <c r="G1065" i="4"/>
  <c r="J1064" i="4"/>
  <c r="L1064" i="4" s="1"/>
  <c r="M1064" i="4" s="1"/>
  <c r="N1064" i="4" s="1"/>
  <c r="I1064" i="4"/>
  <c r="K1064" i="4" s="1"/>
  <c r="H1064" i="4"/>
  <c r="G1064" i="4"/>
  <c r="J1063" i="4"/>
  <c r="L1063" i="4" s="1"/>
  <c r="I1063" i="4"/>
  <c r="K1063" i="4" s="1"/>
  <c r="H1063" i="4"/>
  <c r="G1063" i="4"/>
  <c r="L1062" i="4"/>
  <c r="M1062" i="4" s="1"/>
  <c r="N1062" i="4" s="1"/>
  <c r="K1062" i="4"/>
  <c r="J1062" i="4"/>
  <c r="I1062" i="4"/>
  <c r="H1062" i="4"/>
  <c r="G1062" i="4"/>
  <c r="J1061" i="4"/>
  <c r="L1061" i="4" s="1"/>
  <c r="M1061" i="4" s="1"/>
  <c r="N1061" i="4" s="1"/>
  <c r="I1061" i="4"/>
  <c r="K1061" i="4" s="1"/>
  <c r="H1061" i="4"/>
  <c r="G1061" i="4"/>
  <c r="J1060" i="4"/>
  <c r="L1060" i="4" s="1"/>
  <c r="M1060" i="4" s="1"/>
  <c r="N1060" i="4" s="1"/>
  <c r="I1060" i="4"/>
  <c r="K1060" i="4" s="1"/>
  <c r="H1060" i="4"/>
  <c r="G1060" i="4"/>
  <c r="N1059" i="4"/>
  <c r="L1059" i="4"/>
  <c r="M1059" i="4" s="1"/>
  <c r="K1059" i="4"/>
  <c r="J1059" i="4"/>
  <c r="I1059" i="4"/>
  <c r="H1059" i="4"/>
  <c r="G1059" i="4"/>
  <c r="J1058" i="4"/>
  <c r="L1058" i="4" s="1"/>
  <c r="I1058" i="4"/>
  <c r="K1058" i="4" s="1"/>
  <c r="H1058" i="4"/>
  <c r="G1058" i="4"/>
  <c r="J1057" i="4"/>
  <c r="L1057" i="4" s="1"/>
  <c r="I1057" i="4"/>
  <c r="K1057" i="4" s="1"/>
  <c r="H1057" i="4"/>
  <c r="G1057" i="4"/>
  <c r="L1056" i="4"/>
  <c r="M1056" i="4" s="1"/>
  <c r="N1056" i="4" s="1"/>
  <c r="K1056" i="4"/>
  <c r="J1056" i="4"/>
  <c r="I1056" i="4"/>
  <c r="H1056" i="4"/>
  <c r="G1056" i="4"/>
  <c r="J1055" i="4"/>
  <c r="L1055" i="4" s="1"/>
  <c r="I1055" i="4"/>
  <c r="K1055" i="4" s="1"/>
  <c r="H1055" i="4"/>
  <c r="G1055" i="4"/>
  <c r="J1054" i="4"/>
  <c r="L1054" i="4" s="1"/>
  <c r="M1054" i="4" s="1"/>
  <c r="N1054" i="4" s="1"/>
  <c r="I1054" i="4"/>
  <c r="K1054" i="4" s="1"/>
  <c r="H1054" i="4"/>
  <c r="G1054" i="4"/>
  <c r="N1053" i="4"/>
  <c r="L1053" i="4"/>
  <c r="M1053" i="4" s="1"/>
  <c r="K1053" i="4"/>
  <c r="J1053" i="4"/>
  <c r="I1053" i="4"/>
  <c r="H1053" i="4"/>
  <c r="G1053" i="4"/>
  <c r="J1052" i="4"/>
  <c r="L1052" i="4" s="1"/>
  <c r="M1052" i="4" s="1"/>
  <c r="N1052" i="4" s="1"/>
  <c r="I1052" i="4"/>
  <c r="K1052" i="4" s="1"/>
  <c r="H1052" i="4"/>
  <c r="G1052" i="4"/>
  <c r="J1051" i="4"/>
  <c r="L1051" i="4" s="1"/>
  <c r="I1051" i="4"/>
  <c r="K1051" i="4" s="1"/>
  <c r="H1051" i="4"/>
  <c r="G1051" i="4"/>
  <c r="L1050" i="4"/>
  <c r="M1050" i="4" s="1"/>
  <c r="N1050" i="4" s="1"/>
  <c r="K1050" i="4"/>
  <c r="J1050" i="4"/>
  <c r="I1050" i="4"/>
  <c r="H1050" i="4"/>
  <c r="G1050" i="4"/>
  <c r="J1049" i="4"/>
  <c r="L1049" i="4" s="1"/>
  <c r="M1049" i="4" s="1"/>
  <c r="N1049" i="4" s="1"/>
  <c r="I1049" i="4"/>
  <c r="K1049" i="4" s="1"/>
  <c r="H1049" i="4"/>
  <c r="G1049" i="4"/>
  <c r="J1048" i="4"/>
  <c r="L1048" i="4" s="1"/>
  <c r="M1048" i="4" s="1"/>
  <c r="N1048" i="4" s="1"/>
  <c r="I1048" i="4"/>
  <c r="K1048" i="4" s="1"/>
  <c r="H1048" i="4"/>
  <c r="G1048" i="4"/>
  <c r="L1047" i="4"/>
  <c r="M1047" i="4" s="1"/>
  <c r="N1047" i="4" s="1"/>
  <c r="K1047" i="4"/>
  <c r="J1047" i="4"/>
  <c r="I1047" i="4"/>
  <c r="H1047" i="4"/>
  <c r="G1047" i="4"/>
  <c r="J1046" i="4"/>
  <c r="L1046" i="4" s="1"/>
  <c r="I1046" i="4"/>
  <c r="K1046" i="4" s="1"/>
  <c r="H1046" i="4"/>
  <c r="G1046" i="4"/>
  <c r="K1045" i="4"/>
  <c r="J1045" i="4"/>
  <c r="L1045" i="4" s="1"/>
  <c r="M1045" i="4" s="1"/>
  <c r="N1045" i="4" s="1"/>
  <c r="I1045" i="4"/>
  <c r="H1045" i="4"/>
  <c r="G1045" i="4"/>
  <c r="N1044" i="4"/>
  <c r="L1044" i="4"/>
  <c r="M1044" i="4" s="1"/>
  <c r="K1044" i="4"/>
  <c r="J1044" i="4"/>
  <c r="I1044" i="4"/>
  <c r="H1044" i="4"/>
  <c r="G1044" i="4"/>
  <c r="J1043" i="4"/>
  <c r="L1043" i="4" s="1"/>
  <c r="I1043" i="4"/>
  <c r="K1043" i="4" s="1"/>
  <c r="H1043" i="4"/>
  <c r="G1043" i="4"/>
  <c r="K1042" i="4"/>
  <c r="J1042" i="4"/>
  <c r="L1042" i="4" s="1"/>
  <c r="M1042" i="4" s="1"/>
  <c r="N1042" i="4" s="1"/>
  <c r="I1042" i="4"/>
  <c r="H1042" i="4"/>
  <c r="G1042" i="4"/>
  <c r="N1041" i="4"/>
  <c r="L1041" i="4"/>
  <c r="M1041" i="4" s="1"/>
  <c r="K1041" i="4"/>
  <c r="J1041" i="4"/>
  <c r="I1041" i="4"/>
  <c r="H1041" i="4"/>
  <c r="G1041" i="4"/>
  <c r="J1040" i="4"/>
  <c r="L1040" i="4" s="1"/>
  <c r="M1040" i="4" s="1"/>
  <c r="N1040" i="4" s="1"/>
  <c r="I1040" i="4"/>
  <c r="K1040" i="4" s="1"/>
  <c r="H1040" i="4"/>
  <c r="G1040" i="4"/>
  <c r="K1039" i="4"/>
  <c r="J1039" i="4"/>
  <c r="L1039" i="4" s="1"/>
  <c r="M1039" i="4" s="1"/>
  <c r="N1039" i="4" s="1"/>
  <c r="I1039" i="4"/>
  <c r="H1039" i="4"/>
  <c r="G1039" i="4"/>
  <c r="L1038" i="4"/>
  <c r="M1038" i="4" s="1"/>
  <c r="N1038" i="4" s="1"/>
  <c r="K1038" i="4"/>
  <c r="J1038" i="4"/>
  <c r="I1038" i="4"/>
  <c r="H1038" i="4"/>
  <c r="G1038" i="4"/>
  <c r="J1037" i="4"/>
  <c r="L1037" i="4" s="1"/>
  <c r="I1037" i="4"/>
  <c r="K1037" i="4" s="1"/>
  <c r="H1037" i="4"/>
  <c r="G1037" i="4"/>
  <c r="K1036" i="4"/>
  <c r="J1036" i="4"/>
  <c r="L1036" i="4" s="1"/>
  <c r="M1036" i="4" s="1"/>
  <c r="N1036" i="4" s="1"/>
  <c r="I1036" i="4"/>
  <c r="H1036" i="4"/>
  <c r="G1036" i="4"/>
  <c r="N1035" i="4"/>
  <c r="L1035" i="4"/>
  <c r="M1035" i="4" s="1"/>
  <c r="K1035" i="4"/>
  <c r="J1035" i="4"/>
  <c r="I1035" i="4"/>
  <c r="H1035" i="4"/>
  <c r="G1035" i="4"/>
  <c r="K1034" i="4"/>
  <c r="J1034" i="4"/>
  <c r="L1034" i="4" s="1"/>
  <c r="M1034" i="4" s="1"/>
  <c r="N1034" i="4" s="1"/>
  <c r="I1034" i="4"/>
  <c r="H1034" i="4"/>
  <c r="G1034" i="4"/>
  <c r="K1033" i="4"/>
  <c r="J1033" i="4"/>
  <c r="L1033" i="4" s="1"/>
  <c r="M1033" i="4" s="1"/>
  <c r="N1033" i="4" s="1"/>
  <c r="I1033" i="4"/>
  <c r="H1033" i="4"/>
  <c r="G1033" i="4"/>
  <c r="L1032" i="4"/>
  <c r="M1032" i="4" s="1"/>
  <c r="N1032" i="4" s="1"/>
  <c r="K1032" i="4"/>
  <c r="J1032" i="4"/>
  <c r="I1032" i="4"/>
  <c r="H1032" i="4"/>
  <c r="G1032" i="4"/>
  <c r="K1031" i="4"/>
  <c r="J1031" i="4"/>
  <c r="L1031" i="4" s="1"/>
  <c r="M1031" i="4" s="1"/>
  <c r="N1031" i="4" s="1"/>
  <c r="I1031" i="4"/>
  <c r="H1031" i="4"/>
  <c r="G1031" i="4"/>
  <c r="K1030" i="4"/>
  <c r="J1030" i="4"/>
  <c r="L1030" i="4" s="1"/>
  <c r="M1030" i="4" s="1"/>
  <c r="N1030" i="4" s="1"/>
  <c r="I1030" i="4"/>
  <c r="H1030" i="4"/>
  <c r="G1030" i="4"/>
  <c r="N1029" i="4"/>
  <c r="L1029" i="4"/>
  <c r="M1029" i="4" s="1"/>
  <c r="K1029" i="4"/>
  <c r="J1029" i="4"/>
  <c r="I1029" i="4"/>
  <c r="H1029" i="4"/>
  <c r="G1029" i="4"/>
  <c r="K1028" i="4"/>
  <c r="J1028" i="4"/>
  <c r="L1028" i="4" s="1"/>
  <c r="M1028" i="4" s="1"/>
  <c r="N1028" i="4" s="1"/>
  <c r="I1028" i="4"/>
  <c r="H1028" i="4"/>
  <c r="G1028" i="4"/>
  <c r="K1027" i="4"/>
  <c r="J1027" i="4"/>
  <c r="L1027" i="4" s="1"/>
  <c r="M1027" i="4" s="1"/>
  <c r="N1027" i="4" s="1"/>
  <c r="I1027" i="4"/>
  <c r="H1027" i="4"/>
  <c r="G1027" i="4"/>
  <c r="L1026" i="4"/>
  <c r="M1026" i="4" s="1"/>
  <c r="N1026" i="4" s="1"/>
  <c r="K1026" i="4"/>
  <c r="J1026" i="4"/>
  <c r="I1026" i="4"/>
  <c r="H1026" i="4"/>
  <c r="G1026" i="4"/>
  <c r="K1025" i="4"/>
  <c r="J1025" i="4"/>
  <c r="L1025" i="4" s="1"/>
  <c r="M1025" i="4" s="1"/>
  <c r="N1025" i="4" s="1"/>
  <c r="I1025" i="4"/>
  <c r="H1025" i="4"/>
  <c r="G1025" i="4"/>
  <c r="K1024" i="4"/>
  <c r="J1024" i="4"/>
  <c r="L1024" i="4" s="1"/>
  <c r="M1024" i="4" s="1"/>
  <c r="N1024" i="4" s="1"/>
  <c r="I1024" i="4"/>
  <c r="H1024" i="4"/>
  <c r="G1024" i="4"/>
  <c r="N1023" i="4"/>
  <c r="L1023" i="4"/>
  <c r="M1023" i="4" s="1"/>
  <c r="K1023" i="4"/>
  <c r="J1023" i="4"/>
  <c r="I1023" i="4"/>
  <c r="H1023" i="4"/>
  <c r="G1023" i="4"/>
  <c r="K1022" i="4"/>
  <c r="J1022" i="4"/>
  <c r="L1022" i="4" s="1"/>
  <c r="M1022" i="4" s="1"/>
  <c r="N1022" i="4" s="1"/>
  <c r="I1022" i="4"/>
  <c r="H1022" i="4"/>
  <c r="G1022" i="4"/>
  <c r="K1021" i="4"/>
  <c r="J1021" i="4"/>
  <c r="L1021" i="4" s="1"/>
  <c r="M1021" i="4" s="1"/>
  <c r="N1021" i="4" s="1"/>
  <c r="I1021" i="4"/>
  <c r="H1021" i="4"/>
  <c r="G1021" i="4"/>
  <c r="N1020" i="4"/>
  <c r="L1020" i="4"/>
  <c r="M1020" i="4" s="1"/>
  <c r="K1020" i="4"/>
  <c r="J1020" i="4"/>
  <c r="I1020" i="4"/>
  <c r="H1020" i="4"/>
  <c r="G1020" i="4"/>
  <c r="K1019" i="4"/>
  <c r="J1019" i="4"/>
  <c r="L1019" i="4" s="1"/>
  <c r="M1019" i="4" s="1"/>
  <c r="N1019" i="4" s="1"/>
  <c r="I1019" i="4"/>
  <c r="H1019" i="4"/>
  <c r="G1019" i="4"/>
  <c r="K1018" i="4"/>
  <c r="J1018" i="4"/>
  <c r="L1018" i="4" s="1"/>
  <c r="M1018" i="4" s="1"/>
  <c r="N1018" i="4" s="1"/>
  <c r="I1018" i="4"/>
  <c r="H1018" i="4"/>
  <c r="G1018" i="4"/>
  <c r="L1017" i="4"/>
  <c r="M1017" i="4" s="1"/>
  <c r="N1017" i="4" s="1"/>
  <c r="K1017" i="4"/>
  <c r="J1017" i="4"/>
  <c r="I1017" i="4"/>
  <c r="H1017" i="4"/>
  <c r="G1017" i="4"/>
  <c r="K1016" i="4"/>
  <c r="J1016" i="4"/>
  <c r="L1016" i="4" s="1"/>
  <c r="M1016" i="4" s="1"/>
  <c r="N1016" i="4" s="1"/>
  <c r="I1016" i="4"/>
  <c r="H1016" i="4"/>
  <c r="G1016" i="4"/>
  <c r="L1015" i="4"/>
  <c r="K1015" i="4"/>
  <c r="M1015" i="4" s="1"/>
  <c r="N1015" i="4" s="1"/>
  <c r="J1015" i="4"/>
  <c r="I1015" i="4"/>
  <c r="H1015" i="4"/>
  <c r="G1015" i="4"/>
  <c r="L1014" i="4"/>
  <c r="M1014" i="4" s="1"/>
  <c r="N1014" i="4" s="1"/>
  <c r="K1014" i="4"/>
  <c r="J1014" i="4"/>
  <c r="I1014" i="4"/>
  <c r="H1014" i="4"/>
  <c r="G1014" i="4"/>
  <c r="K1013" i="4"/>
  <c r="J1013" i="4"/>
  <c r="L1013" i="4" s="1"/>
  <c r="M1013" i="4" s="1"/>
  <c r="N1013" i="4" s="1"/>
  <c r="I1013" i="4"/>
  <c r="H1013" i="4"/>
  <c r="G1013" i="4"/>
  <c r="L1012" i="4"/>
  <c r="K1012" i="4"/>
  <c r="M1012" i="4" s="1"/>
  <c r="N1012" i="4" s="1"/>
  <c r="J1012" i="4"/>
  <c r="I1012" i="4"/>
  <c r="H1012" i="4"/>
  <c r="G1012" i="4"/>
  <c r="L1011" i="4"/>
  <c r="M1011" i="4" s="1"/>
  <c r="N1011" i="4" s="1"/>
  <c r="K1011" i="4"/>
  <c r="J1011" i="4"/>
  <c r="I1011" i="4"/>
  <c r="H1011" i="4"/>
  <c r="G1011" i="4"/>
  <c r="K1010" i="4"/>
  <c r="J1010" i="4"/>
  <c r="L1010" i="4" s="1"/>
  <c r="M1010" i="4" s="1"/>
  <c r="N1010" i="4" s="1"/>
  <c r="I1010" i="4"/>
  <c r="H1010" i="4"/>
  <c r="G1010" i="4"/>
  <c r="L1009" i="4"/>
  <c r="K1009" i="4"/>
  <c r="M1009" i="4" s="1"/>
  <c r="N1009" i="4" s="1"/>
  <c r="J1009" i="4"/>
  <c r="I1009" i="4"/>
  <c r="H1009" i="4"/>
  <c r="G1009" i="4"/>
  <c r="L1008" i="4"/>
  <c r="M1008" i="4" s="1"/>
  <c r="N1008" i="4" s="1"/>
  <c r="K1008" i="4"/>
  <c r="J1008" i="4"/>
  <c r="I1008" i="4"/>
  <c r="H1008" i="4"/>
  <c r="G1008" i="4"/>
  <c r="K1007" i="4"/>
  <c r="J1007" i="4"/>
  <c r="L1007" i="4" s="1"/>
  <c r="M1007" i="4" s="1"/>
  <c r="N1007" i="4" s="1"/>
  <c r="I1007" i="4"/>
  <c r="H1007" i="4"/>
  <c r="G1007" i="4"/>
  <c r="L1006" i="4"/>
  <c r="K1006" i="4"/>
  <c r="M1006" i="4" s="1"/>
  <c r="N1006" i="4" s="1"/>
  <c r="J1006" i="4"/>
  <c r="I1006" i="4"/>
  <c r="H1006" i="4"/>
  <c r="G1006" i="4"/>
  <c r="L1005" i="4"/>
  <c r="M1005" i="4" s="1"/>
  <c r="N1005" i="4" s="1"/>
  <c r="K1005" i="4"/>
  <c r="J1005" i="4"/>
  <c r="I1005" i="4"/>
  <c r="H1005" i="4"/>
  <c r="G1005" i="4"/>
  <c r="K1004" i="4"/>
  <c r="J1004" i="4"/>
  <c r="L1004" i="4" s="1"/>
  <c r="M1004" i="4" s="1"/>
  <c r="N1004" i="4" s="1"/>
  <c r="I1004" i="4"/>
  <c r="H1004" i="4"/>
  <c r="G1004" i="4"/>
  <c r="L1003" i="4"/>
  <c r="K1003" i="4"/>
  <c r="M1003" i="4" s="1"/>
  <c r="N1003" i="4" s="1"/>
  <c r="J1003" i="4"/>
  <c r="I1003" i="4"/>
  <c r="H1003" i="4"/>
  <c r="G1003" i="4"/>
  <c r="L1002" i="4"/>
  <c r="M1002" i="4" s="1"/>
  <c r="N1002" i="4" s="1"/>
  <c r="K1002" i="4"/>
  <c r="J1002" i="4"/>
  <c r="I1002" i="4"/>
  <c r="H1002" i="4"/>
  <c r="G1002" i="4"/>
  <c r="K1001" i="4"/>
  <c r="J1001" i="4"/>
  <c r="L1001" i="4" s="1"/>
  <c r="M1001" i="4" s="1"/>
  <c r="N1001" i="4" s="1"/>
  <c r="I1001" i="4"/>
  <c r="H1001" i="4"/>
  <c r="G1001" i="4"/>
  <c r="L1000" i="4"/>
  <c r="K1000" i="4"/>
  <c r="M1000" i="4" s="1"/>
  <c r="N1000" i="4" s="1"/>
  <c r="J1000" i="4"/>
  <c r="I1000" i="4"/>
  <c r="H1000" i="4"/>
  <c r="G1000" i="4"/>
  <c r="L999" i="4"/>
  <c r="M999" i="4" s="1"/>
  <c r="N999" i="4" s="1"/>
  <c r="K999" i="4"/>
  <c r="J999" i="4"/>
  <c r="I999" i="4"/>
  <c r="H999" i="4"/>
  <c r="G999" i="4"/>
  <c r="K998" i="4"/>
  <c r="J998" i="4"/>
  <c r="L998" i="4" s="1"/>
  <c r="M998" i="4" s="1"/>
  <c r="N998" i="4" s="1"/>
  <c r="I998" i="4"/>
  <c r="H998" i="4"/>
  <c r="G998" i="4"/>
  <c r="L997" i="4"/>
  <c r="K997" i="4"/>
  <c r="M997" i="4" s="1"/>
  <c r="N997" i="4" s="1"/>
  <c r="J997" i="4"/>
  <c r="I997" i="4"/>
  <c r="H997" i="4"/>
  <c r="G997" i="4"/>
  <c r="L996" i="4"/>
  <c r="M996" i="4" s="1"/>
  <c r="N996" i="4" s="1"/>
  <c r="K996" i="4"/>
  <c r="J996" i="4"/>
  <c r="I996" i="4"/>
  <c r="H996" i="4"/>
  <c r="G996" i="4"/>
  <c r="K995" i="4"/>
  <c r="J995" i="4"/>
  <c r="L995" i="4" s="1"/>
  <c r="M995" i="4" s="1"/>
  <c r="N995" i="4" s="1"/>
  <c r="I995" i="4"/>
  <c r="H995" i="4"/>
  <c r="G995" i="4"/>
  <c r="L994" i="4"/>
  <c r="K994" i="4"/>
  <c r="M994" i="4" s="1"/>
  <c r="N994" i="4" s="1"/>
  <c r="J994" i="4"/>
  <c r="I994" i="4"/>
  <c r="H994" i="4"/>
  <c r="G994" i="4"/>
  <c r="L993" i="4"/>
  <c r="M993" i="4" s="1"/>
  <c r="N993" i="4" s="1"/>
  <c r="K993" i="4"/>
  <c r="J993" i="4"/>
  <c r="I993" i="4"/>
  <c r="H993" i="4"/>
  <c r="G993" i="4"/>
  <c r="K992" i="4"/>
  <c r="J992" i="4"/>
  <c r="L992" i="4" s="1"/>
  <c r="M992" i="4" s="1"/>
  <c r="N992" i="4" s="1"/>
  <c r="I992" i="4"/>
  <c r="H992" i="4"/>
  <c r="G992" i="4"/>
  <c r="L991" i="4"/>
  <c r="K991" i="4"/>
  <c r="M991" i="4" s="1"/>
  <c r="N991" i="4" s="1"/>
  <c r="J991" i="4"/>
  <c r="I991" i="4"/>
  <c r="H991" i="4"/>
  <c r="G991" i="4"/>
  <c r="L990" i="4"/>
  <c r="M990" i="4" s="1"/>
  <c r="N990" i="4" s="1"/>
  <c r="K990" i="4"/>
  <c r="J990" i="4"/>
  <c r="I990" i="4"/>
  <c r="H990" i="4"/>
  <c r="G990" i="4"/>
  <c r="K989" i="4"/>
  <c r="J989" i="4"/>
  <c r="L989" i="4" s="1"/>
  <c r="M989" i="4" s="1"/>
  <c r="N989" i="4" s="1"/>
  <c r="I989" i="4"/>
  <c r="H989" i="4"/>
  <c r="G989" i="4"/>
  <c r="L988" i="4"/>
  <c r="K988" i="4"/>
  <c r="M988" i="4" s="1"/>
  <c r="N988" i="4" s="1"/>
  <c r="J988" i="4"/>
  <c r="I988" i="4"/>
  <c r="H988" i="4"/>
  <c r="G988" i="4"/>
  <c r="L987" i="4"/>
  <c r="M987" i="4" s="1"/>
  <c r="N987" i="4" s="1"/>
  <c r="K987" i="4"/>
  <c r="J987" i="4"/>
  <c r="I987" i="4"/>
  <c r="H987" i="4"/>
  <c r="G987" i="4"/>
  <c r="K986" i="4"/>
  <c r="J986" i="4"/>
  <c r="L986" i="4" s="1"/>
  <c r="M986" i="4" s="1"/>
  <c r="N986" i="4" s="1"/>
  <c r="I986" i="4"/>
  <c r="H986" i="4"/>
  <c r="G986" i="4"/>
  <c r="L985" i="4"/>
  <c r="K985" i="4"/>
  <c r="M985" i="4" s="1"/>
  <c r="N985" i="4" s="1"/>
  <c r="J985" i="4"/>
  <c r="I985" i="4"/>
  <c r="H985" i="4"/>
  <c r="G985" i="4"/>
  <c r="L984" i="4"/>
  <c r="M984" i="4" s="1"/>
  <c r="N984" i="4" s="1"/>
  <c r="K984" i="4"/>
  <c r="J984" i="4"/>
  <c r="I984" i="4"/>
  <c r="H984" i="4"/>
  <c r="G984" i="4"/>
  <c r="K983" i="4"/>
  <c r="J983" i="4"/>
  <c r="L983" i="4" s="1"/>
  <c r="M983" i="4" s="1"/>
  <c r="N983" i="4" s="1"/>
  <c r="I983" i="4"/>
  <c r="H983" i="4"/>
  <c r="G983" i="4"/>
  <c r="L982" i="4"/>
  <c r="K982" i="4"/>
  <c r="M982" i="4" s="1"/>
  <c r="N982" i="4" s="1"/>
  <c r="J982" i="4"/>
  <c r="I982" i="4"/>
  <c r="H982" i="4"/>
  <c r="G982" i="4"/>
  <c r="L981" i="4"/>
  <c r="M981" i="4" s="1"/>
  <c r="N981" i="4" s="1"/>
  <c r="K981" i="4"/>
  <c r="J981" i="4"/>
  <c r="I981" i="4"/>
  <c r="H981" i="4"/>
  <c r="G981" i="4"/>
  <c r="K980" i="4"/>
  <c r="J980" i="4"/>
  <c r="L980" i="4" s="1"/>
  <c r="M980" i="4" s="1"/>
  <c r="N980" i="4" s="1"/>
  <c r="I980" i="4"/>
  <c r="H980" i="4"/>
  <c r="G980" i="4"/>
  <c r="L979" i="4"/>
  <c r="K979" i="4"/>
  <c r="M979" i="4" s="1"/>
  <c r="N979" i="4" s="1"/>
  <c r="J979" i="4"/>
  <c r="I979" i="4"/>
  <c r="H979" i="4"/>
  <c r="G979" i="4"/>
  <c r="L978" i="4"/>
  <c r="M978" i="4" s="1"/>
  <c r="N978" i="4" s="1"/>
  <c r="K978" i="4"/>
  <c r="J978" i="4"/>
  <c r="I978" i="4"/>
  <c r="H978" i="4"/>
  <c r="G978" i="4"/>
  <c r="K977" i="4"/>
  <c r="J977" i="4"/>
  <c r="L977" i="4" s="1"/>
  <c r="M977" i="4" s="1"/>
  <c r="N977" i="4" s="1"/>
  <c r="I977" i="4"/>
  <c r="H977" i="4"/>
  <c r="G977" i="4"/>
  <c r="L976" i="4"/>
  <c r="K976" i="4"/>
  <c r="M976" i="4" s="1"/>
  <c r="N976" i="4" s="1"/>
  <c r="J976" i="4"/>
  <c r="I976" i="4"/>
  <c r="H976" i="4"/>
  <c r="G976" i="4"/>
  <c r="L975" i="4"/>
  <c r="M975" i="4" s="1"/>
  <c r="N975" i="4" s="1"/>
  <c r="K975" i="4"/>
  <c r="J975" i="4"/>
  <c r="I975" i="4"/>
  <c r="H975" i="4"/>
  <c r="G975" i="4"/>
  <c r="K974" i="4"/>
  <c r="J974" i="4"/>
  <c r="L974" i="4" s="1"/>
  <c r="M974" i="4" s="1"/>
  <c r="N974" i="4" s="1"/>
  <c r="I974" i="4"/>
  <c r="H974" i="4"/>
  <c r="G974" i="4"/>
  <c r="L973" i="4"/>
  <c r="K973" i="4"/>
  <c r="M973" i="4" s="1"/>
  <c r="N973" i="4" s="1"/>
  <c r="J973" i="4"/>
  <c r="I973" i="4"/>
  <c r="H973" i="4"/>
  <c r="G973" i="4"/>
  <c r="L972" i="4"/>
  <c r="M972" i="4" s="1"/>
  <c r="N972" i="4" s="1"/>
  <c r="K972" i="4"/>
  <c r="J972" i="4"/>
  <c r="I972" i="4"/>
  <c r="H972" i="4"/>
  <c r="G972" i="4"/>
  <c r="K971" i="4"/>
  <c r="J971" i="4"/>
  <c r="L971" i="4" s="1"/>
  <c r="M971" i="4" s="1"/>
  <c r="N971" i="4" s="1"/>
  <c r="I971" i="4"/>
  <c r="H971" i="4"/>
  <c r="G971" i="4"/>
  <c r="L970" i="4"/>
  <c r="K970" i="4"/>
  <c r="M970" i="4" s="1"/>
  <c r="N970" i="4" s="1"/>
  <c r="J970" i="4"/>
  <c r="I970" i="4"/>
  <c r="H970" i="4"/>
  <c r="G970" i="4"/>
  <c r="L969" i="4"/>
  <c r="M969" i="4" s="1"/>
  <c r="N969" i="4" s="1"/>
  <c r="K969" i="4"/>
  <c r="J969" i="4"/>
  <c r="I969" i="4"/>
  <c r="H969" i="4"/>
  <c r="G969" i="4"/>
  <c r="K968" i="4"/>
  <c r="J968" i="4"/>
  <c r="L968" i="4" s="1"/>
  <c r="M968" i="4" s="1"/>
  <c r="N968" i="4" s="1"/>
  <c r="I968" i="4"/>
  <c r="H968" i="4"/>
  <c r="G968" i="4"/>
  <c r="L967" i="4"/>
  <c r="K967" i="4"/>
  <c r="M967" i="4" s="1"/>
  <c r="N967" i="4" s="1"/>
  <c r="J967" i="4"/>
  <c r="I967" i="4"/>
  <c r="H967" i="4"/>
  <c r="G967" i="4"/>
  <c r="L966" i="4"/>
  <c r="M966" i="4" s="1"/>
  <c r="N966" i="4" s="1"/>
  <c r="K966" i="4"/>
  <c r="J966" i="4"/>
  <c r="I966" i="4"/>
  <c r="H966" i="4"/>
  <c r="G966" i="4"/>
  <c r="K965" i="4"/>
  <c r="J965" i="4"/>
  <c r="L965" i="4" s="1"/>
  <c r="M965" i="4" s="1"/>
  <c r="N965" i="4" s="1"/>
  <c r="I965" i="4"/>
  <c r="H965" i="4"/>
  <c r="G965" i="4"/>
  <c r="L964" i="4"/>
  <c r="M964" i="4" s="1"/>
  <c r="N964" i="4" s="1"/>
  <c r="K964" i="4"/>
  <c r="J964" i="4"/>
  <c r="I964" i="4"/>
  <c r="H964" i="4"/>
  <c r="G964" i="4"/>
  <c r="L963" i="4"/>
  <c r="M963" i="4" s="1"/>
  <c r="N963" i="4" s="1"/>
  <c r="K963" i="4"/>
  <c r="J963" i="4"/>
  <c r="I963" i="4"/>
  <c r="H963" i="4"/>
  <c r="G963" i="4"/>
  <c r="K962" i="4"/>
  <c r="J962" i="4"/>
  <c r="L962" i="4" s="1"/>
  <c r="M962" i="4" s="1"/>
  <c r="N962" i="4" s="1"/>
  <c r="I962" i="4"/>
  <c r="H962" i="4"/>
  <c r="G962" i="4"/>
  <c r="L961" i="4"/>
  <c r="M961" i="4" s="1"/>
  <c r="N961" i="4" s="1"/>
  <c r="K961" i="4"/>
  <c r="J961" i="4"/>
  <c r="I961" i="4"/>
  <c r="H961" i="4"/>
  <c r="G961" i="4"/>
  <c r="L960" i="4"/>
  <c r="M960" i="4" s="1"/>
  <c r="N960" i="4" s="1"/>
  <c r="K960" i="4"/>
  <c r="J960" i="4"/>
  <c r="I960" i="4"/>
  <c r="H960" i="4"/>
  <c r="G960" i="4"/>
  <c r="K959" i="4"/>
  <c r="J959" i="4"/>
  <c r="L959" i="4" s="1"/>
  <c r="M959" i="4" s="1"/>
  <c r="N959" i="4" s="1"/>
  <c r="I959" i="4"/>
  <c r="H959" i="4"/>
  <c r="G959" i="4"/>
  <c r="L958" i="4"/>
  <c r="M958" i="4" s="1"/>
  <c r="N958" i="4" s="1"/>
  <c r="K958" i="4"/>
  <c r="J958" i="4"/>
  <c r="I958" i="4"/>
  <c r="H958" i="4"/>
  <c r="G958" i="4"/>
  <c r="L957" i="4"/>
  <c r="M957" i="4" s="1"/>
  <c r="N957" i="4" s="1"/>
  <c r="K957" i="4"/>
  <c r="J957" i="4"/>
  <c r="I957" i="4"/>
  <c r="H957" i="4"/>
  <c r="G957" i="4"/>
  <c r="K956" i="4"/>
  <c r="J956" i="4"/>
  <c r="L956" i="4" s="1"/>
  <c r="M956" i="4" s="1"/>
  <c r="N956" i="4" s="1"/>
  <c r="I956" i="4"/>
  <c r="H956" i="4"/>
  <c r="G956" i="4"/>
  <c r="L955" i="4"/>
  <c r="M955" i="4" s="1"/>
  <c r="N955" i="4" s="1"/>
  <c r="K955" i="4"/>
  <c r="J955" i="4"/>
  <c r="I955" i="4"/>
  <c r="H955" i="4"/>
  <c r="G955" i="4"/>
  <c r="L954" i="4"/>
  <c r="M954" i="4" s="1"/>
  <c r="N954" i="4" s="1"/>
  <c r="K954" i="4"/>
  <c r="J954" i="4"/>
  <c r="I954" i="4"/>
  <c r="H954" i="4"/>
  <c r="G954" i="4"/>
  <c r="K953" i="4"/>
  <c r="J953" i="4"/>
  <c r="L953" i="4" s="1"/>
  <c r="M953" i="4" s="1"/>
  <c r="N953" i="4" s="1"/>
  <c r="I953" i="4"/>
  <c r="H953" i="4"/>
  <c r="G953" i="4"/>
  <c r="L952" i="4"/>
  <c r="M952" i="4" s="1"/>
  <c r="N952" i="4" s="1"/>
  <c r="K952" i="4"/>
  <c r="J952" i="4"/>
  <c r="I952" i="4"/>
  <c r="H952" i="4"/>
  <c r="G952" i="4"/>
  <c r="L951" i="4"/>
  <c r="M951" i="4" s="1"/>
  <c r="N951" i="4" s="1"/>
  <c r="K951" i="4"/>
  <c r="J951" i="4"/>
  <c r="I951" i="4"/>
  <c r="H951" i="4"/>
  <c r="G951" i="4"/>
  <c r="K950" i="4"/>
  <c r="J950" i="4"/>
  <c r="L950" i="4" s="1"/>
  <c r="M950" i="4" s="1"/>
  <c r="N950" i="4" s="1"/>
  <c r="I950" i="4"/>
  <c r="H950" i="4"/>
  <c r="G950" i="4"/>
  <c r="L949" i="4"/>
  <c r="M949" i="4" s="1"/>
  <c r="N949" i="4" s="1"/>
  <c r="K949" i="4"/>
  <c r="J949" i="4"/>
  <c r="I949" i="4"/>
  <c r="H949" i="4"/>
  <c r="G949" i="4"/>
  <c r="L948" i="4"/>
  <c r="M948" i="4" s="1"/>
  <c r="N948" i="4" s="1"/>
  <c r="K948" i="4"/>
  <c r="J948" i="4"/>
  <c r="I948" i="4"/>
  <c r="H948" i="4"/>
  <c r="G948" i="4"/>
  <c r="K947" i="4"/>
  <c r="J947" i="4"/>
  <c r="L947" i="4" s="1"/>
  <c r="M947" i="4" s="1"/>
  <c r="N947" i="4" s="1"/>
  <c r="I947" i="4"/>
  <c r="H947" i="4"/>
  <c r="G947" i="4"/>
  <c r="L946" i="4"/>
  <c r="M946" i="4" s="1"/>
  <c r="N946" i="4" s="1"/>
  <c r="K946" i="4"/>
  <c r="J946" i="4"/>
  <c r="I946" i="4"/>
  <c r="H946" i="4"/>
  <c r="G946" i="4"/>
  <c r="L945" i="4"/>
  <c r="M945" i="4" s="1"/>
  <c r="N945" i="4" s="1"/>
  <c r="K945" i="4"/>
  <c r="J945" i="4"/>
  <c r="I945" i="4"/>
  <c r="H945" i="4"/>
  <c r="G945" i="4"/>
  <c r="K944" i="4"/>
  <c r="J944" i="4"/>
  <c r="L944" i="4" s="1"/>
  <c r="M944" i="4" s="1"/>
  <c r="N944" i="4" s="1"/>
  <c r="I944" i="4"/>
  <c r="H944" i="4"/>
  <c r="G944" i="4"/>
  <c r="L943" i="4"/>
  <c r="M943" i="4" s="1"/>
  <c r="N943" i="4" s="1"/>
  <c r="K943" i="4"/>
  <c r="J943" i="4"/>
  <c r="I943" i="4"/>
  <c r="H943" i="4"/>
  <c r="G943" i="4"/>
  <c r="L942" i="4"/>
  <c r="M942" i="4" s="1"/>
  <c r="N942" i="4" s="1"/>
  <c r="K942" i="4"/>
  <c r="J942" i="4"/>
  <c r="I942" i="4"/>
  <c r="H942" i="4"/>
  <c r="G942" i="4"/>
  <c r="K941" i="4"/>
  <c r="J941" i="4"/>
  <c r="L941" i="4" s="1"/>
  <c r="M941" i="4" s="1"/>
  <c r="N941" i="4" s="1"/>
  <c r="I941" i="4"/>
  <c r="H941" i="4"/>
  <c r="G941" i="4"/>
  <c r="L940" i="4"/>
  <c r="M940" i="4" s="1"/>
  <c r="N940" i="4" s="1"/>
  <c r="K940" i="4"/>
  <c r="J940" i="4"/>
  <c r="I940" i="4"/>
  <c r="H940" i="4"/>
  <c r="G940" i="4"/>
  <c r="L939" i="4"/>
  <c r="M939" i="4" s="1"/>
  <c r="N939" i="4" s="1"/>
  <c r="K939" i="4"/>
  <c r="J939" i="4"/>
  <c r="I939" i="4"/>
  <c r="H939" i="4"/>
  <c r="G939" i="4"/>
  <c r="K938" i="4"/>
  <c r="J938" i="4"/>
  <c r="L938" i="4" s="1"/>
  <c r="M938" i="4" s="1"/>
  <c r="N938" i="4" s="1"/>
  <c r="I938" i="4"/>
  <c r="H938" i="4"/>
  <c r="G938" i="4"/>
  <c r="L937" i="4"/>
  <c r="M937" i="4" s="1"/>
  <c r="N937" i="4" s="1"/>
  <c r="K937" i="4"/>
  <c r="J937" i="4"/>
  <c r="I937" i="4"/>
  <c r="H937" i="4"/>
  <c r="G937" i="4"/>
  <c r="L936" i="4"/>
  <c r="M936" i="4" s="1"/>
  <c r="N936" i="4" s="1"/>
  <c r="K936" i="4"/>
  <c r="J936" i="4"/>
  <c r="I936" i="4"/>
  <c r="H936" i="4"/>
  <c r="G936" i="4"/>
  <c r="K935" i="4"/>
  <c r="J935" i="4"/>
  <c r="L935" i="4" s="1"/>
  <c r="M935" i="4" s="1"/>
  <c r="N935" i="4" s="1"/>
  <c r="I935" i="4"/>
  <c r="H935" i="4"/>
  <c r="G935" i="4"/>
  <c r="L934" i="4"/>
  <c r="M934" i="4" s="1"/>
  <c r="N934" i="4" s="1"/>
  <c r="K934" i="4"/>
  <c r="J934" i="4"/>
  <c r="I934" i="4"/>
  <c r="H934" i="4"/>
  <c r="G934" i="4"/>
  <c r="L933" i="4"/>
  <c r="M933" i="4" s="1"/>
  <c r="N933" i="4" s="1"/>
  <c r="K933" i="4"/>
  <c r="J933" i="4"/>
  <c r="I933" i="4"/>
  <c r="H933" i="4"/>
  <c r="G933" i="4"/>
  <c r="K932" i="4"/>
  <c r="J932" i="4"/>
  <c r="L932" i="4" s="1"/>
  <c r="M932" i="4" s="1"/>
  <c r="N932" i="4" s="1"/>
  <c r="I932" i="4"/>
  <c r="H932" i="4"/>
  <c r="G932" i="4"/>
  <c r="L931" i="4"/>
  <c r="M931" i="4" s="1"/>
  <c r="N931" i="4" s="1"/>
  <c r="K931" i="4"/>
  <c r="J931" i="4"/>
  <c r="I931" i="4"/>
  <c r="H931" i="4"/>
  <c r="G931" i="4"/>
  <c r="L930" i="4"/>
  <c r="M930" i="4" s="1"/>
  <c r="N930" i="4" s="1"/>
  <c r="K930" i="4"/>
  <c r="J930" i="4"/>
  <c r="I930" i="4"/>
  <c r="H930" i="4"/>
  <c r="G930" i="4"/>
  <c r="K929" i="4"/>
  <c r="J929" i="4"/>
  <c r="L929" i="4" s="1"/>
  <c r="M929" i="4" s="1"/>
  <c r="N929" i="4" s="1"/>
  <c r="I929" i="4"/>
  <c r="H929" i="4"/>
  <c r="G929" i="4"/>
  <c r="L928" i="4"/>
  <c r="M928" i="4" s="1"/>
  <c r="N928" i="4" s="1"/>
  <c r="K928" i="4"/>
  <c r="J928" i="4"/>
  <c r="I928" i="4"/>
  <c r="H928" i="4"/>
  <c r="G928" i="4"/>
  <c r="L927" i="4"/>
  <c r="M927" i="4" s="1"/>
  <c r="N927" i="4" s="1"/>
  <c r="K927" i="4"/>
  <c r="J927" i="4"/>
  <c r="I927" i="4"/>
  <c r="H927" i="4"/>
  <c r="G927" i="4"/>
  <c r="K926" i="4"/>
  <c r="J926" i="4"/>
  <c r="L926" i="4" s="1"/>
  <c r="M926" i="4" s="1"/>
  <c r="N926" i="4" s="1"/>
  <c r="I926" i="4"/>
  <c r="H926" i="4"/>
  <c r="G926" i="4"/>
  <c r="L925" i="4"/>
  <c r="M925" i="4" s="1"/>
  <c r="N925" i="4" s="1"/>
  <c r="K925" i="4"/>
  <c r="J925" i="4"/>
  <c r="I925" i="4"/>
  <c r="H925" i="4"/>
  <c r="G925" i="4"/>
  <c r="L924" i="4"/>
  <c r="M924" i="4" s="1"/>
  <c r="N924" i="4" s="1"/>
  <c r="K924" i="4"/>
  <c r="J924" i="4"/>
  <c r="I924" i="4"/>
  <c r="H924" i="4"/>
  <c r="G924" i="4"/>
  <c r="K923" i="4"/>
  <c r="J923" i="4"/>
  <c r="L923" i="4" s="1"/>
  <c r="M923" i="4" s="1"/>
  <c r="N923" i="4" s="1"/>
  <c r="I923" i="4"/>
  <c r="H923" i="4"/>
  <c r="G923" i="4"/>
  <c r="L922" i="4"/>
  <c r="M922" i="4" s="1"/>
  <c r="N922" i="4" s="1"/>
  <c r="K922" i="4"/>
  <c r="J922" i="4"/>
  <c r="I922" i="4"/>
  <c r="H922" i="4"/>
  <c r="G922" i="4"/>
  <c r="L921" i="4"/>
  <c r="M921" i="4" s="1"/>
  <c r="N921" i="4" s="1"/>
  <c r="K921" i="4"/>
  <c r="J921" i="4"/>
  <c r="I921" i="4"/>
  <c r="H921" i="4"/>
  <c r="G921" i="4"/>
  <c r="K920" i="4"/>
  <c r="J920" i="4"/>
  <c r="L920" i="4" s="1"/>
  <c r="M920" i="4" s="1"/>
  <c r="N920" i="4" s="1"/>
  <c r="I920" i="4"/>
  <c r="H920" i="4"/>
  <c r="G920" i="4"/>
  <c r="L919" i="4"/>
  <c r="M919" i="4" s="1"/>
  <c r="N919" i="4" s="1"/>
  <c r="K919" i="4"/>
  <c r="J919" i="4"/>
  <c r="I919" i="4"/>
  <c r="H919" i="4"/>
  <c r="G919" i="4"/>
  <c r="L918" i="4"/>
  <c r="M918" i="4" s="1"/>
  <c r="N918" i="4" s="1"/>
  <c r="K918" i="4"/>
  <c r="J918" i="4"/>
  <c r="I918" i="4"/>
  <c r="H918" i="4"/>
  <c r="G918" i="4"/>
  <c r="K917" i="4"/>
  <c r="J917" i="4"/>
  <c r="L917" i="4" s="1"/>
  <c r="M917" i="4" s="1"/>
  <c r="N917" i="4" s="1"/>
  <c r="I917" i="4"/>
  <c r="H917" i="4"/>
  <c r="G917" i="4"/>
  <c r="L916" i="4"/>
  <c r="M916" i="4" s="1"/>
  <c r="N916" i="4" s="1"/>
  <c r="K916" i="4"/>
  <c r="J916" i="4"/>
  <c r="I916" i="4"/>
  <c r="H916" i="4"/>
  <c r="G916" i="4"/>
  <c r="L915" i="4"/>
  <c r="M915" i="4" s="1"/>
  <c r="N915" i="4" s="1"/>
  <c r="K915" i="4"/>
  <c r="J915" i="4"/>
  <c r="I915" i="4"/>
  <c r="H915" i="4"/>
  <c r="G915" i="4"/>
  <c r="K914" i="4"/>
  <c r="J914" i="4"/>
  <c r="L914" i="4" s="1"/>
  <c r="M914" i="4" s="1"/>
  <c r="N914" i="4" s="1"/>
  <c r="I914" i="4"/>
  <c r="H914" i="4"/>
  <c r="G914" i="4"/>
  <c r="L913" i="4"/>
  <c r="M913" i="4" s="1"/>
  <c r="N913" i="4" s="1"/>
  <c r="K913" i="4"/>
  <c r="J913" i="4"/>
  <c r="I913" i="4"/>
  <c r="H913" i="4"/>
  <c r="G913" i="4"/>
  <c r="N912" i="4"/>
  <c r="L912" i="4"/>
  <c r="M912" i="4" s="1"/>
  <c r="K912" i="4"/>
  <c r="J912" i="4"/>
  <c r="I912" i="4"/>
  <c r="H912" i="4"/>
  <c r="G912" i="4"/>
  <c r="L911" i="4"/>
  <c r="M911" i="4" s="1"/>
  <c r="N911" i="4" s="1"/>
  <c r="K911" i="4"/>
  <c r="J911" i="4"/>
  <c r="I911" i="4"/>
  <c r="H911" i="4"/>
  <c r="G911" i="4"/>
  <c r="L910" i="4"/>
  <c r="M910" i="4" s="1"/>
  <c r="N910" i="4" s="1"/>
  <c r="K910" i="4"/>
  <c r="J910" i="4"/>
  <c r="I910" i="4"/>
  <c r="H910" i="4"/>
  <c r="G910" i="4"/>
  <c r="N909" i="4"/>
  <c r="L909" i="4"/>
  <c r="M909" i="4" s="1"/>
  <c r="K909" i="4"/>
  <c r="J909" i="4"/>
  <c r="I909" i="4"/>
  <c r="H909" i="4"/>
  <c r="G909" i="4"/>
  <c r="L908" i="4"/>
  <c r="M908" i="4" s="1"/>
  <c r="N908" i="4" s="1"/>
  <c r="K908" i="4"/>
  <c r="J908" i="4"/>
  <c r="I908" i="4"/>
  <c r="H908" i="4"/>
  <c r="G908" i="4"/>
  <c r="L907" i="4"/>
  <c r="M907" i="4" s="1"/>
  <c r="N907" i="4" s="1"/>
  <c r="K907" i="4"/>
  <c r="J907" i="4"/>
  <c r="I907" i="4"/>
  <c r="H907" i="4"/>
  <c r="G907" i="4"/>
  <c r="L906" i="4"/>
  <c r="K906" i="4"/>
  <c r="J906" i="4"/>
  <c r="I906" i="4"/>
  <c r="H906" i="4"/>
  <c r="G906" i="4"/>
  <c r="K905" i="4"/>
  <c r="J905" i="4"/>
  <c r="L905" i="4" s="1"/>
  <c r="M905" i="4" s="1"/>
  <c r="N905" i="4" s="1"/>
  <c r="I905" i="4"/>
  <c r="H905" i="4"/>
  <c r="G905" i="4"/>
  <c r="L904" i="4"/>
  <c r="K904" i="4"/>
  <c r="J904" i="4"/>
  <c r="I904" i="4"/>
  <c r="H904" i="4"/>
  <c r="G904" i="4"/>
  <c r="K903" i="4"/>
  <c r="J903" i="4"/>
  <c r="L903" i="4" s="1"/>
  <c r="M903" i="4" s="1"/>
  <c r="N903" i="4" s="1"/>
  <c r="I903" i="4"/>
  <c r="H903" i="4"/>
  <c r="G903" i="4"/>
  <c r="K902" i="4"/>
  <c r="J902" i="4"/>
  <c r="L902" i="4" s="1"/>
  <c r="M902" i="4" s="1"/>
  <c r="N902" i="4" s="1"/>
  <c r="I902" i="4"/>
  <c r="H902" i="4"/>
  <c r="G902" i="4"/>
  <c r="L901" i="4"/>
  <c r="K901" i="4"/>
  <c r="J901" i="4"/>
  <c r="I901" i="4"/>
  <c r="H901" i="4"/>
  <c r="G901" i="4"/>
  <c r="L900" i="4"/>
  <c r="M900" i="4" s="1"/>
  <c r="N900" i="4" s="1"/>
  <c r="K900" i="4"/>
  <c r="J900" i="4"/>
  <c r="I900" i="4"/>
  <c r="H900" i="4"/>
  <c r="G900" i="4"/>
  <c r="K899" i="4"/>
  <c r="J899" i="4"/>
  <c r="L899" i="4" s="1"/>
  <c r="M899" i="4" s="1"/>
  <c r="N899" i="4" s="1"/>
  <c r="I899" i="4"/>
  <c r="H899" i="4"/>
  <c r="G899" i="4"/>
  <c r="L898" i="4"/>
  <c r="M898" i="4" s="1"/>
  <c r="N898" i="4" s="1"/>
  <c r="K898" i="4"/>
  <c r="J898" i="4"/>
  <c r="I898" i="4"/>
  <c r="H898" i="4"/>
  <c r="G898" i="4"/>
  <c r="L897" i="4"/>
  <c r="M897" i="4" s="1"/>
  <c r="N897" i="4" s="1"/>
  <c r="K897" i="4"/>
  <c r="J897" i="4"/>
  <c r="I897" i="4"/>
  <c r="H897" i="4"/>
  <c r="G897" i="4"/>
  <c r="L896" i="4"/>
  <c r="M896" i="4" s="1"/>
  <c r="N896" i="4" s="1"/>
  <c r="K896" i="4"/>
  <c r="J896" i="4"/>
  <c r="I896" i="4"/>
  <c r="H896" i="4"/>
  <c r="G896" i="4"/>
  <c r="L895" i="4"/>
  <c r="K895" i="4"/>
  <c r="J895" i="4"/>
  <c r="I895" i="4"/>
  <c r="H895" i="4"/>
  <c r="G895" i="4"/>
  <c r="K894" i="4"/>
  <c r="J894" i="4"/>
  <c r="L894" i="4" s="1"/>
  <c r="M894" i="4" s="1"/>
  <c r="N894" i="4" s="1"/>
  <c r="I894" i="4"/>
  <c r="H894" i="4"/>
  <c r="G894" i="4"/>
  <c r="K893" i="4"/>
  <c r="J893" i="4"/>
  <c r="L893" i="4" s="1"/>
  <c r="M893" i="4" s="1"/>
  <c r="N893" i="4" s="1"/>
  <c r="I893" i="4"/>
  <c r="H893" i="4"/>
  <c r="G893" i="4"/>
  <c r="L892" i="4"/>
  <c r="K892" i="4"/>
  <c r="J892" i="4"/>
  <c r="I892" i="4"/>
  <c r="H892" i="4"/>
  <c r="G892" i="4"/>
  <c r="L891" i="4"/>
  <c r="M891" i="4" s="1"/>
  <c r="N891" i="4" s="1"/>
  <c r="K891" i="4"/>
  <c r="J891" i="4"/>
  <c r="I891" i="4"/>
  <c r="H891" i="4"/>
  <c r="G891" i="4"/>
  <c r="K890" i="4"/>
  <c r="J890" i="4"/>
  <c r="L890" i="4" s="1"/>
  <c r="M890" i="4" s="1"/>
  <c r="N890" i="4" s="1"/>
  <c r="I890" i="4"/>
  <c r="H890" i="4"/>
  <c r="G890" i="4"/>
  <c r="L889" i="4"/>
  <c r="M889" i="4" s="1"/>
  <c r="N889" i="4" s="1"/>
  <c r="K889" i="4"/>
  <c r="J889" i="4"/>
  <c r="I889" i="4"/>
  <c r="H889" i="4"/>
  <c r="G889" i="4"/>
  <c r="L888" i="4"/>
  <c r="M888" i="4" s="1"/>
  <c r="N888" i="4" s="1"/>
  <c r="K888" i="4"/>
  <c r="J888" i="4"/>
  <c r="I888" i="4"/>
  <c r="H888" i="4"/>
  <c r="G888" i="4"/>
  <c r="L887" i="4"/>
  <c r="M887" i="4" s="1"/>
  <c r="N887" i="4" s="1"/>
  <c r="K887" i="4"/>
  <c r="J887" i="4"/>
  <c r="I887" i="4"/>
  <c r="H887" i="4"/>
  <c r="G887" i="4"/>
  <c r="L886" i="4"/>
  <c r="K886" i="4"/>
  <c r="J886" i="4"/>
  <c r="I886" i="4"/>
  <c r="H886" i="4"/>
  <c r="G886" i="4"/>
  <c r="K885" i="4"/>
  <c r="J885" i="4"/>
  <c r="L885" i="4" s="1"/>
  <c r="M885" i="4" s="1"/>
  <c r="N885" i="4" s="1"/>
  <c r="I885" i="4"/>
  <c r="H885" i="4"/>
  <c r="G885" i="4"/>
  <c r="K884" i="4"/>
  <c r="J884" i="4"/>
  <c r="L884" i="4" s="1"/>
  <c r="M884" i="4" s="1"/>
  <c r="N884" i="4" s="1"/>
  <c r="I884" i="4"/>
  <c r="H884" i="4"/>
  <c r="G884" i="4"/>
  <c r="L883" i="4"/>
  <c r="K883" i="4"/>
  <c r="J883" i="4"/>
  <c r="I883" i="4"/>
  <c r="H883" i="4"/>
  <c r="G883" i="4"/>
  <c r="L882" i="4"/>
  <c r="M882" i="4" s="1"/>
  <c r="N882" i="4" s="1"/>
  <c r="K882" i="4"/>
  <c r="J882" i="4"/>
  <c r="I882" i="4"/>
  <c r="H882" i="4"/>
  <c r="G882" i="4"/>
  <c r="L881" i="4"/>
  <c r="M881" i="4" s="1"/>
  <c r="N881" i="4" s="1"/>
  <c r="K881" i="4"/>
  <c r="J881" i="4"/>
  <c r="I881" i="4"/>
  <c r="H881" i="4"/>
  <c r="G881" i="4"/>
  <c r="N880" i="4"/>
  <c r="L880" i="4"/>
  <c r="M880" i="4" s="1"/>
  <c r="K880" i="4"/>
  <c r="J880" i="4"/>
  <c r="I880" i="4"/>
  <c r="H880" i="4"/>
  <c r="G880" i="4"/>
  <c r="L879" i="4"/>
  <c r="M879" i="4" s="1"/>
  <c r="N879" i="4" s="1"/>
  <c r="K879" i="4"/>
  <c r="J879" i="4"/>
  <c r="I879" i="4"/>
  <c r="H879" i="4"/>
  <c r="G879" i="4"/>
  <c r="L878" i="4"/>
  <c r="J878" i="4"/>
  <c r="I878" i="4"/>
  <c r="K878" i="4" s="1"/>
  <c r="H878" i="4"/>
  <c r="G878" i="4"/>
  <c r="L877" i="4"/>
  <c r="K877" i="4"/>
  <c r="J877" i="4"/>
  <c r="I877" i="4"/>
  <c r="H877" i="4"/>
  <c r="G877" i="4"/>
  <c r="L876" i="4"/>
  <c r="M876" i="4" s="1"/>
  <c r="N876" i="4" s="1"/>
  <c r="K876" i="4"/>
  <c r="J876" i="4"/>
  <c r="I876" i="4"/>
  <c r="H876" i="4"/>
  <c r="G876" i="4"/>
  <c r="K875" i="4"/>
  <c r="J875" i="4"/>
  <c r="L875" i="4" s="1"/>
  <c r="I875" i="4"/>
  <c r="H875" i="4"/>
  <c r="G875" i="4"/>
  <c r="L874" i="4"/>
  <c r="M874" i="4" s="1"/>
  <c r="N874" i="4" s="1"/>
  <c r="K874" i="4"/>
  <c r="J874" i="4"/>
  <c r="I874" i="4"/>
  <c r="H874" i="4"/>
  <c r="G874" i="4"/>
  <c r="M873" i="4"/>
  <c r="N873" i="4" s="1"/>
  <c r="L873" i="4"/>
  <c r="K873" i="4"/>
  <c r="J873" i="4"/>
  <c r="I873" i="4"/>
  <c r="H873" i="4"/>
  <c r="G873" i="4"/>
  <c r="L872" i="4"/>
  <c r="J872" i="4"/>
  <c r="I872" i="4"/>
  <c r="K872" i="4" s="1"/>
  <c r="H872" i="4"/>
  <c r="G872" i="4"/>
  <c r="L871" i="4"/>
  <c r="K871" i="4"/>
  <c r="J871" i="4"/>
  <c r="I871" i="4"/>
  <c r="H871" i="4"/>
  <c r="G871" i="4"/>
  <c r="K870" i="4"/>
  <c r="J870" i="4"/>
  <c r="L870" i="4" s="1"/>
  <c r="I870" i="4"/>
  <c r="H870" i="4"/>
  <c r="G870" i="4"/>
  <c r="L869" i="4"/>
  <c r="K869" i="4"/>
  <c r="J869" i="4"/>
  <c r="I869" i="4"/>
  <c r="H869" i="4"/>
  <c r="G869" i="4"/>
  <c r="L868" i="4"/>
  <c r="M868" i="4" s="1"/>
  <c r="N868" i="4" s="1"/>
  <c r="K868" i="4"/>
  <c r="J868" i="4"/>
  <c r="I868" i="4"/>
  <c r="H868" i="4"/>
  <c r="G868" i="4"/>
  <c r="L867" i="4"/>
  <c r="M867" i="4" s="1"/>
  <c r="N867" i="4" s="1"/>
  <c r="K867" i="4"/>
  <c r="J867" i="4"/>
  <c r="I867" i="4"/>
  <c r="H867" i="4"/>
  <c r="G867" i="4"/>
  <c r="L866" i="4"/>
  <c r="J866" i="4"/>
  <c r="I866" i="4"/>
  <c r="K866" i="4" s="1"/>
  <c r="H866" i="4"/>
  <c r="G866" i="4"/>
  <c r="L865" i="4"/>
  <c r="K865" i="4"/>
  <c r="J865" i="4"/>
  <c r="I865" i="4"/>
  <c r="H865" i="4"/>
  <c r="G865" i="4"/>
  <c r="L864" i="4"/>
  <c r="M864" i="4" s="1"/>
  <c r="N864" i="4" s="1"/>
  <c r="K864" i="4"/>
  <c r="J864" i="4"/>
  <c r="I864" i="4"/>
  <c r="H864" i="4"/>
  <c r="G864" i="4"/>
  <c r="L863" i="4"/>
  <c r="M863" i="4" s="1"/>
  <c r="N863" i="4" s="1"/>
  <c r="K863" i="4"/>
  <c r="J863" i="4"/>
  <c r="I863" i="4"/>
  <c r="H863" i="4"/>
  <c r="G863" i="4"/>
  <c r="J862" i="4"/>
  <c r="L862" i="4" s="1"/>
  <c r="I862" i="4"/>
  <c r="K862" i="4" s="1"/>
  <c r="H862" i="4"/>
  <c r="G862" i="4"/>
  <c r="K861" i="4"/>
  <c r="J861" i="4"/>
  <c r="L861" i="4" s="1"/>
  <c r="M861" i="4" s="1"/>
  <c r="N861" i="4" s="1"/>
  <c r="I861" i="4"/>
  <c r="H861" i="4"/>
  <c r="G861" i="4"/>
  <c r="L860" i="4"/>
  <c r="K860" i="4"/>
  <c r="J860" i="4"/>
  <c r="I860" i="4"/>
  <c r="H860" i="4"/>
  <c r="G860" i="4"/>
  <c r="J859" i="4"/>
  <c r="L859" i="4" s="1"/>
  <c r="I859" i="4"/>
  <c r="K859" i="4" s="1"/>
  <c r="H859" i="4"/>
  <c r="G859" i="4"/>
  <c r="K858" i="4"/>
  <c r="J858" i="4"/>
  <c r="L858" i="4" s="1"/>
  <c r="M858" i="4" s="1"/>
  <c r="N858" i="4" s="1"/>
  <c r="I858" i="4"/>
  <c r="H858" i="4"/>
  <c r="G858" i="4"/>
  <c r="L857" i="4"/>
  <c r="K857" i="4"/>
  <c r="J857" i="4"/>
  <c r="I857" i="4"/>
  <c r="H857" i="4"/>
  <c r="G857" i="4"/>
  <c r="L856" i="4"/>
  <c r="J856" i="4"/>
  <c r="I856" i="4"/>
  <c r="K856" i="4" s="1"/>
  <c r="H856" i="4"/>
  <c r="G856" i="4"/>
  <c r="K855" i="4"/>
  <c r="J855" i="4"/>
  <c r="L855" i="4" s="1"/>
  <c r="M855" i="4" s="1"/>
  <c r="N855" i="4" s="1"/>
  <c r="I855" i="4"/>
  <c r="H855" i="4"/>
  <c r="G855" i="4"/>
  <c r="L854" i="4"/>
  <c r="M854" i="4" s="1"/>
  <c r="N854" i="4" s="1"/>
  <c r="K854" i="4"/>
  <c r="J854" i="4"/>
  <c r="I854" i="4"/>
  <c r="H854" i="4"/>
  <c r="G854" i="4"/>
  <c r="L853" i="4"/>
  <c r="J853" i="4"/>
  <c r="I853" i="4"/>
  <c r="K853" i="4" s="1"/>
  <c r="H853" i="4"/>
  <c r="G853" i="4"/>
  <c r="K852" i="4"/>
  <c r="J852" i="4"/>
  <c r="L852" i="4" s="1"/>
  <c r="M852" i="4" s="1"/>
  <c r="N852" i="4" s="1"/>
  <c r="I852" i="4"/>
  <c r="H852" i="4"/>
  <c r="G852" i="4"/>
  <c r="L851" i="4"/>
  <c r="M851" i="4" s="1"/>
  <c r="N851" i="4" s="1"/>
  <c r="K851" i="4"/>
  <c r="J851" i="4"/>
  <c r="I851" i="4"/>
  <c r="H851" i="4"/>
  <c r="G851" i="4"/>
  <c r="L850" i="4"/>
  <c r="M850" i="4" s="1"/>
  <c r="N850" i="4" s="1"/>
  <c r="J850" i="4"/>
  <c r="I850" i="4"/>
  <c r="K850" i="4" s="1"/>
  <c r="H850" i="4"/>
  <c r="G850" i="4"/>
  <c r="K849" i="4"/>
  <c r="J849" i="4"/>
  <c r="L849" i="4" s="1"/>
  <c r="M849" i="4" s="1"/>
  <c r="N849" i="4" s="1"/>
  <c r="I849" i="4"/>
  <c r="H849" i="4"/>
  <c r="G849" i="4"/>
  <c r="L848" i="4"/>
  <c r="K848" i="4"/>
  <c r="J848" i="4"/>
  <c r="I848" i="4"/>
  <c r="H848" i="4"/>
  <c r="G848" i="4"/>
  <c r="L847" i="4"/>
  <c r="J847" i="4"/>
  <c r="I847" i="4"/>
  <c r="K847" i="4" s="1"/>
  <c r="H847" i="4"/>
  <c r="G847" i="4"/>
  <c r="K846" i="4"/>
  <c r="J846" i="4"/>
  <c r="L846" i="4" s="1"/>
  <c r="M846" i="4" s="1"/>
  <c r="N846" i="4" s="1"/>
  <c r="I846" i="4"/>
  <c r="H846" i="4"/>
  <c r="G846" i="4"/>
  <c r="L845" i="4"/>
  <c r="M845" i="4" s="1"/>
  <c r="N845" i="4" s="1"/>
  <c r="K845" i="4"/>
  <c r="J845" i="4"/>
  <c r="I845" i="4"/>
  <c r="H845" i="4"/>
  <c r="G845" i="4"/>
  <c r="L844" i="4"/>
  <c r="J844" i="4"/>
  <c r="I844" i="4"/>
  <c r="K844" i="4" s="1"/>
  <c r="H844" i="4"/>
  <c r="G844" i="4"/>
  <c r="K843" i="4"/>
  <c r="J843" i="4"/>
  <c r="L843" i="4" s="1"/>
  <c r="M843" i="4" s="1"/>
  <c r="N843" i="4" s="1"/>
  <c r="I843" i="4"/>
  <c r="H843" i="4"/>
  <c r="G843" i="4"/>
  <c r="L842" i="4"/>
  <c r="M842" i="4" s="1"/>
  <c r="N842" i="4" s="1"/>
  <c r="K842" i="4"/>
  <c r="J842" i="4"/>
  <c r="I842" i="4"/>
  <c r="H842" i="4"/>
  <c r="G842" i="4"/>
  <c r="L841" i="4"/>
  <c r="M841" i="4" s="1"/>
  <c r="N841" i="4" s="1"/>
  <c r="J841" i="4"/>
  <c r="I841" i="4"/>
  <c r="K841" i="4" s="1"/>
  <c r="H841" i="4"/>
  <c r="G841" i="4"/>
  <c r="K840" i="4"/>
  <c r="J840" i="4"/>
  <c r="L840" i="4" s="1"/>
  <c r="M840" i="4" s="1"/>
  <c r="N840" i="4" s="1"/>
  <c r="I840" i="4"/>
  <c r="H840" i="4"/>
  <c r="G840" i="4"/>
  <c r="L839" i="4"/>
  <c r="K839" i="4"/>
  <c r="J839" i="4"/>
  <c r="I839" i="4"/>
  <c r="H839" i="4"/>
  <c r="G839" i="4"/>
  <c r="L838" i="4"/>
  <c r="J838" i="4"/>
  <c r="I838" i="4"/>
  <c r="K838" i="4" s="1"/>
  <c r="H838" i="4"/>
  <c r="G838" i="4"/>
  <c r="K837" i="4"/>
  <c r="J837" i="4"/>
  <c r="L837" i="4" s="1"/>
  <c r="M837" i="4" s="1"/>
  <c r="N837" i="4" s="1"/>
  <c r="I837" i="4"/>
  <c r="H837" i="4"/>
  <c r="G837" i="4"/>
  <c r="L836" i="4"/>
  <c r="M836" i="4" s="1"/>
  <c r="N836" i="4" s="1"/>
  <c r="K836" i="4"/>
  <c r="J836" i="4"/>
  <c r="I836" i="4"/>
  <c r="H836" i="4"/>
  <c r="G836" i="4"/>
  <c r="L835" i="4"/>
  <c r="J835" i="4"/>
  <c r="I835" i="4"/>
  <c r="K835" i="4" s="1"/>
  <c r="H835" i="4"/>
  <c r="G835" i="4"/>
  <c r="K834" i="4"/>
  <c r="J834" i="4"/>
  <c r="L834" i="4" s="1"/>
  <c r="M834" i="4" s="1"/>
  <c r="N834" i="4" s="1"/>
  <c r="I834" i="4"/>
  <c r="H834" i="4"/>
  <c r="G834" i="4"/>
  <c r="L833" i="4"/>
  <c r="M833" i="4" s="1"/>
  <c r="N833" i="4" s="1"/>
  <c r="K833" i="4"/>
  <c r="J833" i="4"/>
  <c r="I833" i="4"/>
  <c r="H833" i="4"/>
  <c r="G833" i="4"/>
  <c r="L832" i="4"/>
  <c r="M832" i="4" s="1"/>
  <c r="N832" i="4" s="1"/>
  <c r="J832" i="4"/>
  <c r="I832" i="4"/>
  <c r="K832" i="4" s="1"/>
  <c r="H832" i="4"/>
  <c r="G832" i="4"/>
  <c r="K831" i="4"/>
  <c r="J831" i="4"/>
  <c r="L831" i="4" s="1"/>
  <c r="M831" i="4" s="1"/>
  <c r="N831" i="4" s="1"/>
  <c r="I831" i="4"/>
  <c r="H831" i="4"/>
  <c r="G831" i="4"/>
  <c r="L830" i="4"/>
  <c r="K830" i="4"/>
  <c r="J830" i="4"/>
  <c r="I830" i="4"/>
  <c r="H830" i="4"/>
  <c r="G830" i="4"/>
  <c r="L829" i="4"/>
  <c r="J829" i="4"/>
  <c r="I829" i="4"/>
  <c r="K829" i="4" s="1"/>
  <c r="H829" i="4"/>
  <c r="G829" i="4"/>
  <c r="K828" i="4"/>
  <c r="J828" i="4"/>
  <c r="L828" i="4" s="1"/>
  <c r="M828" i="4" s="1"/>
  <c r="N828" i="4" s="1"/>
  <c r="I828" i="4"/>
  <c r="H828" i="4"/>
  <c r="G828" i="4"/>
  <c r="L827" i="4"/>
  <c r="M827" i="4" s="1"/>
  <c r="N827" i="4" s="1"/>
  <c r="K827" i="4"/>
  <c r="J827" i="4"/>
  <c r="I827" i="4"/>
  <c r="H827" i="4"/>
  <c r="G827" i="4"/>
  <c r="L826" i="4"/>
  <c r="J826" i="4"/>
  <c r="I826" i="4"/>
  <c r="K826" i="4" s="1"/>
  <c r="H826" i="4"/>
  <c r="G826" i="4"/>
  <c r="K825" i="4"/>
  <c r="J825" i="4"/>
  <c r="L825" i="4" s="1"/>
  <c r="M825" i="4" s="1"/>
  <c r="N825" i="4" s="1"/>
  <c r="I825" i="4"/>
  <c r="H825" i="4"/>
  <c r="G825" i="4"/>
  <c r="L824" i="4"/>
  <c r="M824" i="4" s="1"/>
  <c r="N824" i="4" s="1"/>
  <c r="K824" i="4"/>
  <c r="J824" i="4"/>
  <c r="I824" i="4"/>
  <c r="H824" i="4"/>
  <c r="G824" i="4"/>
  <c r="L823" i="4"/>
  <c r="M823" i="4" s="1"/>
  <c r="N823" i="4" s="1"/>
  <c r="J823" i="4"/>
  <c r="I823" i="4"/>
  <c r="K823" i="4" s="1"/>
  <c r="H823" i="4"/>
  <c r="G823" i="4"/>
  <c r="K822" i="4"/>
  <c r="J822" i="4"/>
  <c r="L822" i="4" s="1"/>
  <c r="M822" i="4" s="1"/>
  <c r="N822" i="4" s="1"/>
  <c r="I822" i="4"/>
  <c r="H822" i="4"/>
  <c r="G822" i="4"/>
  <c r="L821" i="4"/>
  <c r="K821" i="4"/>
  <c r="J821" i="4"/>
  <c r="I821" i="4"/>
  <c r="H821" i="4"/>
  <c r="G821" i="4"/>
  <c r="L820" i="4"/>
  <c r="J820" i="4"/>
  <c r="I820" i="4"/>
  <c r="K820" i="4" s="1"/>
  <c r="H820" i="4"/>
  <c r="G820" i="4"/>
  <c r="K819" i="4"/>
  <c r="J819" i="4"/>
  <c r="L819" i="4" s="1"/>
  <c r="M819" i="4" s="1"/>
  <c r="N819" i="4" s="1"/>
  <c r="I819" i="4"/>
  <c r="H819" i="4"/>
  <c r="G819" i="4"/>
  <c r="L818" i="4"/>
  <c r="M818" i="4" s="1"/>
  <c r="N818" i="4" s="1"/>
  <c r="K818" i="4"/>
  <c r="J818" i="4"/>
  <c r="I818" i="4"/>
  <c r="H818" i="4"/>
  <c r="G818" i="4"/>
  <c r="L817" i="4"/>
  <c r="J817" i="4"/>
  <c r="I817" i="4"/>
  <c r="K817" i="4" s="1"/>
  <c r="H817" i="4"/>
  <c r="G817" i="4"/>
  <c r="K816" i="4"/>
  <c r="J816" i="4"/>
  <c r="L816" i="4" s="1"/>
  <c r="M816" i="4" s="1"/>
  <c r="N816" i="4" s="1"/>
  <c r="I816" i="4"/>
  <c r="H816" i="4"/>
  <c r="G816" i="4"/>
  <c r="L815" i="4"/>
  <c r="M815" i="4" s="1"/>
  <c r="N815" i="4" s="1"/>
  <c r="K815" i="4"/>
  <c r="J815" i="4"/>
  <c r="I815" i="4"/>
  <c r="H815" i="4"/>
  <c r="G815" i="4"/>
  <c r="L814" i="4"/>
  <c r="M814" i="4" s="1"/>
  <c r="N814" i="4" s="1"/>
  <c r="J814" i="4"/>
  <c r="I814" i="4"/>
  <c r="K814" i="4" s="1"/>
  <c r="H814" i="4"/>
  <c r="G814" i="4"/>
  <c r="K813" i="4"/>
  <c r="J813" i="4"/>
  <c r="L813" i="4" s="1"/>
  <c r="M813" i="4" s="1"/>
  <c r="N813" i="4" s="1"/>
  <c r="I813" i="4"/>
  <c r="H813" i="4"/>
  <c r="G813" i="4"/>
  <c r="L812" i="4"/>
  <c r="K812" i="4"/>
  <c r="J812" i="4"/>
  <c r="I812" i="4"/>
  <c r="H812" i="4"/>
  <c r="G812" i="4"/>
  <c r="L811" i="4"/>
  <c r="J811" i="4"/>
  <c r="I811" i="4"/>
  <c r="K811" i="4" s="1"/>
  <c r="H811" i="4"/>
  <c r="G811" i="4"/>
  <c r="K810" i="4"/>
  <c r="J810" i="4"/>
  <c r="L810" i="4" s="1"/>
  <c r="M810" i="4" s="1"/>
  <c r="N810" i="4" s="1"/>
  <c r="I810" i="4"/>
  <c r="H810" i="4"/>
  <c r="G810" i="4"/>
  <c r="L809" i="4"/>
  <c r="M809" i="4" s="1"/>
  <c r="N809" i="4" s="1"/>
  <c r="K809" i="4"/>
  <c r="J809" i="4"/>
  <c r="I809" i="4"/>
  <c r="H809" i="4"/>
  <c r="G809" i="4"/>
  <c r="L808" i="4"/>
  <c r="J808" i="4"/>
  <c r="I808" i="4"/>
  <c r="K808" i="4" s="1"/>
  <c r="H808" i="4"/>
  <c r="G808" i="4"/>
  <c r="K807" i="4"/>
  <c r="J807" i="4"/>
  <c r="L807" i="4" s="1"/>
  <c r="M807" i="4" s="1"/>
  <c r="N807" i="4" s="1"/>
  <c r="I807" i="4"/>
  <c r="H807" i="4"/>
  <c r="G807" i="4"/>
  <c r="L806" i="4"/>
  <c r="M806" i="4" s="1"/>
  <c r="N806" i="4" s="1"/>
  <c r="K806" i="4"/>
  <c r="J806" i="4"/>
  <c r="I806" i="4"/>
  <c r="H806" i="4"/>
  <c r="G806" i="4"/>
  <c r="L805" i="4"/>
  <c r="M805" i="4" s="1"/>
  <c r="N805" i="4" s="1"/>
  <c r="J805" i="4"/>
  <c r="I805" i="4"/>
  <c r="K805" i="4" s="1"/>
  <c r="H805" i="4"/>
  <c r="G805" i="4"/>
  <c r="K804" i="4"/>
  <c r="J804" i="4"/>
  <c r="L804" i="4" s="1"/>
  <c r="M804" i="4" s="1"/>
  <c r="N804" i="4" s="1"/>
  <c r="I804" i="4"/>
  <c r="H804" i="4"/>
  <c r="G804" i="4"/>
  <c r="L803" i="4"/>
  <c r="K803" i="4"/>
  <c r="J803" i="4"/>
  <c r="I803" i="4"/>
  <c r="H803" i="4"/>
  <c r="G803" i="4"/>
  <c r="L802" i="4"/>
  <c r="J802" i="4"/>
  <c r="I802" i="4"/>
  <c r="K802" i="4" s="1"/>
  <c r="H802" i="4"/>
  <c r="G802" i="4"/>
  <c r="K801" i="4"/>
  <c r="J801" i="4"/>
  <c r="L801" i="4" s="1"/>
  <c r="M801" i="4" s="1"/>
  <c r="N801" i="4" s="1"/>
  <c r="I801" i="4"/>
  <c r="H801" i="4"/>
  <c r="G801" i="4"/>
  <c r="L800" i="4"/>
  <c r="M800" i="4" s="1"/>
  <c r="N800" i="4" s="1"/>
  <c r="K800" i="4"/>
  <c r="J800" i="4"/>
  <c r="I800" i="4"/>
  <c r="H800" i="4"/>
  <c r="G800" i="4"/>
  <c r="L799" i="4"/>
  <c r="J799" i="4"/>
  <c r="I799" i="4"/>
  <c r="K799" i="4" s="1"/>
  <c r="H799" i="4"/>
  <c r="G799" i="4"/>
  <c r="K798" i="4"/>
  <c r="J798" i="4"/>
  <c r="L798" i="4" s="1"/>
  <c r="M798" i="4" s="1"/>
  <c r="N798" i="4" s="1"/>
  <c r="I798" i="4"/>
  <c r="H798" i="4"/>
  <c r="G798" i="4"/>
  <c r="L797" i="4"/>
  <c r="M797" i="4" s="1"/>
  <c r="N797" i="4" s="1"/>
  <c r="K797" i="4"/>
  <c r="J797" i="4"/>
  <c r="I797" i="4"/>
  <c r="H797" i="4"/>
  <c r="G797" i="4"/>
  <c r="L796" i="4"/>
  <c r="M796" i="4" s="1"/>
  <c r="N796" i="4" s="1"/>
  <c r="J796" i="4"/>
  <c r="I796" i="4"/>
  <c r="K796" i="4" s="1"/>
  <c r="H796" i="4"/>
  <c r="G796" i="4"/>
  <c r="K795" i="4"/>
  <c r="J795" i="4"/>
  <c r="L795" i="4" s="1"/>
  <c r="M795" i="4" s="1"/>
  <c r="N795" i="4" s="1"/>
  <c r="I795" i="4"/>
  <c r="H795" i="4"/>
  <c r="G795" i="4"/>
  <c r="L794" i="4"/>
  <c r="K794" i="4"/>
  <c r="J794" i="4"/>
  <c r="I794" i="4"/>
  <c r="H794" i="4"/>
  <c r="G794" i="4"/>
  <c r="L793" i="4"/>
  <c r="J793" i="4"/>
  <c r="I793" i="4"/>
  <c r="K793" i="4" s="1"/>
  <c r="H793" i="4"/>
  <c r="G793" i="4"/>
  <c r="K792" i="4"/>
  <c r="J792" i="4"/>
  <c r="L792" i="4" s="1"/>
  <c r="M792" i="4" s="1"/>
  <c r="N792" i="4" s="1"/>
  <c r="I792" i="4"/>
  <c r="H792" i="4"/>
  <c r="G792" i="4"/>
  <c r="L791" i="4"/>
  <c r="M791" i="4" s="1"/>
  <c r="N791" i="4" s="1"/>
  <c r="K791" i="4"/>
  <c r="J791" i="4"/>
  <c r="I791" i="4"/>
  <c r="H791" i="4"/>
  <c r="G791" i="4"/>
  <c r="L790" i="4"/>
  <c r="J790" i="4"/>
  <c r="I790" i="4"/>
  <c r="K790" i="4" s="1"/>
  <c r="H790" i="4"/>
  <c r="G790" i="4"/>
  <c r="K789" i="4"/>
  <c r="J789" i="4"/>
  <c r="L789" i="4" s="1"/>
  <c r="M789" i="4" s="1"/>
  <c r="N789" i="4" s="1"/>
  <c r="I789" i="4"/>
  <c r="H789" i="4"/>
  <c r="G789" i="4"/>
  <c r="L788" i="4"/>
  <c r="M788" i="4" s="1"/>
  <c r="N788" i="4" s="1"/>
  <c r="K788" i="4"/>
  <c r="J788" i="4"/>
  <c r="I788" i="4"/>
  <c r="H788" i="4"/>
  <c r="G788" i="4"/>
  <c r="L787" i="4"/>
  <c r="M787" i="4" s="1"/>
  <c r="N787" i="4" s="1"/>
  <c r="J787" i="4"/>
  <c r="I787" i="4"/>
  <c r="K787" i="4" s="1"/>
  <c r="H787" i="4"/>
  <c r="G787" i="4"/>
  <c r="K786" i="4"/>
  <c r="J786" i="4"/>
  <c r="L786" i="4" s="1"/>
  <c r="M786" i="4" s="1"/>
  <c r="N786" i="4" s="1"/>
  <c r="I786" i="4"/>
  <c r="H786" i="4"/>
  <c r="G786" i="4"/>
  <c r="L785" i="4"/>
  <c r="K785" i="4"/>
  <c r="J785" i="4"/>
  <c r="I785" i="4"/>
  <c r="H785" i="4"/>
  <c r="G785" i="4"/>
  <c r="L784" i="4"/>
  <c r="J784" i="4"/>
  <c r="I784" i="4"/>
  <c r="K784" i="4" s="1"/>
  <c r="H784" i="4"/>
  <c r="G784" i="4"/>
  <c r="K783" i="4"/>
  <c r="J783" i="4"/>
  <c r="L783" i="4" s="1"/>
  <c r="M783" i="4" s="1"/>
  <c r="N783" i="4" s="1"/>
  <c r="I783" i="4"/>
  <c r="H783" i="4"/>
  <c r="G783" i="4"/>
  <c r="L782" i="4"/>
  <c r="M782" i="4" s="1"/>
  <c r="N782" i="4" s="1"/>
  <c r="K782" i="4"/>
  <c r="J782" i="4"/>
  <c r="I782" i="4"/>
  <c r="H782" i="4"/>
  <c r="G782" i="4"/>
  <c r="L781" i="4"/>
  <c r="J781" i="4"/>
  <c r="I781" i="4"/>
  <c r="K781" i="4" s="1"/>
  <c r="H781" i="4"/>
  <c r="G781" i="4"/>
  <c r="K780" i="4"/>
  <c r="J780" i="4"/>
  <c r="L780" i="4" s="1"/>
  <c r="M780" i="4" s="1"/>
  <c r="N780" i="4" s="1"/>
  <c r="I780" i="4"/>
  <c r="H780" i="4"/>
  <c r="G780" i="4"/>
  <c r="L779" i="4"/>
  <c r="M779" i="4" s="1"/>
  <c r="N779" i="4" s="1"/>
  <c r="K779" i="4"/>
  <c r="J779" i="4"/>
  <c r="I779" i="4"/>
  <c r="H779" i="4"/>
  <c r="G779" i="4"/>
  <c r="L778" i="4"/>
  <c r="M778" i="4" s="1"/>
  <c r="N778" i="4" s="1"/>
  <c r="J778" i="4"/>
  <c r="I778" i="4"/>
  <c r="K778" i="4" s="1"/>
  <c r="H778" i="4"/>
  <c r="G778" i="4"/>
  <c r="K777" i="4"/>
  <c r="J777" i="4"/>
  <c r="L777" i="4" s="1"/>
  <c r="M777" i="4" s="1"/>
  <c r="N777" i="4" s="1"/>
  <c r="I777" i="4"/>
  <c r="H777" i="4"/>
  <c r="G777" i="4"/>
  <c r="L776" i="4"/>
  <c r="K776" i="4"/>
  <c r="J776" i="4"/>
  <c r="I776" i="4"/>
  <c r="H776" i="4"/>
  <c r="G776" i="4"/>
  <c r="L775" i="4"/>
  <c r="J775" i="4"/>
  <c r="I775" i="4"/>
  <c r="K775" i="4" s="1"/>
  <c r="H775" i="4"/>
  <c r="G775" i="4"/>
  <c r="K774" i="4"/>
  <c r="J774" i="4"/>
  <c r="L774" i="4" s="1"/>
  <c r="M774" i="4" s="1"/>
  <c r="N774" i="4" s="1"/>
  <c r="I774" i="4"/>
  <c r="H774" i="4"/>
  <c r="G774" i="4"/>
  <c r="L773" i="4"/>
  <c r="M773" i="4" s="1"/>
  <c r="N773" i="4" s="1"/>
  <c r="K773" i="4"/>
  <c r="J773" i="4"/>
  <c r="I773" i="4"/>
  <c r="H773" i="4"/>
  <c r="G773" i="4"/>
  <c r="L772" i="4"/>
  <c r="J772" i="4"/>
  <c r="I772" i="4"/>
  <c r="K772" i="4" s="1"/>
  <c r="H772" i="4"/>
  <c r="G772" i="4"/>
  <c r="K771" i="4"/>
  <c r="J771" i="4"/>
  <c r="L771" i="4" s="1"/>
  <c r="M771" i="4" s="1"/>
  <c r="N771" i="4" s="1"/>
  <c r="I771" i="4"/>
  <c r="H771" i="4"/>
  <c r="G771" i="4"/>
  <c r="L770" i="4"/>
  <c r="M770" i="4" s="1"/>
  <c r="N770" i="4" s="1"/>
  <c r="K770" i="4"/>
  <c r="J770" i="4"/>
  <c r="I770" i="4"/>
  <c r="H770" i="4"/>
  <c r="G770" i="4"/>
  <c r="L769" i="4"/>
  <c r="M769" i="4" s="1"/>
  <c r="N769" i="4" s="1"/>
  <c r="J769" i="4"/>
  <c r="I769" i="4"/>
  <c r="K769" i="4" s="1"/>
  <c r="H769" i="4"/>
  <c r="G769" i="4"/>
  <c r="K768" i="4"/>
  <c r="J768" i="4"/>
  <c r="L768" i="4" s="1"/>
  <c r="M768" i="4" s="1"/>
  <c r="N768" i="4" s="1"/>
  <c r="I768" i="4"/>
  <c r="H768" i="4"/>
  <c r="G768" i="4"/>
  <c r="L767" i="4"/>
  <c r="K767" i="4"/>
  <c r="J767" i="4"/>
  <c r="I767" i="4"/>
  <c r="H767" i="4"/>
  <c r="G767" i="4"/>
  <c r="L766" i="4"/>
  <c r="J766" i="4"/>
  <c r="I766" i="4"/>
  <c r="K766" i="4" s="1"/>
  <c r="H766" i="4"/>
  <c r="G766" i="4"/>
  <c r="K765" i="4"/>
  <c r="J765" i="4"/>
  <c r="L765" i="4" s="1"/>
  <c r="M765" i="4" s="1"/>
  <c r="N765" i="4" s="1"/>
  <c r="I765" i="4"/>
  <c r="H765" i="4"/>
  <c r="G765" i="4"/>
  <c r="L764" i="4"/>
  <c r="M764" i="4" s="1"/>
  <c r="N764" i="4" s="1"/>
  <c r="K764" i="4"/>
  <c r="J764" i="4"/>
  <c r="I764" i="4"/>
  <c r="H764" i="4"/>
  <c r="G764" i="4"/>
  <c r="L763" i="4"/>
  <c r="J763" i="4"/>
  <c r="I763" i="4"/>
  <c r="K763" i="4" s="1"/>
  <c r="H763" i="4"/>
  <c r="G763" i="4"/>
  <c r="K762" i="4"/>
  <c r="J762" i="4"/>
  <c r="L762" i="4" s="1"/>
  <c r="M762" i="4" s="1"/>
  <c r="N762" i="4" s="1"/>
  <c r="I762" i="4"/>
  <c r="H762" i="4"/>
  <c r="G762" i="4"/>
  <c r="L761" i="4"/>
  <c r="M761" i="4" s="1"/>
  <c r="N761" i="4" s="1"/>
  <c r="K761" i="4"/>
  <c r="J761" i="4"/>
  <c r="I761" i="4"/>
  <c r="H761" i="4"/>
  <c r="G761" i="4"/>
  <c r="L760" i="4"/>
  <c r="M760" i="4" s="1"/>
  <c r="N760" i="4" s="1"/>
  <c r="J760" i="4"/>
  <c r="I760" i="4"/>
  <c r="K760" i="4" s="1"/>
  <c r="H760" i="4"/>
  <c r="G760" i="4"/>
  <c r="K759" i="4"/>
  <c r="J759" i="4"/>
  <c r="L759" i="4" s="1"/>
  <c r="M759" i="4" s="1"/>
  <c r="N759" i="4" s="1"/>
  <c r="I759" i="4"/>
  <c r="H759" i="4"/>
  <c r="G759" i="4"/>
  <c r="L758" i="4"/>
  <c r="K758" i="4"/>
  <c r="J758" i="4"/>
  <c r="I758" i="4"/>
  <c r="H758" i="4"/>
  <c r="G758" i="4"/>
  <c r="L757" i="4"/>
  <c r="J757" i="4"/>
  <c r="I757" i="4"/>
  <c r="K757" i="4" s="1"/>
  <c r="H757" i="4"/>
  <c r="G757" i="4"/>
  <c r="K756" i="4"/>
  <c r="J756" i="4"/>
  <c r="L756" i="4" s="1"/>
  <c r="M756" i="4" s="1"/>
  <c r="N756" i="4" s="1"/>
  <c r="I756" i="4"/>
  <c r="H756" i="4"/>
  <c r="G756" i="4"/>
  <c r="L755" i="4"/>
  <c r="M755" i="4" s="1"/>
  <c r="N755" i="4" s="1"/>
  <c r="K755" i="4"/>
  <c r="J755" i="4"/>
  <c r="I755" i="4"/>
  <c r="H755" i="4"/>
  <c r="G755" i="4"/>
  <c r="L754" i="4"/>
  <c r="J754" i="4"/>
  <c r="I754" i="4"/>
  <c r="K754" i="4" s="1"/>
  <c r="H754" i="4"/>
  <c r="G754" i="4"/>
  <c r="K753" i="4"/>
  <c r="J753" i="4"/>
  <c r="L753" i="4" s="1"/>
  <c r="M753" i="4" s="1"/>
  <c r="N753" i="4" s="1"/>
  <c r="I753" i="4"/>
  <c r="H753" i="4"/>
  <c r="G753" i="4"/>
  <c r="L752" i="4"/>
  <c r="M752" i="4" s="1"/>
  <c r="N752" i="4" s="1"/>
  <c r="K752" i="4"/>
  <c r="J752" i="4"/>
  <c r="I752" i="4"/>
  <c r="H752" i="4"/>
  <c r="G752" i="4"/>
  <c r="L751" i="4"/>
  <c r="M751" i="4" s="1"/>
  <c r="N751" i="4" s="1"/>
  <c r="J751" i="4"/>
  <c r="I751" i="4"/>
  <c r="K751" i="4" s="1"/>
  <c r="H751" i="4"/>
  <c r="G751" i="4"/>
  <c r="K750" i="4"/>
  <c r="J750" i="4"/>
  <c r="L750" i="4" s="1"/>
  <c r="M750" i="4" s="1"/>
  <c r="N750" i="4" s="1"/>
  <c r="I750" i="4"/>
  <c r="H750" i="4"/>
  <c r="G750" i="4"/>
  <c r="L749" i="4"/>
  <c r="K749" i="4"/>
  <c r="J749" i="4"/>
  <c r="I749" i="4"/>
  <c r="H749" i="4"/>
  <c r="G749" i="4"/>
  <c r="L748" i="4"/>
  <c r="J748" i="4"/>
  <c r="I748" i="4"/>
  <c r="K748" i="4" s="1"/>
  <c r="H748" i="4"/>
  <c r="G748" i="4"/>
  <c r="K747" i="4"/>
  <c r="J747" i="4"/>
  <c r="L747" i="4" s="1"/>
  <c r="M747" i="4" s="1"/>
  <c r="N747" i="4" s="1"/>
  <c r="I747" i="4"/>
  <c r="H747" i="4"/>
  <c r="G747" i="4"/>
  <c r="L746" i="4"/>
  <c r="M746" i="4" s="1"/>
  <c r="N746" i="4" s="1"/>
  <c r="K746" i="4"/>
  <c r="J746" i="4"/>
  <c r="I746" i="4"/>
  <c r="H746" i="4"/>
  <c r="G746" i="4"/>
  <c r="L745" i="4"/>
  <c r="J745" i="4"/>
  <c r="I745" i="4"/>
  <c r="K745" i="4" s="1"/>
  <c r="H745" i="4"/>
  <c r="G745" i="4"/>
  <c r="K744" i="4"/>
  <c r="J744" i="4"/>
  <c r="L744" i="4" s="1"/>
  <c r="M744" i="4" s="1"/>
  <c r="N744" i="4" s="1"/>
  <c r="I744" i="4"/>
  <c r="H744" i="4"/>
  <c r="G744" i="4"/>
  <c r="L743" i="4"/>
  <c r="M743" i="4" s="1"/>
  <c r="N743" i="4" s="1"/>
  <c r="K743" i="4"/>
  <c r="J743" i="4"/>
  <c r="I743" i="4"/>
  <c r="H743" i="4"/>
  <c r="G743" i="4"/>
  <c r="L742" i="4"/>
  <c r="M742" i="4" s="1"/>
  <c r="N742" i="4" s="1"/>
  <c r="J742" i="4"/>
  <c r="I742" i="4"/>
  <c r="K742" i="4" s="1"/>
  <c r="H742" i="4"/>
  <c r="G742" i="4"/>
  <c r="K741" i="4"/>
  <c r="J741" i="4"/>
  <c r="L741" i="4" s="1"/>
  <c r="M741" i="4" s="1"/>
  <c r="N741" i="4" s="1"/>
  <c r="I741" i="4"/>
  <c r="H741" i="4"/>
  <c r="G741" i="4"/>
  <c r="L740" i="4"/>
  <c r="K740" i="4"/>
  <c r="J740" i="4"/>
  <c r="I740" i="4"/>
  <c r="H740" i="4"/>
  <c r="G740" i="4"/>
  <c r="L739" i="4"/>
  <c r="J739" i="4"/>
  <c r="I739" i="4"/>
  <c r="K739" i="4" s="1"/>
  <c r="H739" i="4"/>
  <c r="G739" i="4"/>
  <c r="K738" i="4"/>
  <c r="J738" i="4"/>
  <c r="L738" i="4" s="1"/>
  <c r="M738" i="4" s="1"/>
  <c r="N738" i="4" s="1"/>
  <c r="I738" i="4"/>
  <c r="H738" i="4"/>
  <c r="G738" i="4"/>
  <c r="L737" i="4"/>
  <c r="M737" i="4" s="1"/>
  <c r="N737" i="4" s="1"/>
  <c r="K737" i="4"/>
  <c r="J737" i="4"/>
  <c r="I737" i="4"/>
  <c r="H737" i="4"/>
  <c r="G737" i="4"/>
  <c r="L736" i="4"/>
  <c r="J736" i="4"/>
  <c r="I736" i="4"/>
  <c r="K736" i="4" s="1"/>
  <c r="H736" i="4"/>
  <c r="G736" i="4"/>
  <c r="K735" i="4"/>
  <c r="J735" i="4"/>
  <c r="L735" i="4" s="1"/>
  <c r="M735" i="4" s="1"/>
  <c r="N735" i="4" s="1"/>
  <c r="I735" i="4"/>
  <c r="H735" i="4"/>
  <c r="G735" i="4"/>
  <c r="L734" i="4"/>
  <c r="M734" i="4" s="1"/>
  <c r="N734" i="4" s="1"/>
  <c r="K734" i="4"/>
  <c r="J734" i="4"/>
  <c r="I734" i="4"/>
  <c r="H734" i="4"/>
  <c r="G734" i="4"/>
  <c r="L733" i="4"/>
  <c r="M733" i="4" s="1"/>
  <c r="N733" i="4" s="1"/>
  <c r="J733" i="4"/>
  <c r="I733" i="4"/>
  <c r="K733" i="4" s="1"/>
  <c r="H733" i="4"/>
  <c r="G733" i="4"/>
  <c r="K732" i="4"/>
  <c r="J732" i="4"/>
  <c r="L732" i="4" s="1"/>
  <c r="M732" i="4" s="1"/>
  <c r="N732" i="4" s="1"/>
  <c r="I732" i="4"/>
  <c r="H732" i="4"/>
  <c r="G732" i="4"/>
  <c r="L731" i="4"/>
  <c r="K731" i="4"/>
  <c r="J731" i="4"/>
  <c r="I731" i="4"/>
  <c r="H731" i="4"/>
  <c r="G731" i="4"/>
  <c r="L730" i="4"/>
  <c r="J730" i="4"/>
  <c r="I730" i="4"/>
  <c r="K730" i="4" s="1"/>
  <c r="H730" i="4"/>
  <c r="G730" i="4"/>
  <c r="K729" i="4"/>
  <c r="J729" i="4"/>
  <c r="L729" i="4" s="1"/>
  <c r="M729" i="4" s="1"/>
  <c r="N729" i="4" s="1"/>
  <c r="I729" i="4"/>
  <c r="H729" i="4"/>
  <c r="G729" i="4"/>
  <c r="L728" i="4"/>
  <c r="M728" i="4" s="1"/>
  <c r="N728" i="4" s="1"/>
  <c r="K728" i="4"/>
  <c r="J728" i="4"/>
  <c r="I728" i="4"/>
  <c r="H728" i="4"/>
  <c r="G728" i="4"/>
  <c r="L727" i="4"/>
  <c r="J727" i="4"/>
  <c r="I727" i="4"/>
  <c r="K727" i="4" s="1"/>
  <c r="H727" i="4"/>
  <c r="G727" i="4"/>
  <c r="K726" i="4"/>
  <c r="J726" i="4"/>
  <c r="L726" i="4" s="1"/>
  <c r="M726" i="4" s="1"/>
  <c r="N726" i="4" s="1"/>
  <c r="I726" i="4"/>
  <c r="H726" i="4"/>
  <c r="G726" i="4"/>
  <c r="L725" i="4"/>
  <c r="M725" i="4" s="1"/>
  <c r="N725" i="4" s="1"/>
  <c r="K725" i="4"/>
  <c r="J725" i="4"/>
  <c r="I725" i="4"/>
  <c r="H725" i="4"/>
  <c r="G725" i="4"/>
  <c r="L724" i="4"/>
  <c r="M724" i="4" s="1"/>
  <c r="N724" i="4" s="1"/>
  <c r="J724" i="4"/>
  <c r="I724" i="4"/>
  <c r="K724" i="4" s="1"/>
  <c r="H724" i="4"/>
  <c r="G724" i="4"/>
  <c r="K723" i="4"/>
  <c r="J723" i="4"/>
  <c r="L723" i="4" s="1"/>
  <c r="M723" i="4" s="1"/>
  <c r="N723" i="4" s="1"/>
  <c r="I723" i="4"/>
  <c r="H723" i="4"/>
  <c r="G723" i="4"/>
  <c r="L722" i="4"/>
  <c r="K722" i="4"/>
  <c r="J722" i="4"/>
  <c r="I722" i="4"/>
  <c r="H722" i="4"/>
  <c r="G722" i="4"/>
  <c r="L721" i="4"/>
  <c r="J721" i="4"/>
  <c r="I721" i="4"/>
  <c r="K721" i="4" s="1"/>
  <c r="H721" i="4"/>
  <c r="G721" i="4"/>
  <c r="K720" i="4"/>
  <c r="J720" i="4"/>
  <c r="L720" i="4" s="1"/>
  <c r="M720" i="4" s="1"/>
  <c r="N720" i="4" s="1"/>
  <c r="I720" i="4"/>
  <c r="H720" i="4"/>
  <c r="G720" i="4"/>
  <c r="L719" i="4"/>
  <c r="M719" i="4" s="1"/>
  <c r="N719" i="4" s="1"/>
  <c r="K719" i="4"/>
  <c r="J719" i="4"/>
  <c r="I719" i="4"/>
  <c r="H719" i="4"/>
  <c r="G719" i="4"/>
  <c r="L718" i="4"/>
  <c r="J718" i="4"/>
  <c r="I718" i="4"/>
  <c r="K718" i="4" s="1"/>
  <c r="H718" i="4"/>
  <c r="G718" i="4"/>
  <c r="K717" i="4"/>
  <c r="J717" i="4"/>
  <c r="L717" i="4" s="1"/>
  <c r="M717" i="4" s="1"/>
  <c r="N717" i="4" s="1"/>
  <c r="I717" i="4"/>
  <c r="H717" i="4"/>
  <c r="G717" i="4"/>
  <c r="L716" i="4"/>
  <c r="M716" i="4" s="1"/>
  <c r="N716" i="4" s="1"/>
  <c r="K716" i="4"/>
  <c r="J716" i="4"/>
  <c r="I716" i="4"/>
  <c r="H716" i="4"/>
  <c r="G716" i="4"/>
  <c r="L715" i="4"/>
  <c r="M715" i="4" s="1"/>
  <c r="N715" i="4" s="1"/>
  <c r="J715" i="4"/>
  <c r="I715" i="4"/>
  <c r="K715" i="4" s="1"/>
  <c r="H715" i="4"/>
  <c r="G715" i="4"/>
  <c r="K714" i="4"/>
  <c r="J714" i="4"/>
  <c r="L714" i="4" s="1"/>
  <c r="M714" i="4" s="1"/>
  <c r="N714" i="4" s="1"/>
  <c r="I714" i="4"/>
  <c r="H714" i="4"/>
  <c r="G714" i="4"/>
  <c r="L713" i="4"/>
  <c r="K713" i="4"/>
  <c r="J713" i="4"/>
  <c r="I713" i="4"/>
  <c r="H713" i="4"/>
  <c r="G713" i="4"/>
  <c r="L712" i="4"/>
  <c r="J712" i="4"/>
  <c r="I712" i="4"/>
  <c r="K712" i="4" s="1"/>
  <c r="H712" i="4"/>
  <c r="G712" i="4"/>
  <c r="K711" i="4"/>
  <c r="J711" i="4"/>
  <c r="L711" i="4" s="1"/>
  <c r="M711" i="4" s="1"/>
  <c r="N711" i="4" s="1"/>
  <c r="I711" i="4"/>
  <c r="H711" i="4"/>
  <c r="G711" i="4"/>
  <c r="L710" i="4"/>
  <c r="M710" i="4" s="1"/>
  <c r="N710" i="4" s="1"/>
  <c r="K710" i="4"/>
  <c r="J710" i="4"/>
  <c r="I710" i="4"/>
  <c r="H710" i="4"/>
  <c r="G710" i="4"/>
  <c r="L709" i="4"/>
  <c r="J709" i="4"/>
  <c r="I709" i="4"/>
  <c r="K709" i="4" s="1"/>
  <c r="H709" i="4"/>
  <c r="G709" i="4"/>
  <c r="K708" i="4"/>
  <c r="J708" i="4"/>
  <c r="L708" i="4" s="1"/>
  <c r="I708" i="4"/>
  <c r="H708" i="4"/>
  <c r="G708" i="4"/>
  <c r="L707" i="4"/>
  <c r="K707" i="4"/>
  <c r="J707" i="4"/>
  <c r="I707" i="4"/>
  <c r="H707" i="4"/>
  <c r="G707" i="4"/>
  <c r="L706" i="4"/>
  <c r="J706" i="4"/>
  <c r="I706" i="4"/>
  <c r="K706" i="4" s="1"/>
  <c r="H706" i="4"/>
  <c r="G706" i="4"/>
  <c r="K705" i="4"/>
  <c r="J705" i="4"/>
  <c r="L705" i="4" s="1"/>
  <c r="M705" i="4" s="1"/>
  <c r="N705" i="4" s="1"/>
  <c r="I705" i="4"/>
  <c r="H705" i="4"/>
  <c r="G705" i="4"/>
  <c r="L704" i="4"/>
  <c r="M704" i="4" s="1"/>
  <c r="N704" i="4" s="1"/>
  <c r="K704" i="4"/>
  <c r="J704" i="4"/>
  <c r="I704" i="4"/>
  <c r="H704" i="4"/>
  <c r="G704" i="4"/>
  <c r="J703" i="4"/>
  <c r="L703" i="4" s="1"/>
  <c r="I703" i="4"/>
  <c r="K703" i="4" s="1"/>
  <c r="H703" i="4"/>
  <c r="G703" i="4"/>
  <c r="K702" i="4"/>
  <c r="J702" i="4"/>
  <c r="L702" i="4" s="1"/>
  <c r="I702" i="4"/>
  <c r="H702" i="4"/>
  <c r="G702" i="4"/>
  <c r="L701" i="4"/>
  <c r="K701" i="4"/>
  <c r="M701" i="4" s="1"/>
  <c r="N701" i="4" s="1"/>
  <c r="J701" i="4"/>
  <c r="I701" i="4"/>
  <c r="H701" i="4"/>
  <c r="G701" i="4"/>
  <c r="L700" i="4"/>
  <c r="J700" i="4"/>
  <c r="I700" i="4"/>
  <c r="K700" i="4" s="1"/>
  <c r="H700" i="4"/>
  <c r="G700" i="4"/>
  <c r="K699" i="4"/>
  <c r="J699" i="4"/>
  <c r="L699" i="4" s="1"/>
  <c r="M699" i="4" s="1"/>
  <c r="N699" i="4" s="1"/>
  <c r="I699" i="4"/>
  <c r="H699" i="4"/>
  <c r="G699" i="4"/>
  <c r="L698" i="4"/>
  <c r="M698" i="4" s="1"/>
  <c r="N698" i="4" s="1"/>
  <c r="K698" i="4"/>
  <c r="J698" i="4"/>
  <c r="I698" i="4"/>
  <c r="H698" i="4"/>
  <c r="G698" i="4"/>
  <c r="N697" i="4"/>
  <c r="L697" i="4"/>
  <c r="M697" i="4" s="1"/>
  <c r="J697" i="4"/>
  <c r="I697" i="4"/>
  <c r="K697" i="4" s="1"/>
  <c r="H697" i="4"/>
  <c r="G697" i="4"/>
  <c r="K696" i="4"/>
  <c r="J696" i="4"/>
  <c r="L696" i="4" s="1"/>
  <c r="I696" i="4"/>
  <c r="H696" i="4"/>
  <c r="G696" i="4"/>
  <c r="L695" i="4"/>
  <c r="M695" i="4" s="1"/>
  <c r="N695" i="4" s="1"/>
  <c r="K695" i="4"/>
  <c r="J695" i="4"/>
  <c r="I695" i="4"/>
  <c r="H695" i="4"/>
  <c r="G695" i="4"/>
  <c r="L694" i="4"/>
  <c r="J694" i="4"/>
  <c r="I694" i="4"/>
  <c r="K694" i="4" s="1"/>
  <c r="H694" i="4"/>
  <c r="G694" i="4"/>
  <c r="K693" i="4"/>
  <c r="J693" i="4"/>
  <c r="L693" i="4" s="1"/>
  <c r="I693" i="4"/>
  <c r="H693" i="4"/>
  <c r="G693" i="4"/>
  <c r="L692" i="4"/>
  <c r="K692" i="4"/>
  <c r="M692" i="4" s="1"/>
  <c r="N692" i="4" s="1"/>
  <c r="J692" i="4"/>
  <c r="I692" i="4"/>
  <c r="H692" i="4"/>
  <c r="G692" i="4"/>
  <c r="L691" i="4"/>
  <c r="J691" i="4"/>
  <c r="I691" i="4"/>
  <c r="K691" i="4" s="1"/>
  <c r="H691" i="4"/>
  <c r="G691" i="4"/>
  <c r="K690" i="4"/>
  <c r="J690" i="4"/>
  <c r="L690" i="4" s="1"/>
  <c r="I690" i="4"/>
  <c r="H690" i="4"/>
  <c r="G690" i="4"/>
  <c r="L689" i="4"/>
  <c r="K689" i="4"/>
  <c r="M689" i="4" s="1"/>
  <c r="N689" i="4" s="1"/>
  <c r="J689" i="4"/>
  <c r="I689" i="4"/>
  <c r="H689" i="4"/>
  <c r="G689" i="4"/>
  <c r="J688" i="4"/>
  <c r="L688" i="4" s="1"/>
  <c r="M688" i="4" s="1"/>
  <c r="N688" i="4" s="1"/>
  <c r="I688" i="4"/>
  <c r="K688" i="4" s="1"/>
  <c r="H688" i="4"/>
  <c r="G688" i="4"/>
  <c r="K687" i="4"/>
  <c r="J687" i="4"/>
  <c r="L687" i="4" s="1"/>
  <c r="M687" i="4" s="1"/>
  <c r="N687" i="4" s="1"/>
  <c r="I687" i="4"/>
  <c r="H687" i="4"/>
  <c r="G687" i="4"/>
  <c r="N686" i="4"/>
  <c r="M686" i="4"/>
  <c r="L686" i="4"/>
  <c r="K686" i="4"/>
  <c r="J686" i="4"/>
  <c r="I686" i="4"/>
  <c r="H686" i="4"/>
  <c r="G686" i="4"/>
  <c r="L685" i="4"/>
  <c r="J685" i="4"/>
  <c r="I685" i="4"/>
  <c r="K685" i="4" s="1"/>
  <c r="H685" i="4"/>
  <c r="G685" i="4"/>
  <c r="K684" i="4"/>
  <c r="J684" i="4"/>
  <c r="L684" i="4" s="1"/>
  <c r="M684" i="4" s="1"/>
  <c r="N684" i="4" s="1"/>
  <c r="I684" i="4"/>
  <c r="H684" i="4"/>
  <c r="G684" i="4"/>
  <c r="L683" i="4"/>
  <c r="M683" i="4" s="1"/>
  <c r="N683" i="4" s="1"/>
  <c r="K683" i="4"/>
  <c r="J683" i="4"/>
  <c r="I683" i="4"/>
  <c r="H683" i="4"/>
  <c r="G683" i="4"/>
  <c r="J682" i="4"/>
  <c r="L682" i="4" s="1"/>
  <c r="M682" i="4" s="1"/>
  <c r="N682" i="4" s="1"/>
  <c r="I682" i="4"/>
  <c r="K682" i="4" s="1"/>
  <c r="H682" i="4"/>
  <c r="G682" i="4"/>
  <c r="N681" i="4"/>
  <c r="L681" i="4"/>
  <c r="M681" i="4" s="1"/>
  <c r="K681" i="4"/>
  <c r="J681" i="4"/>
  <c r="I681" i="4"/>
  <c r="H681" i="4"/>
  <c r="G681" i="4"/>
  <c r="K680" i="4"/>
  <c r="J680" i="4"/>
  <c r="L680" i="4" s="1"/>
  <c r="M680" i="4" s="1"/>
  <c r="N680" i="4" s="1"/>
  <c r="I680" i="4"/>
  <c r="H680" i="4"/>
  <c r="G680" i="4"/>
  <c r="L679" i="4"/>
  <c r="J679" i="4"/>
  <c r="I679" i="4"/>
  <c r="K679" i="4" s="1"/>
  <c r="H679" i="4"/>
  <c r="G679" i="4"/>
  <c r="L678" i="4"/>
  <c r="K678" i="4"/>
  <c r="J678" i="4"/>
  <c r="I678" i="4"/>
  <c r="H678" i="4"/>
  <c r="G678" i="4"/>
  <c r="K677" i="4"/>
  <c r="J677" i="4"/>
  <c r="L677" i="4" s="1"/>
  <c r="M677" i="4" s="1"/>
  <c r="N677" i="4" s="1"/>
  <c r="I677" i="4"/>
  <c r="H677" i="4"/>
  <c r="G677" i="4"/>
  <c r="J676" i="4"/>
  <c r="L676" i="4" s="1"/>
  <c r="I676" i="4"/>
  <c r="K676" i="4" s="1"/>
  <c r="H676" i="4"/>
  <c r="G676" i="4"/>
  <c r="K675" i="4"/>
  <c r="J675" i="4"/>
  <c r="L675" i="4" s="1"/>
  <c r="M675" i="4" s="1"/>
  <c r="N675" i="4" s="1"/>
  <c r="I675" i="4"/>
  <c r="H675" i="4"/>
  <c r="G675" i="4"/>
  <c r="K674" i="4"/>
  <c r="J674" i="4"/>
  <c r="L674" i="4" s="1"/>
  <c r="M674" i="4" s="1"/>
  <c r="N674" i="4" s="1"/>
  <c r="I674" i="4"/>
  <c r="H674" i="4"/>
  <c r="G674" i="4"/>
  <c r="L673" i="4"/>
  <c r="M673" i="4" s="1"/>
  <c r="N673" i="4" s="1"/>
  <c r="K673" i="4"/>
  <c r="J673" i="4"/>
  <c r="I673" i="4"/>
  <c r="H673" i="4"/>
  <c r="G673" i="4"/>
  <c r="K672" i="4"/>
  <c r="J672" i="4"/>
  <c r="L672" i="4" s="1"/>
  <c r="M672" i="4" s="1"/>
  <c r="N672" i="4" s="1"/>
  <c r="I672" i="4"/>
  <c r="H672" i="4"/>
  <c r="G672" i="4"/>
  <c r="K671" i="4"/>
  <c r="J671" i="4"/>
  <c r="L671" i="4" s="1"/>
  <c r="M671" i="4" s="1"/>
  <c r="N671" i="4" s="1"/>
  <c r="I671" i="4"/>
  <c r="H671" i="4"/>
  <c r="G671" i="4"/>
  <c r="K670" i="4"/>
  <c r="J670" i="4"/>
  <c r="L670" i="4" s="1"/>
  <c r="M670" i="4" s="1"/>
  <c r="N670" i="4" s="1"/>
  <c r="I670" i="4"/>
  <c r="H670" i="4"/>
  <c r="G670" i="4"/>
  <c r="K669" i="4"/>
  <c r="J669" i="4"/>
  <c r="L669" i="4" s="1"/>
  <c r="M669" i="4" s="1"/>
  <c r="N669" i="4" s="1"/>
  <c r="I669" i="4"/>
  <c r="H669" i="4"/>
  <c r="G669" i="4"/>
  <c r="N668" i="4"/>
  <c r="M668" i="4"/>
  <c r="L668" i="4"/>
  <c r="K668" i="4"/>
  <c r="J668" i="4"/>
  <c r="I668" i="4"/>
  <c r="H668" i="4"/>
  <c r="G668" i="4"/>
  <c r="L667" i="4"/>
  <c r="J667" i="4"/>
  <c r="I667" i="4"/>
  <c r="K667" i="4" s="1"/>
  <c r="H667" i="4"/>
  <c r="G667" i="4"/>
  <c r="K666" i="4"/>
  <c r="J666" i="4"/>
  <c r="L666" i="4" s="1"/>
  <c r="M666" i="4" s="1"/>
  <c r="N666" i="4" s="1"/>
  <c r="I666" i="4"/>
  <c r="H666" i="4"/>
  <c r="G666" i="4"/>
  <c r="L665" i="4"/>
  <c r="K665" i="4"/>
  <c r="J665" i="4"/>
  <c r="I665" i="4"/>
  <c r="H665" i="4"/>
  <c r="G665" i="4"/>
  <c r="J664" i="4"/>
  <c r="L664" i="4" s="1"/>
  <c r="M664" i="4" s="1"/>
  <c r="N664" i="4" s="1"/>
  <c r="I664" i="4"/>
  <c r="K664" i="4" s="1"/>
  <c r="H664" i="4"/>
  <c r="G664" i="4"/>
  <c r="N663" i="4"/>
  <c r="K663" i="4"/>
  <c r="J663" i="4"/>
  <c r="L663" i="4" s="1"/>
  <c r="M663" i="4" s="1"/>
  <c r="I663" i="4"/>
  <c r="H663" i="4"/>
  <c r="G663" i="4"/>
  <c r="K662" i="4"/>
  <c r="J662" i="4"/>
  <c r="L662" i="4" s="1"/>
  <c r="I662" i="4"/>
  <c r="H662" i="4"/>
  <c r="G662" i="4"/>
  <c r="J661" i="4"/>
  <c r="L661" i="4" s="1"/>
  <c r="M661" i="4" s="1"/>
  <c r="N661" i="4" s="1"/>
  <c r="I661" i="4"/>
  <c r="K661" i="4" s="1"/>
  <c r="H661" i="4"/>
  <c r="G661" i="4"/>
  <c r="J660" i="4"/>
  <c r="L660" i="4" s="1"/>
  <c r="I660" i="4"/>
  <c r="K660" i="4" s="1"/>
  <c r="H660" i="4"/>
  <c r="G660" i="4"/>
  <c r="K659" i="4"/>
  <c r="J659" i="4"/>
  <c r="L659" i="4" s="1"/>
  <c r="I659" i="4"/>
  <c r="H659" i="4"/>
  <c r="G659" i="4"/>
  <c r="J658" i="4"/>
  <c r="L658" i="4" s="1"/>
  <c r="M658" i="4" s="1"/>
  <c r="N658" i="4" s="1"/>
  <c r="I658" i="4"/>
  <c r="K658" i="4" s="1"/>
  <c r="H658" i="4"/>
  <c r="G658" i="4"/>
  <c r="J657" i="4"/>
  <c r="L657" i="4" s="1"/>
  <c r="M657" i="4" s="1"/>
  <c r="N657" i="4" s="1"/>
  <c r="I657" i="4"/>
  <c r="K657" i="4" s="1"/>
  <c r="H657" i="4"/>
  <c r="G657" i="4"/>
  <c r="K656" i="4"/>
  <c r="J656" i="4"/>
  <c r="L656" i="4" s="1"/>
  <c r="M656" i="4" s="1"/>
  <c r="N656" i="4" s="1"/>
  <c r="I656" i="4"/>
  <c r="H656" i="4"/>
  <c r="G656" i="4"/>
  <c r="J655" i="4"/>
  <c r="L655" i="4" s="1"/>
  <c r="I655" i="4"/>
  <c r="K655" i="4" s="1"/>
  <c r="H655" i="4"/>
  <c r="G655" i="4"/>
  <c r="N654" i="4"/>
  <c r="J654" i="4"/>
  <c r="L654" i="4" s="1"/>
  <c r="M654" i="4" s="1"/>
  <c r="I654" i="4"/>
  <c r="K654" i="4" s="1"/>
  <c r="H654" i="4"/>
  <c r="G654" i="4"/>
  <c r="K653" i="4"/>
  <c r="J653" i="4"/>
  <c r="L653" i="4" s="1"/>
  <c r="I653" i="4"/>
  <c r="H653" i="4"/>
  <c r="G653" i="4"/>
  <c r="J652" i="4"/>
  <c r="L652" i="4" s="1"/>
  <c r="I652" i="4"/>
  <c r="K652" i="4" s="1"/>
  <c r="H652" i="4"/>
  <c r="G652" i="4"/>
  <c r="J651" i="4"/>
  <c r="L651" i="4" s="1"/>
  <c r="I651" i="4"/>
  <c r="K651" i="4" s="1"/>
  <c r="H651" i="4"/>
  <c r="G651" i="4"/>
  <c r="K650" i="4"/>
  <c r="J650" i="4"/>
  <c r="L650" i="4" s="1"/>
  <c r="M650" i="4" s="1"/>
  <c r="N650" i="4" s="1"/>
  <c r="I650" i="4"/>
  <c r="H650" i="4"/>
  <c r="G650" i="4"/>
  <c r="J649" i="4"/>
  <c r="L649" i="4" s="1"/>
  <c r="M649" i="4" s="1"/>
  <c r="N649" i="4" s="1"/>
  <c r="I649" i="4"/>
  <c r="K649" i="4" s="1"/>
  <c r="H649" i="4"/>
  <c r="G649" i="4"/>
  <c r="J648" i="4"/>
  <c r="L648" i="4" s="1"/>
  <c r="M648" i="4" s="1"/>
  <c r="N648" i="4" s="1"/>
  <c r="I648" i="4"/>
  <c r="K648" i="4" s="1"/>
  <c r="H648" i="4"/>
  <c r="G648" i="4"/>
  <c r="K647" i="4"/>
  <c r="J647" i="4"/>
  <c r="L647" i="4" s="1"/>
  <c r="M647" i="4" s="1"/>
  <c r="N647" i="4" s="1"/>
  <c r="I647" i="4"/>
  <c r="H647" i="4"/>
  <c r="G647" i="4"/>
  <c r="J646" i="4"/>
  <c r="L646" i="4" s="1"/>
  <c r="I646" i="4"/>
  <c r="K646" i="4" s="1"/>
  <c r="H646" i="4"/>
  <c r="G646" i="4"/>
  <c r="J645" i="4"/>
  <c r="L645" i="4" s="1"/>
  <c r="I645" i="4"/>
  <c r="K645" i="4" s="1"/>
  <c r="H645" i="4"/>
  <c r="G645" i="4"/>
  <c r="K644" i="4"/>
  <c r="J644" i="4"/>
  <c r="L644" i="4" s="1"/>
  <c r="I644" i="4"/>
  <c r="H644" i="4"/>
  <c r="G644" i="4"/>
  <c r="J643" i="4"/>
  <c r="L643" i="4" s="1"/>
  <c r="I643" i="4"/>
  <c r="K643" i="4" s="1"/>
  <c r="H643" i="4"/>
  <c r="G643" i="4"/>
  <c r="J642" i="4"/>
  <c r="L642" i="4" s="1"/>
  <c r="I642" i="4"/>
  <c r="K642" i="4" s="1"/>
  <c r="H642" i="4"/>
  <c r="G642" i="4"/>
  <c r="K641" i="4"/>
  <c r="J641" i="4"/>
  <c r="L641" i="4" s="1"/>
  <c r="I641" i="4"/>
  <c r="H641" i="4"/>
  <c r="G641" i="4"/>
  <c r="J640" i="4"/>
  <c r="L640" i="4" s="1"/>
  <c r="M640" i="4" s="1"/>
  <c r="N640" i="4" s="1"/>
  <c r="I640" i="4"/>
  <c r="K640" i="4" s="1"/>
  <c r="H640" i="4"/>
  <c r="G640" i="4"/>
  <c r="J639" i="4"/>
  <c r="L639" i="4" s="1"/>
  <c r="M639" i="4" s="1"/>
  <c r="N639" i="4" s="1"/>
  <c r="I639" i="4"/>
  <c r="K639" i="4" s="1"/>
  <c r="H639" i="4"/>
  <c r="G639" i="4"/>
  <c r="K638" i="4"/>
  <c r="J638" i="4"/>
  <c r="L638" i="4" s="1"/>
  <c r="M638" i="4" s="1"/>
  <c r="N638" i="4" s="1"/>
  <c r="I638" i="4"/>
  <c r="H638" i="4"/>
  <c r="G638" i="4"/>
  <c r="J637" i="4"/>
  <c r="L637" i="4" s="1"/>
  <c r="I637" i="4"/>
  <c r="K637" i="4" s="1"/>
  <c r="H637" i="4"/>
  <c r="G637" i="4"/>
  <c r="N636" i="4"/>
  <c r="J636" i="4"/>
  <c r="L636" i="4" s="1"/>
  <c r="M636" i="4" s="1"/>
  <c r="I636" i="4"/>
  <c r="K636" i="4" s="1"/>
  <c r="H636" i="4"/>
  <c r="G636" i="4"/>
  <c r="K635" i="4"/>
  <c r="J635" i="4"/>
  <c r="L635" i="4" s="1"/>
  <c r="I635" i="4"/>
  <c r="H635" i="4"/>
  <c r="G635" i="4"/>
  <c r="J634" i="4"/>
  <c r="L634" i="4" s="1"/>
  <c r="I634" i="4"/>
  <c r="K634" i="4" s="1"/>
  <c r="H634" i="4"/>
  <c r="G634" i="4"/>
  <c r="J633" i="4"/>
  <c r="L633" i="4" s="1"/>
  <c r="I633" i="4"/>
  <c r="K633" i="4" s="1"/>
  <c r="H633" i="4"/>
  <c r="G633" i="4"/>
  <c r="K632" i="4"/>
  <c r="J632" i="4"/>
  <c r="L632" i="4" s="1"/>
  <c r="M632" i="4" s="1"/>
  <c r="N632" i="4" s="1"/>
  <c r="I632" i="4"/>
  <c r="H632" i="4"/>
  <c r="G632" i="4"/>
  <c r="J631" i="4"/>
  <c r="L631" i="4" s="1"/>
  <c r="M631" i="4" s="1"/>
  <c r="N631" i="4" s="1"/>
  <c r="I631" i="4"/>
  <c r="K631" i="4" s="1"/>
  <c r="H631" i="4"/>
  <c r="G631" i="4"/>
  <c r="J630" i="4"/>
  <c r="L630" i="4" s="1"/>
  <c r="M630" i="4" s="1"/>
  <c r="N630" i="4" s="1"/>
  <c r="I630" i="4"/>
  <c r="K630" i="4" s="1"/>
  <c r="H630" i="4"/>
  <c r="G630" i="4"/>
  <c r="K629" i="4"/>
  <c r="J629" i="4"/>
  <c r="L629" i="4" s="1"/>
  <c r="M629" i="4" s="1"/>
  <c r="N629" i="4" s="1"/>
  <c r="I629" i="4"/>
  <c r="H629" i="4"/>
  <c r="G629" i="4"/>
  <c r="J628" i="4"/>
  <c r="L628" i="4" s="1"/>
  <c r="I628" i="4"/>
  <c r="K628" i="4" s="1"/>
  <c r="H628" i="4"/>
  <c r="G628" i="4"/>
  <c r="J627" i="4"/>
  <c r="L627" i="4" s="1"/>
  <c r="I627" i="4"/>
  <c r="K627" i="4" s="1"/>
  <c r="H627" i="4"/>
  <c r="G627" i="4"/>
  <c r="K626" i="4"/>
  <c r="J626" i="4"/>
  <c r="L626" i="4" s="1"/>
  <c r="I626" i="4"/>
  <c r="H626" i="4"/>
  <c r="G626" i="4"/>
  <c r="J625" i="4"/>
  <c r="L625" i="4" s="1"/>
  <c r="I625" i="4"/>
  <c r="K625" i="4" s="1"/>
  <c r="H625" i="4"/>
  <c r="G625" i="4"/>
  <c r="K624" i="4"/>
  <c r="J624" i="4"/>
  <c r="L624" i="4" s="1"/>
  <c r="M624" i="4" s="1"/>
  <c r="N624" i="4" s="1"/>
  <c r="I624" i="4"/>
  <c r="H624" i="4"/>
  <c r="G624" i="4"/>
  <c r="K623" i="4"/>
  <c r="J623" i="4"/>
  <c r="L623" i="4" s="1"/>
  <c r="M623" i="4" s="1"/>
  <c r="N623" i="4" s="1"/>
  <c r="I623" i="4"/>
  <c r="H623" i="4"/>
  <c r="G623" i="4"/>
  <c r="J622" i="4"/>
  <c r="L622" i="4" s="1"/>
  <c r="I622" i="4"/>
  <c r="K622" i="4" s="1"/>
  <c r="H622" i="4"/>
  <c r="G622" i="4"/>
  <c r="N621" i="4"/>
  <c r="K621" i="4"/>
  <c r="J621" i="4"/>
  <c r="L621" i="4" s="1"/>
  <c r="M621" i="4" s="1"/>
  <c r="I621" i="4"/>
  <c r="H621" i="4"/>
  <c r="G621" i="4"/>
  <c r="K620" i="4"/>
  <c r="J620" i="4"/>
  <c r="L620" i="4" s="1"/>
  <c r="I620" i="4"/>
  <c r="H620" i="4"/>
  <c r="G620" i="4"/>
  <c r="J619" i="4"/>
  <c r="L619" i="4" s="1"/>
  <c r="I619" i="4"/>
  <c r="K619" i="4" s="1"/>
  <c r="H619" i="4"/>
  <c r="G619" i="4"/>
  <c r="K618" i="4"/>
  <c r="J618" i="4"/>
  <c r="L618" i="4" s="1"/>
  <c r="M618" i="4" s="1"/>
  <c r="N618" i="4" s="1"/>
  <c r="I618" i="4"/>
  <c r="H618" i="4"/>
  <c r="G618" i="4"/>
  <c r="K617" i="4"/>
  <c r="J617" i="4"/>
  <c r="L617" i="4" s="1"/>
  <c r="M617" i="4" s="1"/>
  <c r="N617" i="4" s="1"/>
  <c r="I617" i="4"/>
  <c r="H617" i="4"/>
  <c r="G617" i="4"/>
  <c r="K616" i="4"/>
  <c r="J616" i="4"/>
  <c r="L616" i="4" s="1"/>
  <c r="M616" i="4" s="1"/>
  <c r="N616" i="4" s="1"/>
  <c r="I616" i="4"/>
  <c r="H616" i="4"/>
  <c r="G616" i="4"/>
  <c r="N615" i="4"/>
  <c r="K615" i="4"/>
  <c r="J615" i="4"/>
  <c r="L615" i="4" s="1"/>
  <c r="M615" i="4" s="1"/>
  <c r="I615" i="4"/>
  <c r="H615" i="4"/>
  <c r="G615" i="4"/>
  <c r="K614" i="4"/>
  <c r="J614" i="4"/>
  <c r="L614" i="4" s="1"/>
  <c r="I614" i="4"/>
  <c r="H614" i="4"/>
  <c r="G614" i="4"/>
  <c r="K613" i="4"/>
  <c r="J613" i="4"/>
  <c r="L613" i="4" s="1"/>
  <c r="M613" i="4" s="1"/>
  <c r="N613" i="4" s="1"/>
  <c r="I613" i="4"/>
  <c r="H613" i="4"/>
  <c r="G613" i="4"/>
  <c r="N612" i="4"/>
  <c r="K612" i="4"/>
  <c r="J612" i="4"/>
  <c r="L612" i="4" s="1"/>
  <c r="M612" i="4" s="1"/>
  <c r="I612" i="4"/>
  <c r="H612" i="4"/>
  <c r="G612" i="4"/>
  <c r="K611" i="4"/>
  <c r="J611" i="4"/>
  <c r="L611" i="4" s="1"/>
  <c r="I611" i="4"/>
  <c r="H611" i="4"/>
  <c r="G611" i="4"/>
  <c r="K610" i="4"/>
  <c r="J610" i="4"/>
  <c r="L610" i="4" s="1"/>
  <c r="M610" i="4" s="1"/>
  <c r="N610" i="4" s="1"/>
  <c r="I610" i="4"/>
  <c r="H610" i="4"/>
  <c r="G610" i="4"/>
  <c r="K609" i="4"/>
  <c r="J609" i="4"/>
  <c r="L609" i="4" s="1"/>
  <c r="M609" i="4" s="1"/>
  <c r="N609" i="4" s="1"/>
  <c r="I609" i="4"/>
  <c r="H609" i="4"/>
  <c r="G609" i="4"/>
  <c r="K608" i="4"/>
  <c r="J608" i="4"/>
  <c r="L608" i="4" s="1"/>
  <c r="M608" i="4" s="1"/>
  <c r="N608" i="4" s="1"/>
  <c r="I608" i="4"/>
  <c r="H608" i="4"/>
  <c r="G608" i="4"/>
  <c r="K607" i="4"/>
  <c r="J607" i="4"/>
  <c r="L607" i="4" s="1"/>
  <c r="M607" i="4" s="1"/>
  <c r="N607" i="4" s="1"/>
  <c r="I607" i="4"/>
  <c r="H607" i="4"/>
  <c r="G607" i="4"/>
  <c r="N606" i="4"/>
  <c r="K606" i="4"/>
  <c r="J606" i="4"/>
  <c r="L606" i="4" s="1"/>
  <c r="M606" i="4" s="1"/>
  <c r="I606" i="4"/>
  <c r="H606" i="4"/>
  <c r="G606" i="4"/>
  <c r="K605" i="4"/>
  <c r="J605" i="4"/>
  <c r="L605" i="4" s="1"/>
  <c r="I605" i="4"/>
  <c r="H605" i="4"/>
  <c r="G605" i="4"/>
  <c r="K604" i="4"/>
  <c r="J604" i="4"/>
  <c r="L604" i="4" s="1"/>
  <c r="M604" i="4" s="1"/>
  <c r="N604" i="4" s="1"/>
  <c r="I604" i="4"/>
  <c r="H604" i="4"/>
  <c r="G604" i="4"/>
  <c r="N603" i="4"/>
  <c r="K603" i="4"/>
  <c r="J603" i="4"/>
  <c r="L603" i="4" s="1"/>
  <c r="M603" i="4" s="1"/>
  <c r="I603" i="4"/>
  <c r="H603" i="4"/>
  <c r="G603" i="4"/>
  <c r="K602" i="4"/>
  <c r="J602" i="4"/>
  <c r="L602" i="4" s="1"/>
  <c r="M602" i="4" s="1"/>
  <c r="N602" i="4" s="1"/>
  <c r="I602" i="4"/>
  <c r="H602" i="4"/>
  <c r="G602" i="4"/>
  <c r="K601" i="4"/>
  <c r="J601" i="4"/>
  <c r="L601" i="4" s="1"/>
  <c r="M601" i="4" s="1"/>
  <c r="N601" i="4" s="1"/>
  <c r="I601" i="4"/>
  <c r="H601" i="4"/>
  <c r="G601" i="4"/>
  <c r="K600" i="4"/>
  <c r="J600" i="4"/>
  <c r="L600" i="4" s="1"/>
  <c r="M600" i="4" s="1"/>
  <c r="N600" i="4" s="1"/>
  <c r="I600" i="4"/>
  <c r="H600" i="4"/>
  <c r="G600" i="4"/>
  <c r="K599" i="4"/>
  <c r="J599" i="4"/>
  <c r="L599" i="4" s="1"/>
  <c r="M599" i="4" s="1"/>
  <c r="N599" i="4" s="1"/>
  <c r="I599" i="4"/>
  <c r="H599" i="4"/>
  <c r="G599" i="4"/>
  <c r="K598" i="4"/>
  <c r="J598" i="4"/>
  <c r="L598" i="4" s="1"/>
  <c r="M598" i="4" s="1"/>
  <c r="N598" i="4" s="1"/>
  <c r="I598" i="4"/>
  <c r="H598" i="4"/>
  <c r="G598" i="4"/>
  <c r="N597" i="4"/>
  <c r="K597" i="4"/>
  <c r="J597" i="4"/>
  <c r="L597" i="4" s="1"/>
  <c r="M597" i="4" s="1"/>
  <c r="I597" i="4"/>
  <c r="H597" i="4"/>
  <c r="G597" i="4"/>
  <c r="K596" i="4"/>
  <c r="J596" i="4"/>
  <c r="L596" i="4" s="1"/>
  <c r="M596" i="4" s="1"/>
  <c r="N596" i="4" s="1"/>
  <c r="I596" i="4"/>
  <c r="H596" i="4"/>
  <c r="G596" i="4"/>
  <c r="K595" i="4"/>
  <c r="J595" i="4"/>
  <c r="L595" i="4" s="1"/>
  <c r="M595" i="4" s="1"/>
  <c r="N595" i="4" s="1"/>
  <c r="I595" i="4"/>
  <c r="H595" i="4"/>
  <c r="G595" i="4"/>
  <c r="N594" i="4"/>
  <c r="K594" i="4"/>
  <c r="J594" i="4"/>
  <c r="L594" i="4" s="1"/>
  <c r="M594" i="4" s="1"/>
  <c r="I594" i="4"/>
  <c r="H594" i="4"/>
  <c r="G594" i="4"/>
  <c r="K593" i="4"/>
  <c r="J593" i="4"/>
  <c r="L593" i="4" s="1"/>
  <c r="I593" i="4"/>
  <c r="H593" i="4"/>
  <c r="G593" i="4"/>
  <c r="K592" i="4"/>
  <c r="J592" i="4"/>
  <c r="L592" i="4" s="1"/>
  <c r="M592" i="4" s="1"/>
  <c r="N592" i="4" s="1"/>
  <c r="I592" i="4"/>
  <c r="H592" i="4"/>
  <c r="G592" i="4"/>
  <c r="L591" i="4"/>
  <c r="M591" i="4" s="1"/>
  <c r="N591" i="4" s="1"/>
  <c r="K591" i="4"/>
  <c r="J591" i="4"/>
  <c r="I591" i="4"/>
  <c r="H591" i="4"/>
  <c r="G591" i="4"/>
  <c r="K590" i="4"/>
  <c r="J590" i="4"/>
  <c r="L590" i="4" s="1"/>
  <c r="M590" i="4" s="1"/>
  <c r="N590" i="4" s="1"/>
  <c r="I590" i="4"/>
  <c r="H590" i="4"/>
  <c r="G590" i="4"/>
  <c r="K589" i="4"/>
  <c r="J589" i="4"/>
  <c r="L589" i="4" s="1"/>
  <c r="M589" i="4" s="1"/>
  <c r="N589" i="4" s="1"/>
  <c r="I589" i="4"/>
  <c r="H589" i="4"/>
  <c r="G589" i="4"/>
  <c r="L588" i="4"/>
  <c r="M588" i="4" s="1"/>
  <c r="N588" i="4" s="1"/>
  <c r="K588" i="4"/>
  <c r="J588" i="4"/>
  <c r="I588" i="4"/>
  <c r="H588" i="4"/>
  <c r="G588" i="4"/>
  <c r="K587" i="4"/>
  <c r="J587" i="4"/>
  <c r="L587" i="4" s="1"/>
  <c r="M587" i="4" s="1"/>
  <c r="N587" i="4" s="1"/>
  <c r="I587" i="4"/>
  <c r="H587" i="4"/>
  <c r="G587" i="4"/>
  <c r="K586" i="4"/>
  <c r="J586" i="4"/>
  <c r="L586" i="4" s="1"/>
  <c r="M586" i="4" s="1"/>
  <c r="N586" i="4" s="1"/>
  <c r="I586" i="4"/>
  <c r="H586" i="4"/>
  <c r="G586" i="4"/>
  <c r="L585" i="4"/>
  <c r="M585" i="4" s="1"/>
  <c r="N585" i="4" s="1"/>
  <c r="K585" i="4"/>
  <c r="J585" i="4"/>
  <c r="I585" i="4"/>
  <c r="H585" i="4"/>
  <c r="G585" i="4"/>
  <c r="K584" i="4"/>
  <c r="J584" i="4"/>
  <c r="L584" i="4" s="1"/>
  <c r="M584" i="4" s="1"/>
  <c r="N584" i="4" s="1"/>
  <c r="I584" i="4"/>
  <c r="H584" i="4"/>
  <c r="G584" i="4"/>
  <c r="K583" i="4"/>
  <c r="J583" i="4"/>
  <c r="L583" i="4" s="1"/>
  <c r="M583" i="4" s="1"/>
  <c r="N583" i="4" s="1"/>
  <c r="I583" i="4"/>
  <c r="H583" i="4"/>
  <c r="G583" i="4"/>
  <c r="N582" i="4"/>
  <c r="L582" i="4"/>
  <c r="M582" i="4" s="1"/>
  <c r="K582" i="4"/>
  <c r="J582" i="4"/>
  <c r="I582" i="4"/>
  <c r="H582" i="4"/>
  <c r="G582" i="4"/>
  <c r="K581" i="4"/>
  <c r="J581" i="4"/>
  <c r="L581" i="4" s="1"/>
  <c r="M581" i="4" s="1"/>
  <c r="N581" i="4" s="1"/>
  <c r="I581" i="4"/>
  <c r="H581" i="4"/>
  <c r="G581" i="4"/>
  <c r="K580" i="4"/>
  <c r="J580" i="4"/>
  <c r="L580" i="4" s="1"/>
  <c r="M580" i="4" s="1"/>
  <c r="N580" i="4" s="1"/>
  <c r="I580" i="4"/>
  <c r="H580" i="4"/>
  <c r="G580" i="4"/>
  <c r="L579" i="4"/>
  <c r="M579" i="4" s="1"/>
  <c r="N579" i="4" s="1"/>
  <c r="K579" i="4"/>
  <c r="J579" i="4"/>
  <c r="I579" i="4"/>
  <c r="H579" i="4"/>
  <c r="G579" i="4"/>
  <c r="K578" i="4"/>
  <c r="J578" i="4"/>
  <c r="L578" i="4" s="1"/>
  <c r="I578" i="4"/>
  <c r="H578" i="4"/>
  <c r="G578" i="4"/>
  <c r="K577" i="4"/>
  <c r="J577" i="4"/>
  <c r="L577" i="4" s="1"/>
  <c r="M577" i="4" s="1"/>
  <c r="N577" i="4" s="1"/>
  <c r="I577" i="4"/>
  <c r="H577" i="4"/>
  <c r="G577" i="4"/>
  <c r="L576" i="4"/>
  <c r="M576" i="4" s="1"/>
  <c r="N576" i="4" s="1"/>
  <c r="K576" i="4"/>
  <c r="J576" i="4"/>
  <c r="I576" i="4"/>
  <c r="H576" i="4"/>
  <c r="G576" i="4"/>
  <c r="K575" i="4"/>
  <c r="J575" i="4"/>
  <c r="L575" i="4" s="1"/>
  <c r="M575" i="4" s="1"/>
  <c r="N575" i="4" s="1"/>
  <c r="I575" i="4"/>
  <c r="H575" i="4"/>
  <c r="G575" i="4"/>
  <c r="K574" i="4"/>
  <c r="J574" i="4"/>
  <c r="L574" i="4" s="1"/>
  <c r="M574" i="4" s="1"/>
  <c r="N574" i="4" s="1"/>
  <c r="I574" i="4"/>
  <c r="H574" i="4"/>
  <c r="G574" i="4"/>
  <c r="L573" i="4"/>
  <c r="M573" i="4" s="1"/>
  <c r="N573" i="4" s="1"/>
  <c r="K573" i="4"/>
  <c r="J573" i="4"/>
  <c r="I573" i="4"/>
  <c r="H573" i="4"/>
  <c r="G573" i="4"/>
  <c r="K572" i="4"/>
  <c r="J572" i="4"/>
  <c r="L572" i="4" s="1"/>
  <c r="M572" i="4" s="1"/>
  <c r="N572" i="4" s="1"/>
  <c r="I572" i="4"/>
  <c r="H572" i="4"/>
  <c r="G572" i="4"/>
  <c r="K571" i="4"/>
  <c r="J571" i="4"/>
  <c r="L571" i="4" s="1"/>
  <c r="M571" i="4" s="1"/>
  <c r="N571" i="4" s="1"/>
  <c r="I571" i="4"/>
  <c r="H571" i="4"/>
  <c r="G571" i="4"/>
  <c r="N570" i="4"/>
  <c r="L570" i="4"/>
  <c r="M570" i="4" s="1"/>
  <c r="K570" i="4"/>
  <c r="J570" i="4"/>
  <c r="I570" i="4"/>
  <c r="H570" i="4"/>
  <c r="G570" i="4"/>
  <c r="K569" i="4"/>
  <c r="J569" i="4"/>
  <c r="L569" i="4" s="1"/>
  <c r="M569" i="4" s="1"/>
  <c r="N569" i="4" s="1"/>
  <c r="I569" i="4"/>
  <c r="H569" i="4"/>
  <c r="G569" i="4"/>
  <c r="K568" i="4"/>
  <c r="J568" i="4"/>
  <c r="L568" i="4" s="1"/>
  <c r="M568" i="4" s="1"/>
  <c r="N568" i="4" s="1"/>
  <c r="I568" i="4"/>
  <c r="H568" i="4"/>
  <c r="G568" i="4"/>
  <c r="N567" i="4"/>
  <c r="L567" i="4"/>
  <c r="M567" i="4" s="1"/>
  <c r="K567" i="4"/>
  <c r="J567" i="4"/>
  <c r="I567" i="4"/>
  <c r="H567" i="4"/>
  <c r="G567" i="4"/>
  <c r="K566" i="4"/>
  <c r="J566" i="4"/>
  <c r="L566" i="4" s="1"/>
  <c r="I566" i="4"/>
  <c r="H566" i="4"/>
  <c r="G566" i="4"/>
  <c r="K565" i="4"/>
  <c r="J565" i="4"/>
  <c r="L565" i="4" s="1"/>
  <c r="M565" i="4" s="1"/>
  <c r="N565" i="4" s="1"/>
  <c r="I565" i="4"/>
  <c r="H565" i="4"/>
  <c r="G565" i="4"/>
  <c r="N564" i="4"/>
  <c r="L564" i="4"/>
  <c r="M564" i="4" s="1"/>
  <c r="K564" i="4"/>
  <c r="J564" i="4"/>
  <c r="I564" i="4"/>
  <c r="H564" i="4"/>
  <c r="G564" i="4"/>
  <c r="K563" i="4"/>
  <c r="J563" i="4"/>
  <c r="L563" i="4" s="1"/>
  <c r="I563" i="4"/>
  <c r="H563" i="4"/>
  <c r="G563" i="4"/>
  <c r="K562" i="4"/>
  <c r="J562" i="4"/>
  <c r="L562" i="4" s="1"/>
  <c r="M562" i="4" s="1"/>
  <c r="N562" i="4" s="1"/>
  <c r="I562" i="4"/>
  <c r="H562" i="4"/>
  <c r="G562" i="4"/>
  <c r="N561" i="4"/>
  <c r="L561" i="4"/>
  <c r="M561" i="4" s="1"/>
  <c r="K561" i="4"/>
  <c r="J561" i="4"/>
  <c r="I561" i="4"/>
  <c r="H561" i="4"/>
  <c r="G561" i="4"/>
  <c r="K560" i="4"/>
  <c r="J560" i="4"/>
  <c r="L560" i="4" s="1"/>
  <c r="I560" i="4"/>
  <c r="H560" i="4"/>
  <c r="G560" i="4"/>
  <c r="K559" i="4"/>
  <c r="J559" i="4"/>
  <c r="L559" i="4" s="1"/>
  <c r="M559" i="4" s="1"/>
  <c r="N559" i="4" s="1"/>
  <c r="I559" i="4"/>
  <c r="H559" i="4"/>
  <c r="G559" i="4"/>
  <c r="L558" i="4"/>
  <c r="M558" i="4" s="1"/>
  <c r="N558" i="4" s="1"/>
  <c r="K558" i="4"/>
  <c r="J558" i="4"/>
  <c r="I558" i="4"/>
  <c r="H558" i="4"/>
  <c r="G558" i="4"/>
  <c r="K557" i="4"/>
  <c r="J557" i="4"/>
  <c r="L557" i="4" s="1"/>
  <c r="M557" i="4" s="1"/>
  <c r="N557" i="4" s="1"/>
  <c r="I557" i="4"/>
  <c r="H557" i="4"/>
  <c r="G557" i="4"/>
  <c r="K556" i="4"/>
  <c r="J556" i="4"/>
  <c r="L556" i="4" s="1"/>
  <c r="M556" i="4" s="1"/>
  <c r="N556" i="4" s="1"/>
  <c r="I556" i="4"/>
  <c r="H556" i="4"/>
  <c r="G556" i="4"/>
  <c r="L555" i="4"/>
  <c r="M555" i="4" s="1"/>
  <c r="N555" i="4" s="1"/>
  <c r="K555" i="4"/>
  <c r="J555" i="4"/>
  <c r="I555" i="4"/>
  <c r="H555" i="4"/>
  <c r="G555" i="4"/>
  <c r="K554" i="4"/>
  <c r="J554" i="4"/>
  <c r="L554" i="4" s="1"/>
  <c r="M554" i="4" s="1"/>
  <c r="N554" i="4" s="1"/>
  <c r="I554" i="4"/>
  <c r="H554" i="4"/>
  <c r="G554" i="4"/>
  <c r="K553" i="4"/>
  <c r="J553" i="4"/>
  <c r="L553" i="4" s="1"/>
  <c r="M553" i="4" s="1"/>
  <c r="N553" i="4" s="1"/>
  <c r="I553" i="4"/>
  <c r="H553" i="4"/>
  <c r="G553" i="4"/>
  <c r="L552" i="4"/>
  <c r="M552" i="4" s="1"/>
  <c r="N552" i="4" s="1"/>
  <c r="K552" i="4"/>
  <c r="J552" i="4"/>
  <c r="I552" i="4"/>
  <c r="H552" i="4"/>
  <c r="G552" i="4"/>
  <c r="K551" i="4"/>
  <c r="J551" i="4"/>
  <c r="L551" i="4" s="1"/>
  <c r="M551" i="4" s="1"/>
  <c r="N551" i="4" s="1"/>
  <c r="I551" i="4"/>
  <c r="H551" i="4"/>
  <c r="G551" i="4"/>
  <c r="K550" i="4"/>
  <c r="J550" i="4"/>
  <c r="L550" i="4" s="1"/>
  <c r="M550" i="4" s="1"/>
  <c r="N550" i="4" s="1"/>
  <c r="I550" i="4"/>
  <c r="H550" i="4"/>
  <c r="G550" i="4"/>
  <c r="L549" i="4"/>
  <c r="M549" i="4" s="1"/>
  <c r="N549" i="4" s="1"/>
  <c r="K549" i="4"/>
  <c r="J549" i="4"/>
  <c r="I549" i="4"/>
  <c r="H549" i="4"/>
  <c r="G549" i="4"/>
  <c r="K548" i="4"/>
  <c r="J548" i="4"/>
  <c r="L548" i="4" s="1"/>
  <c r="M548" i="4" s="1"/>
  <c r="N548" i="4" s="1"/>
  <c r="I548" i="4"/>
  <c r="H548" i="4"/>
  <c r="G548" i="4"/>
  <c r="K547" i="4"/>
  <c r="J547" i="4"/>
  <c r="L547" i="4" s="1"/>
  <c r="M547" i="4" s="1"/>
  <c r="N547" i="4" s="1"/>
  <c r="I547" i="4"/>
  <c r="H547" i="4"/>
  <c r="G547" i="4"/>
  <c r="N546" i="4"/>
  <c r="L546" i="4"/>
  <c r="M546" i="4" s="1"/>
  <c r="K546" i="4"/>
  <c r="J546" i="4"/>
  <c r="I546" i="4"/>
  <c r="H546" i="4"/>
  <c r="G546" i="4"/>
  <c r="K545" i="4"/>
  <c r="J545" i="4"/>
  <c r="L545" i="4" s="1"/>
  <c r="M545" i="4" s="1"/>
  <c r="N545" i="4" s="1"/>
  <c r="I545" i="4"/>
  <c r="H545" i="4"/>
  <c r="G545" i="4"/>
  <c r="K544" i="4"/>
  <c r="J544" i="4"/>
  <c r="L544" i="4" s="1"/>
  <c r="M544" i="4" s="1"/>
  <c r="N544" i="4" s="1"/>
  <c r="I544" i="4"/>
  <c r="H544" i="4"/>
  <c r="G544" i="4"/>
  <c r="L543" i="4"/>
  <c r="M543" i="4" s="1"/>
  <c r="N543" i="4" s="1"/>
  <c r="K543" i="4"/>
  <c r="J543" i="4"/>
  <c r="I543" i="4"/>
  <c r="H543" i="4"/>
  <c r="G543" i="4"/>
  <c r="K542" i="4"/>
  <c r="J542" i="4"/>
  <c r="L542" i="4" s="1"/>
  <c r="I542" i="4"/>
  <c r="H542" i="4"/>
  <c r="G542" i="4"/>
  <c r="K541" i="4"/>
  <c r="J541" i="4"/>
  <c r="L541" i="4" s="1"/>
  <c r="M541" i="4" s="1"/>
  <c r="N541" i="4" s="1"/>
  <c r="I541" i="4"/>
  <c r="H541" i="4"/>
  <c r="G541" i="4"/>
  <c r="L540" i="4"/>
  <c r="M540" i="4" s="1"/>
  <c r="N540" i="4" s="1"/>
  <c r="K540" i="4"/>
  <c r="J540" i="4"/>
  <c r="I540" i="4"/>
  <c r="H540" i="4"/>
  <c r="G540" i="4"/>
  <c r="K539" i="4"/>
  <c r="J539" i="4"/>
  <c r="L539" i="4" s="1"/>
  <c r="M539" i="4" s="1"/>
  <c r="N539" i="4" s="1"/>
  <c r="I539" i="4"/>
  <c r="H539" i="4"/>
  <c r="G539" i="4"/>
  <c r="K538" i="4"/>
  <c r="J538" i="4"/>
  <c r="L538" i="4" s="1"/>
  <c r="M538" i="4" s="1"/>
  <c r="N538" i="4" s="1"/>
  <c r="I538" i="4"/>
  <c r="H538" i="4"/>
  <c r="G538" i="4"/>
  <c r="L537" i="4"/>
  <c r="M537" i="4" s="1"/>
  <c r="N537" i="4" s="1"/>
  <c r="K537" i="4"/>
  <c r="J537" i="4"/>
  <c r="I537" i="4"/>
  <c r="H537" i="4"/>
  <c r="G537" i="4"/>
  <c r="K536" i="4"/>
  <c r="J536" i="4"/>
  <c r="L536" i="4" s="1"/>
  <c r="M536" i="4" s="1"/>
  <c r="N536" i="4" s="1"/>
  <c r="I536" i="4"/>
  <c r="H536" i="4"/>
  <c r="G536" i="4"/>
  <c r="K535" i="4"/>
  <c r="J535" i="4"/>
  <c r="L535" i="4" s="1"/>
  <c r="M535" i="4" s="1"/>
  <c r="N535" i="4" s="1"/>
  <c r="I535" i="4"/>
  <c r="H535" i="4"/>
  <c r="G535" i="4"/>
  <c r="N534" i="4"/>
  <c r="L534" i="4"/>
  <c r="M534" i="4" s="1"/>
  <c r="K534" i="4"/>
  <c r="J534" i="4"/>
  <c r="I534" i="4"/>
  <c r="H534" i="4"/>
  <c r="G534" i="4"/>
  <c r="K533" i="4"/>
  <c r="J533" i="4"/>
  <c r="L533" i="4" s="1"/>
  <c r="M533" i="4" s="1"/>
  <c r="N533" i="4" s="1"/>
  <c r="I533" i="4"/>
  <c r="H533" i="4"/>
  <c r="G533" i="4"/>
  <c r="K532" i="4"/>
  <c r="J532" i="4"/>
  <c r="L532" i="4" s="1"/>
  <c r="I532" i="4"/>
  <c r="H532" i="4"/>
  <c r="G532" i="4"/>
  <c r="N531" i="4"/>
  <c r="L531" i="4"/>
  <c r="M531" i="4" s="1"/>
  <c r="K531" i="4"/>
  <c r="J531" i="4"/>
  <c r="I531" i="4"/>
  <c r="H531" i="4"/>
  <c r="G531" i="4"/>
  <c r="K530" i="4"/>
  <c r="J530" i="4"/>
  <c r="L530" i="4" s="1"/>
  <c r="I530" i="4"/>
  <c r="H530" i="4"/>
  <c r="G530" i="4"/>
  <c r="K529" i="4"/>
  <c r="J529" i="4"/>
  <c r="L529" i="4" s="1"/>
  <c r="I529" i="4"/>
  <c r="H529" i="4"/>
  <c r="G529" i="4"/>
  <c r="N528" i="4"/>
  <c r="L528" i="4"/>
  <c r="M528" i="4" s="1"/>
  <c r="K528" i="4"/>
  <c r="J528" i="4"/>
  <c r="I528" i="4"/>
  <c r="H528" i="4"/>
  <c r="G528" i="4"/>
  <c r="K527" i="4"/>
  <c r="J527" i="4"/>
  <c r="L527" i="4" s="1"/>
  <c r="I527" i="4"/>
  <c r="H527" i="4"/>
  <c r="G527" i="4"/>
  <c r="K526" i="4"/>
  <c r="J526" i="4"/>
  <c r="L526" i="4" s="1"/>
  <c r="I526" i="4"/>
  <c r="H526" i="4"/>
  <c r="G526" i="4"/>
  <c r="L525" i="4"/>
  <c r="M525" i="4" s="1"/>
  <c r="N525" i="4" s="1"/>
  <c r="K525" i="4"/>
  <c r="J525" i="4"/>
  <c r="I525" i="4"/>
  <c r="H525" i="4"/>
  <c r="G525" i="4"/>
  <c r="K524" i="4"/>
  <c r="J524" i="4"/>
  <c r="L524" i="4" s="1"/>
  <c r="I524" i="4"/>
  <c r="H524" i="4"/>
  <c r="G524" i="4"/>
  <c r="K523" i="4"/>
  <c r="J523" i="4"/>
  <c r="L523" i="4" s="1"/>
  <c r="M523" i="4" s="1"/>
  <c r="N523" i="4" s="1"/>
  <c r="I523" i="4"/>
  <c r="H523" i="4"/>
  <c r="G523" i="4"/>
  <c r="L522" i="4"/>
  <c r="M522" i="4" s="1"/>
  <c r="N522" i="4" s="1"/>
  <c r="K522" i="4"/>
  <c r="J522" i="4"/>
  <c r="I522" i="4"/>
  <c r="H522" i="4"/>
  <c r="G522" i="4"/>
  <c r="K521" i="4"/>
  <c r="J521" i="4"/>
  <c r="L521" i="4" s="1"/>
  <c r="I521" i="4"/>
  <c r="H521" i="4"/>
  <c r="G521" i="4"/>
  <c r="K520" i="4"/>
  <c r="J520" i="4"/>
  <c r="L520" i="4" s="1"/>
  <c r="M520" i="4" s="1"/>
  <c r="N520" i="4" s="1"/>
  <c r="I520" i="4"/>
  <c r="H520" i="4"/>
  <c r="G520" i="4"/>
  <c r="L519" i="4"/>
  <c r="M519" i="4" s="1"/>
  <c r="N519" i="4" s="1"/>
  <c r="K519" i="4"/>
  <c r="J519" i="4"/>
  <c r="I519" i="4"/>
  <c r="H519" i="4"/>
  <c r="G519" i="4"/>
  <c r="K518" i="4"/>
  <c r="J518" i="4"/>
  <c r="L518" i="4" s="1"/>
  <c r="M518" i="4" s="1"/>
  <c r="N518" i="4" s="1"/>
  <c r="I518" i="4"/>
  <c r="H518" i="4"/>
  <c r="G518" i="4"/>
  <c r="K517" i="4"/>
  <c r="J517" i="4"/>
  <c r="L517" i="4" s="1"/>
  <c r="M517" i="4" s="1"/>
  <c r="N517" i="4" s="1"/>
  <c r="I517" i="4"/>
  <c r="H517" i="4"/>
  <c r="G517" i="4"/>
  <c r="L516" i="4"/>
  <c r="M516" i="4" s="1"/>
  <c r="N516" i="4" s="1"/>
  <c r="K516" i="4"/>
  <c r="J516" i="4"/>
  <c r="I516" i="4"/>
  <c r="H516" i="4"/>
  <c r="G516" i="4"/>
  <c r="K515" i="4"/>
  <c r="J515" i="4"/>
  <c r="L515" i="4" s="1"/>
  <c r="M515" i="4" s="1"/>
  <c r="N515" i="4" s="1"/>
  <c r="I515" i="4"/>
  <c r="H515" i="4"/>
  <c r="G515" i="4"/>
  <c r="K514" i="4"/>
  <c r="J514" i="4"/>
  <c r="L514" i="4" s="1"/>
  <c r="M514" i="4" s="1"/>
  <c r="N514" i="4" s="1"/>
  <c r="I514" i="4"/>
  <c r="H514" i="4"/>
  <c r="G514" i="4"/>
  <c r="L513" i="4"/>
  <c r="M513" i="4" s="1"/>
  <c r="N513" i="4" s="1"/>
  <c r="K513" i="4"/>
  <c r="J513" i="4"/>
  <c r="I513" i="4"/>
  <c r="H513" i="4"/>
  <c r="G513" i="4"/>
  <c r="K512" i="4"/>
  <c r="J512" i="4"/>
  <c r="L512" i="4" s="1"/>
  <c r="M512" i="4" s="1"/>
  <c r="N512" i="4" s="1"/>
  <c r="I512" i="4"/>
  <c r="H512" i="4"/>
  <c r="G512" i="4"/>
  <c r="K511" i="4"/>
  <c r="J511" i="4"/>
  <c r="L511" i="4" s="1"/>
  <c r="M511" i="4" s="1"/>
  <c r="N511" i="4" s="1"/>
  <c r="I511" i="4"/>
  <c r="H511" i="4"/>
  <c r="G511" i="4"/>
  <c r="N510" i="4"/>
  <c r="L510" i="4"/>
  <c r="M510" i="4" s="1"/>
  <c r="K510" i="4"/>
  <c r="J510" i="4"/>
  <c r="I510" i="4"/>
  <c r="H510" i="4"/>
  <c r="G510" i="4"/>
  <c r="K509" i="4"/>
  <c r="J509" i="4"/>
  <c r="L509" i="4" s="1"/>
  <c r="M509" i="4" s="1"/>
  <c r="N509" i="4" s="1"/>
  <c r="I509" i="4"/>
  <c r="H509" i="4"/>
  <c r="G509" i="4"/>
  <c r="K508" i="4"/>
  <c r="J508" i="4"/>
  <c r="L508" i="4" s="1"/>
  <c r="I508" i="4"/>
  <c r="H508" i="4"/>
  <c r="G508" i="4"/>
  <c r="L507" i="4"/>
  <c r="M507" i="4" s="1"/>
  <c r="N507" i="4" s="1"/>
  <c r="K507" i="4"/>
  <c r="J507" i="4"/>
  <c r="I507" i="4"/>
  <c r="H507" i="4"/>
  <c r="G507" i="4"/>
  <c r="K506" i="4"/>
  <c r="J506" i="4"/>
  <c r="L506" i="4" s="1"/>
  <c r="I506" i="4"/>
  <c r="H506" i="4"/>
  <c r="G506" i="4"/>
  <c r="K505" i="4"/>
  <c r="J505" i="4"/>
  <c r="L505" i="4" s="1"/>
  <c r="M505" i="4" s="1"/>
  <c r="N505" i="4" s="1"/>
  <c r="I505" i="4"/>
  <c r="H505" i="4"/>
  <c r="G505" i="4"/>
  <c r="L504" i="4"/>
  <c r="K504" i="4"/>
  <c r="J504" i="4"/>
  <c r="I504" i="4"/>
  <c r="H504" i="4"/>
  <c r="G504" i="4"/>
  <c r="K503" i="4"/>
  <c r="J503" i="4"/>
  <c r="L503" i="4" s="1"/>
  <c r="M503" i="4" s="1"/>
  <c r="N503" i="4" s="1"/>
  <c r="I503" i="4"/>
  <c r="H503" i="4"/>
  <c r="G503" i="4"/>
  <c r="K502" i="4"/>
  <c r="J502" i="4"/>
  <c r="L502" i="4" s="1"/>
  <c r="M502" i="4" s="1"/>
  <c r="N502" i="4" s="1"/>
  <c r="I502" i="4"/>
  <c r="H502" i="4"/>
  <c r="G502" i="4"/>
  <c r="L501" i="4"/>
  <c r="K501" i="4"/>
  <c r="J501" i="4"/>
  <c r="I501" i="4"/>
  <c r="H501" i="4"/>
  <c r="G501" i="4"/>
  <c r="K500" i="4"/>
  <c r="J500" i="4"/>
  <c r="L500" i="4" s="1"/>
  <c r="M500" i="4" s="1"/>
  <c r="N500" i="4" s="1"/>
  <c r="I500" i="4"/>
  <c r="H500" i="4"/>
  <c r="G500" i="4"/>
  <c r="K499" i="4"/>
  <c r="J499" i="4"/>
  <c r="L499" i="4" s="1"/>
  <c r="M499" i="4" s="1"/>
  <c r="N499" i="4" s="1"/>
  <c r="I499" i="4"/>
  <c r="H499" i="4"/>
  <c r="G499" i="4"/>
  <c r="L498" i="4"/>
  <c r="K498" i="4"/>
  <c r="J498" i="4"/>
  <c r="I498" i="4"/>
  <c r="H498" i="4"/>
  <c r="G498" i="4"/>
  <c r="K497" i="4"/>
  <c r="J497" i="4"/>
  <c r="L497" i="4" s="1"/>
  <c r="M497" i="4" s="1"/>
  <c r="N497" i="4" s="1"/>
  <c r="I497" i="4"/>
  <c r="H497" i="4"/>
  <c r="G497" i="4"/>
  <c r="J496" i="4"/>
  <c r="L496" i="4" s="1"/>
  <c r="I496" i="4"/>
  <c r="K496" i="4" s="1"/>
  <c r="H496" i="4"/>
  <c r="G496" i="4"/>
  <c r="L495" i="4"/>
  <c r="K495" i="4"/>
  <c r="J495" i="4"/>
  <c r="I495" i="4"/>
  <c r="H495" i="4"/>
  <c r="G495" i="4"/>
  <c r="K494" i="4"/>
  <c r="J494" i="4"/>
  <c r="L494" i="4" s="1"/>
  <c r="M494" i="4" s="1"/>
  <c r="N494" i="4" s="1"/>
  <c r="I494" i="4"/>
  <c r="H494" i="4"/>
  <c r="G494" i="4"/>
  <c r="L493" i="4"/>
  <c r="J493" i="4"/>
  <c r="I493" i="4"/>
  <c r="K493" i="4" s="1"/>
  <c r="M493" i="4" s="1"/>
  <c r="N493" i="4" s="1"/>
  <c r="H493" i="4"/>
  <c r="G493" i="4"/>
  <c r="L492" i="4"/>
  <c r="K492" i="4"/>
  <c r="J492" i="4"/>
  <c r="I492" i="4"/>
  <c r="H492" i="4"/>
  <c r="G492" i="4"/>
  <c r="K491" i="4"/>
  <c r="M491" i="4" s="1"/>
  <c r="N491" i="4" s="1"/>
  <c r="J491" i="4"/>
  <c r="L491" i="4" s="1"/>
  <c r="I491" i="4"/>
  <c r="H491" i="4"/>
  <c r="G491" i="4"/>
  <c r="L490" i="4"/>
  <c r="K490" i="4"/>
  <c r="M490" i="4" s="1"/>
  <c r="N490" i="4" s="1"/>
  <c r="J490" i="4"/>
  <c r="I490" i="4"/>
  <c r="H490" i="4"/>
  <c r="G490" i="4"/>
  <c r="M489" i="4"/>
  <c r="N489" i="4" s="1"/>
  <c r="L489" i="4"/>
  <c r="K489" i="4"/>
  <c r="J489" i="4"/>
  <c r="I489" i="4"/>
  <c r="H489" i="4"/>
  <c r="G489" i="4"/>
  <c r="J488" i="4"/>
  <c r="L488" i="4" s="1"/>
  <c r="I488" i="4"/>
  <c r="K488" i="4" s="1"/>
  <c r="M488" i="4" s="1"/>
  <c r="N488" i="4" s="1"/>
  <c r="H488" i="4"/>
  <c r="G488" i="4"/>
  <c r="L487" i="4"/>
  <c r="J487" i="4"/>
  <c r="I487" i="4"/>
  <c r="K487" i="4" s="1"/>
  <c r="M487" i="4" s="1"/>
  <c r="N487" i="4" s="1"/>
  <c r="H487" i="4"/>
  <c r="G487" i="4"/>
  <c r="L486" i="4"/>
  <c r="M486" i="4" s="1"/>
  <c r="N486" i="4" s="1"/>
  <c r="K486" i="4"/>
  <c r="J486" i="4"/>
  <c r="I486" i="4"/>
  <c r="H486" i="4"/>
  <c r="G486" i="4"/>
  <c r="J485" i="4"/>
  <c r="L485" i="4" s="1"/>
  <c r="I485" i="4"/>
  <c r="K485" i="4" s="1"/>
  <c r="H485" i="4"/>
  <c r="G485" i="4"/>
  <c r="L484" i="4"/>
  <c r="J484" i="4"/>
  <c r="I484" i="4"/>
  <c r="K484" i="4" s="1"/>
  <c r="M484" i="4" s="1"/>
  <c r="N484" i="4" s="1"/>
  <c r="H484" i="4"/>
  <c r="G484" i="4"/>
  <c r="L483" i="4"/>
  <c r="K483" i="4"/>
  <c r="J483" i="4"/>
  <c r="I483" i="4"/>
  <c r="H483" i="4"/>
  <c r="G483" i="4"/>
  <c r="K482" i="4"/>
  <c r="M482" i="4" s="1"/>
  <c r="N482" i="4" s="1"/>
  <c r="J482" i="4"/>
  <c r="L482" i="4" s="1"/>
  <c r="I482" i="4"/>
  <c r="H482" i="4"/>
  <c r="G482" i="4"/>
  <c r="M481" i="4"/>
  <c r="N481" i="4" s="1"/>
  <c r="L481" i="4"/>
  <c r="K481" i="4"/>
  <c r="J481" i="4"/>
  <c r="I481" i="4"/>
  <c r="H481" i="4"/>
  <c r="G481" i="4"/>
  <c r="L480" i="4"/>
  <c r="M480" i="4" s="1"/>
  <c r="N480" i="4" s="1"/>
  <c r="J480" i="4"/>
  <c r="I480" i="4"/>
  <c r="K480" i="4" s="1"/>
  <c r="H480" i="4"/>
  <c r="G480" i="4"/>
  <c r="J479" i="4"/>
  <c r="L479" i="4" s="1"/>
  <c r="M479" i="4" s="1"/>
  <c r="N479" i="4" s="1"/>
  <c r="I479" i="4"/>
  <c r="K479" i="4" s="1"/>
  <c r="H479" i="4"/>
  <c r="G479" i="4"/>
  <c r="L478" i="4"/>
  <c r="J478" i="4"/>
  <c r="I478" i="4"/>
  <c r="K478" i="4" s="1"/>
  <c r="M478" i="4" s="1"/>
  <c r="N478" i="4" s="1"/>
  <c r="H478" i="4"/>
  <c r="G478" i="4"/>
  <c r="L477" i="4"/>
  <c r="M477" i="4" s="1"/>
  <c r="N477" i="4" s="1"/>
  <c r="K477" i="4"/>
  <c r="J477" i="4"/>
  <c r="I477" i="4"/>
  <c r="H477" i="4"/>
  <c r="G477" i="4"/>
  <c r="M476" i="4"/>
  <c r="N476" i="4" s="1"/>
  <c r="K476" i="4"/>
  <c r="J476" i="4"/>
  <c r="L476" i="4" s="1"/>
  <c r="I476" i="4"/>
  <c r="H476" i="4"/>
  <c r="G476" i="4"/>
  <c r="L475" i="4"/>
  <c r="M475" i="4" s="1"/>
  <c r="N475" i="4" s="1"/>
  <c r="K475" i="4"/>
  <c r="J475" i="4"/>
  <c r="I475" i="4"/>
  <c r="H475" i="4"/>
  <c r="G475" i="4"/>
  <c r="N474" i="4"/>
  <c r="L474" i="4"/>
  <c r="J474" i="4"/>
  <c r="I474" i="4"/>
  <c r="K474" i="4" s="1"/>
  <c r="M474" i="4" s="1"/>
  <c r="H474" i="4"/>
  <c r="G474" i="4"/>
  <c r="J473" i="4"/>
  <c r="L473" i="4" s="1"/>
  <c r="I473" i="4"/>
  <c r="K473" i="4" s="1"/>
  <c r="H473" i="4"/>
  <c r="G473" i="4"/>
  <c r="L472" i="4"/>
  <c r="J472" i="4"/>
  <c r="I472" i="4"/>
  <c r="K472" i="4" s="1"/>
  <c r="H472" i="4"/>
  <c r="G472" i="4"/>
  <c r="L471" i="4"/>
  <c r="K471" i="4"/>
  <c r="J471" i="4"/>
  <c r="I471" i="4"/>
  <c r="H471" i="4"/>
  <c r="G471" i="4"/>
  <c r="L470" i="4"/>
  <c r="M470" i="4" s="1"/>
  <c r="N470" i="4" s="1"/>
  <c r="K470" i="4"/>
  <c r="J470" i="4"/>
  <c r="I470" i="4"/>
  <c r="H470" i="4"/>
  <c r="G470" i="4"/>
  <c r="L469" i="4"/>
  <c r="J469" i="4"/>
  <c r="I469" i="4"/>
  <c r="K469" i="4" s="1"/>
  <c r="M469" i="4" s="1"/>
  <c r="N469" i="4" s="1"/>
  <c r="H469" i="4"/>
  <c r="G469" i="4"/>
  <c r="L468" i="4"/>
  <c r="J468" i="4"/>
  <c r="I468" i="4"/>
  <c r="K468" i="4" s="1"/>
  <c r="M468" i="4" s="1"/>
  <c r="N468" i="4" s="1"/>
  <c r="H468" i="4"/>
  <c r="G468" i="4"/>
  <c r="L467" i="4"/>
  <c r="M467" i="4" s="1"/>
  <c r="N467" i="4" s="1"/>
  <c r="K467" i="4"/>
  <c r="J467" i="4"/>
  <c r="I467" i="4"/>
  <c r="H467" i="4"/>
  <c r="G467" i="4"/>
  <c r="L466" i="4"/>
  <c r="J466" i="4"/>
  <c r="I466" i="4"/>
  <c r="K466" i="4" s="1"/>
  <c r="M466" i="4" s="1"/>
  <c r="N466" i="4" s="1"/>
  <c r="H466" i="4"/>
  <c r="G466" i="4"/>
  <c r="J465" i="4"/>
  <c r="L465" i="4" s="1"/>
  <c r="I465" i="4"/>
  <c r="K465" i="4" s="1"/>
  <c r="H465" i="4"/>
  <c r="G465" i="4"/>
  <c r="L464" i="4"/>
  <c r="M464" i="4" s="1"/>
  <c r="N464" i="4" s="1"/>
  <c r="K464" i="4"/>
  <c r="J464" i="4"/>
  <c r="I464" i="4"/>
  <c r="H464" i="4"/>
  <c r="G464" i="4"/>
  <c r="M463" i="4"/>
  <c r="N463" i="4" s="1"/>
  <c r="L463" i="4"/>
  <c r="J463" i="4"/>
  <c r="I463" i="4"/>
  <c r="K463" i="4" s="1"/>
  <c r="H463" i="4"/>
  <c r="G463" i="4"/>
  <c r="J462" i="4"/>
  <c r="L462" i="4" s="1"/>
  <c r="M462" i="4" s="1"/>
  <c r="N462" i="4" s="1"/>
  <c r="I462" i="4"/>
  <c r="K462" i="4" s="1"/>
  <c r="H462" i="4"/>
  <c r="G462" i="4"/>
  <c r="L461" i="4"/>
  <c r="M461" i="4" s="1"/>
  <c r="N461" i="4" s="1"/>
  <c r="K461" i="4"/>
  <c r="J461" i="4"/>
  <c r="I461" i="4"/>
  <c r="H461" i="4"/>
  <c r="G461" i="4"/>
  <c r="M460" i="4"/>
  <c r="N460" i="4" s="1"/>
  <c r="L460" i="4"/>
  <c r="J460" i="4"/>
  <c r="I460" i="4"/>
  <c r="K460" i="4" s="1"/>
  <c r="H460" i="4"/>
  <c r="G460" i="4"/>
  <c r="J459" i="4"/>
  <c r="L459" i="4" s="1"/>
  <c r="I459" i="4"/>
  <c r="K459" i="4" s="1"/>
  <c r="H459" i="4"/>
  <c r="G459" i="4"/>
  <c r="L458" i="4"/>
  <c r="M458" i="4" s="1"/>
  <c r="N458" i="4" s="1"/>
  <c r="K458" i="4"/>
  <c r="J458" i="4"/>
  <c r="I458" i="4"/>
  <c r="H458" i="4"/>
  <c r="G458" i="4"/>
  <c r="M457" i="4"/>
  <c r="N457" i="4" s="1"/>
  <c r="L457" i="4"/>
  <c r="J457" i="4"/>
  <c r="I457" i="4"/>
  <c r="K457" i="4" s="1"/>
  <c r="H457" i="4"/>
  <c r="G457" i="4"/>
  <c r="J456" i="4"/>
  <c r="L456" i="4" s="1"/>
  <c r="I456" i="4"/>
  <c r="K456" i="4" s="1"/>
  <c r="H456" i="4"/>
  <c r="G456" i="4"/>
  <c r="L455" i="4"/>
  <c r="M455" i="4" s="1"/>
  <c r="N455" i="4" s="1"/>
  <c r="K455" i="4"/>
  <c r="J455" i="4"/>
  <c r="I455" i="4"/>
  <c r="H455" i="4"/>
  <c r="G455" i="4"/>
  <c r="L454" i="4"/>
  <c r="J454" i="4"/>
  <c r="I454" i="4"/>
  <c r="K454" i="4" s="1"/>
  <c r="M454" i="4" s="1"/>
  <c r="N454" i="4" s="1"/>
  <c r="H454" i="4"/>
  <c r="G454" i="4"/>
  <c r="J453" i="4"/>
  <c r="L453" i="4" s="1"/>
  <c r="I453" i="4"/>
  <c r="K453" i="4" s="1"/>
  <c r="H453" i="4"/>
  <c r="G453" i="4"/>
  <c r="L452" i="4"/>
  <c r="M452" i="4" s="1"/>
  <c r="N452" i="4" s="1"/>
  <c r="K452" i="4"/>
  <c r="J452" i="4"/>
  <c r="I452" i="4"/>
  <c r="H452" i="4"/>
  <c r="G452" i="4"/>
  <c r="L451" i="4"/>
  <c r="J451" i="4"/>
  <c r="I451" i="4"/>
  <c r="K451" i="4" s="1"/>
  <c r="M451" i="4" s="1"/>
  <c r="N451" i="4" s="1"/>
  <c r="H451" i="4"/>
  <c r="G451" i="4"/>
  <c r="J450" i="4"/>
  <c r="L450" i="4" s="1"/>
  <c r="M450" i="4" s="1"/>
  <c r="N450" i="4" s="1"/>
  <c r="I450" i="4"/>
  <c r="K450" i="4" s="1"/>
  <c r="H450" i="4"/>
  <c r="G450" i="4"/>
  <c r="L449" i="4"/>
  <c r="M449" i="4" s="1"/>
  <c r="N449" i="4" s="1"/>
  <c r="K449" i="4"/>
  <c r="J449" i="4"/>
  <c r="I449" i="4"/>
  <c r="H449" i="4"/>
  <c r="G449" i="4"/>
  <c r="L448" i="4"/>
  <c r="J448" i="4"/>
  <c r="I448" i="4"/>
  <c r="K448" i="4" s="1"/>
  <c r="M448" i="4" s="1"/>
  <c r="N448" i="4" s="1"/>
  <c r="H448" i="4"/>
  <c r="G448" i="4"/>
  <c r="J447" i="4"/>
  <c r="L447" i="4" s="1"/>
  <c r="M447" i="4" s="1"/>
  <c r="N447" i="4" s="1"/>
  <c r="I447" i="4"/>
  <c r="K447" i="4" s="1"/>
  <c r="H447" i="4"/>
  <c r="G447" i="4"/>
  <c r="L446" i="4"/>
  <c r="M446" i="4" s="1"/>
  <c r="N446" i="4" s="1"/>
  <c r="K446" i="4"/>
  <c r="J446" i="4"/>
  <c r="I446" i="4"/>
  <c r="H446" i="4"/>
  <c r="G446" i="4"/>
  <c r="M445" i="4"/>
  <c r="N445" i="4" s="1"/>
  <c r="L445" i="4"/>
  <c r="J445" i="4"/>
  <c r="I445" i="4"/>
  <c r="K445" i="4" s="1"/>
  <c r="H445" i="4"/>
  <c r="G445" i="4"/>
  <c r="J444" i="4"/>
  <c r="L444" i="4" s="1"/>
  <c r="M444" i="4" s="1"/>
  <c r="N444" i="4" s="1"/>
  <c r="I444" i="4"/>
  <c r="K444" i="4" s="1"/>
  <c r="H444" i="4"/>
  <c r="G444" i="4"/>
  <c r="L443" i="4"/>
  <c r="M443" i="4" s="1"/>
  <c r="N443" i="4" s="1"/>
  <c r="K443" i="4"/>
  <c r="J443" i="4"/>
  <c r="I443" i="4"/>
  <c r="H443" i="4"/>
  <c r="G443" i="4"/>
  <c r="L442" i="4"/>
  <c r="J442" i="4"/>
  <c r="I442" i="4"/>
  <c r="K442" i="4" s="1"/>
  <c r="M442" i="4" s="1"/>
  <c r="N442" i="4" s="1"/>
  <c r="H442" i="4"/>
  <c r="G442" i="4"/>
  <c r="J441" i="4"/>
  <c r="L441" i="4" s="1"/>
  <c r="M441" i="4" s="1"/>
  <c r="N441" i="4" s="1"/>
  <c r="I441" i="4"/>
  <c r="K441" i="4" s="1"/>
  <c r="H441" i="4"/>
  <c r="G441" i="4"/>
  <c r="L440" i="4"/>
  <c r="M440" i="4" s="1"/>
  <c r="N440" i="4" s="1"/>
  <c r="K440" i="4"/>
  <c r="J440" i="4"/>
  <c r="I440" i="4"/>
  <c r="H440" i="4"/>
  <c r="G440" i="4"/>
  <c r="M439" i="4"/>
  <c r="N439" i="4" s="1"/>
  <c r="L439" i="4"/>
  <c r="J439" i="4"/>
  <c r="I439" i="4"/>
  <c r="K439" i="4" s="1"/>
  <c r="H439" i="4"/>
  <c r="G439" i="4"/>
  <c r="J438" i="4"/>
  <c r="L438" i="4" s="1"/>
  <c r="M438" i="4" s="1"/>
  <c r="N438" i="4" s="1"/>
  <c r="I438" i="4"/>
  <c r="K438" i="4" s="1"/>
  <c r="H438" i="4"/>
  <c r="G438" i="4"/>
  <c r="L437" i="4"/>
  <c r="M437" i="4" s="1"/>
  <c r="N437" i="4" s="1"/>
  <c r="K437" i="4"/>
  <c r="J437" i="4"/>
  <c r="I437" i="4"/>
  <c r="H437" i="4"/>
  <c r="G437" i="4"/>
  <c r="L436" i="4"/>
  <c r="J436" i="4"/>
  <c r="I436" i="4"/>
  <c r="K436" i="4" s="1"/>
  <c r="M436" i="4" s="1"/>
  <c r="N436" i="4" s="1"/>
  <c r="H436" i="4"/>
  <c r="G436" i="4"/>
  <c r="J435" i="4"/>
  <c r="L435" i="4" s="1"/>
  <c r="I435" i="4"/>
  <c r="K435" i="4" s="1"/>
  <c r="H435" i="4"/>
  <c r="G435" i="4"/>
  <c r="L434" i="4"/>
  <c r="M434" i="4" s="1"/>
  <c r="N434" i="4" s="1"/>
  <c r="K434" i="4"/>
  <c r="J434" i="4"/>
  <c r="I434" i="4"/>
  <c r="H434" i="4"/>
  <c r="G434" i="4"/>
  <c r="L433" i="4"/>
  <c r="J433" i="4"/>
  <c r="I433" i="4"/>
  <c r="K433" i="4" s="1"/>
  <c r="M433" i="4" s="1"/>
  <c r="N433" i="4" s="1"/>
  <c r="H433" i="4"/>
  <c r="G433" i="4"/>
  <c r="J432" i="4"/>
  <c r="L432" i="4" s="1"/>
  <c r="I432" i="4"/>
  <c r="K432" i="4" s="1"/>
  <c r="H432" i="4"/>
  <c r="G432" i="4"/>
  <c r="L431" i="4"/>
  <c r="M431" i="4" s="1"/>
  <c r="N431" i="4" s="1"/>
  <c r="K431" i="4"/>
  <c r="J431" i="4"/>
  <c r="I431" i="4"/>
  <c r="H431" i="4"/>
  <c r="G431" i="4"/>
  <c r="N430" i="4"/>
  <c r="L430" i="4"/>
  <c r="J430" i="4"/>
  <c r="I430" i="4"/>
  <c r="K430" i="4" s="1"/>
  <c r="M430" i="4" s="1"/>
  <c r="H430" i="4"/>
  <c r="G430" i="4"/>
  <c r="J429" i="4"/>
  <c r="L429" i="4" s="1"/>
  <c r="I429" i="4"/>
  <c r="K429" i="4" s="1"/>
  <c r="H429" i="4"/>
  <c r="G429" i="4"/>
  <c r="L428" i="4"/>
  <c r="M428" i="4" s="1"/>
  <c r="N428" i="4" s="1"/>
  <c r="K428" i="4"/>
  <c r="J428" i="4"/>
  <c r="I428" i="4"/>
  <c r="H428" i="4"/>
  <c r="G428" i="4"/>
  <c r="M427" i="4"/>
  <c r="N427" i="4" s="1"/>
  <c r="L427" i="4"/>
  <c r="J427" i="4"/>
  <c r="I427" i="4"/>
  <c r="K427" i="4" s="1"/>
  <c r="H427" i="4"/>
  <c r="G427" i="4"/>
  <c r="J426" i="4"/>
  <c r="L426" i="4" s="1"/>
  <c r="M426" i="4" s="1"/>
  <c r="N426" i="4" s="1"/>
  <c r="I426" i="4"/>
  <c r="K426" i="4" s="1"/>
  <c r="H426" i="4"/>
  <c r="G426" i="4"/>
  <c r="L425" i="4"/>
  <c r="M425" i="4" s="1"/>
  <c r="N425" i="4" s="1"/>
  <c r="K425" i="4"/>
  <c r="J425" i="4"/>
  <c r="I425" i="4"/>
  <c r="H425" i="4"/>
  <c r="G425" i="4"/>
  <c r="M424" i="4"/>
  <c r="N424" i="4" s="1"/>
  <c r="L424" i="4"/>
  <c r="J424" i="4"/>
  <c r="I424" i="4"/>
  <c r="K424" i="4" s="1"/>
  <c r="H424" i="4"/>
  <c r="G424" i="4"/>
  <c r="J423" i="4"/>
  <c r="L423" i="4" s="1"/>
  <c r="I423" i="4"/>
  <c r="K423" i="4" s="1"/>
  <c r="H423" i="4"/>
  <c r="G423" i="4"/>
  <c r="L422" i="4"/>
  <c r="M422" i="4" s="1"/>
  <c r="N422" i="4" s="1"/>
  <c r="K422" i="4"/>
  <c r="J422" i="4"/>
  <c r="I422" i="4"/>
  <c r="H422" i="4"/>
  <c r="G422" i="4"/>
  <c r="M421" i="4"/>
  <c r="N421" i="4" s="1"/>
  <c r="L421" i="4"/>
  <c r="J421" i="4"/>
  <c r="I421" i="4"/>
  <c r="K421" i="4" s="1"/>
  <c r="H421" i="4"/>
  <c r="G421" i="4"/>
  <c r="J420" i="4"/>
  <c r="L420" i="4" s="1"/>
  <c r="I420" i="4"/>
  <c r="K420" i="4" s="1"/>
  <c r="H420" i="4"/>
  <c r="G420" i="4"/>
  <c r="L419" i="4"/>
  <c r="M419" i="4" s="1"/>
  <c r="N419" i="4" s="1"/>
  <c r="K419" i="4"/>
  <c r="J419" i="4"/>
  <c r="I419" i="4"/>
  <c r="H419" i="4"/>
  <c r="G419" i="4"/>
  <c r="L418" i="4"/>
  <c r="J418" i="4"/>
  <c r="I418" i="4"/>
  <c r="K418" i="4" s="1"/>
  <c r="M418" i="4" s="1"/>
  <c r="N418" i="4" s="1"/>
  <c r="H418" i="4"/>
  <c r="G418" i="4"/>
  <c r="J417" i="4"/>
  <c r="L417" i="4" s="1"/>
  <c r="I417" i="4"/>
  <c r="K417" i="4" s="1"/>
  <c r="H417" i="4"/>
  <c r="G417" i="4"/>
  <c r="L416" i="4"/>
  <c r="M416" i="4" s="1"/>
  <c r="N416" i="4" s="1"/>
  <c r="K416" i="4"/>
  <c r="J416" i="4"/>
  <c r="I416" i="4"/>
  <c r="H416" i="4"/>
  <c r="G416" i="4"/>
  <c r="L415" i="4"/>
  <c r="J415" i="4"/>
  <c r="I415" i="4"/>
  <c r="K415" i="4" s="1"/>
  <c r="M415" i="4" s="1"/>
  <c r="N415" i="4" s="1"/>
  <c r="H415" i="4"/>
  <c r="G415" i="4"/>
  <c r="J414" i="4"/>
  <c r="L414" i="4" s="1"/>
  <c r="M414" i="4" s="1"/>
  <c r="N414" i="4" s="1"/>
  <c r="I414" i="4"/>
  <c r="K414" i="4" s="1"/>
  <c r="H414" i="4"/>
  <c r="G414" i="4"/>
  <c r="L413" i="4"/>
  <c r="M413" i="4" s="1"/>
  <c r="N413" i="4" s="1"/>
  <c r="K413" i="4"/>
  <c r="J413" i="4"/>
  <c r="I413" i="4"/>
  <c r="H413" i="4"/>
  <c r="G413" i="4"/>
  <c r="L412" i="4"/>
  <c r="J412" i="4"/>
  <c r="I412" i="4"/>
  <c r="K412" i="4" s="1"/>
  <c r="M412" i="4" s="1"/>
  <c r="N412" i="4" s="1"/>
  <c r="H412" i="4"/>
  <c r="G412" i="4"/>
  <c r="J411" i="4"/>
  <c r="L411" i="4" s="1"/>
  <c r="M411" i="4" s="1"/>
  <c r="N411" i="4" s="1"/>
  <c r="I411" i="4"/>
  <c r="K411" i="4" s="1"/>
  <c r="H411" i="4"/>
  <c r="G411" i="4"/>
  <c r="L410" i="4"/>
  <c r="M410" i="4" s="1"/>
  <c r="N410" i="4" s="1"/>
  <c r="K410" i="4"/>
  <c r="J410" i="4"/>
  <c r="I410" i="4"/>
  <c r="H410" i="4"/>
  <c r="G410" i="4"/>
  <c r="M409" i="4"/>
  <c r="N409" i="4" s="1"/>
  <c r="L409" i="4"/>
  <c r="J409" i="4"/>
  <c r="I409" i="4"/>
  <c r="K409" i="4" s="1"/>
  <c r="H409" i="4"/>
  <c r="G409" i="4"/>
  <c r="J408" i="4"/>
  <c r="L408" i="4" s="1"/>
  <c r="M408" i="4" s="1"/>
  <c r="N408" i="4" s="1"/>
  <c r="I408" i="4"/>
  <c r="K408" i="4" s="1"/>
  <c r="H408" i="4"/>
  <c r="G408" i="4"/>
  <c r="L407" i="4"/>
  <c r="M407" i="4" s="1"/>
  <c r="N407" i="4" s="1"/>
  <c r="K407" i="4"/>
  <c r="J407" i="4"/>
  <c r="I407" i="4"/>
  <c r="H407" i="4"/>
  <c r="G407" i="4"/>
  <c r="L406" i="4"/>
  <c r="J406" i="4"/>
  <c r="I406" i="4"/>
  <c r="K406" i="4" s="1"/>
  <c r="M406" i="4" s="1"/>
  <c r="N406" i="4" s="1"/>
  <c r="H406" i="4"/>
  <c r="G406" i="4"/>
  <c r="J405" i="4"/>
  <c r="L405" i="4" s="1"/>
  <c r="I405" i="4"/>
  <c r="K405" i="4" s="1"/>
  <c r="H405" i="4"/>
  <c r="G405" i="4"/>
  <c r="L404" i="4"/>
  <c r="M404" i="4" s="1"/>
  <c r="N404" i="4" s="1"/>
  <c r="K404" i="4"/>
  <c r="J404" i="4"/>
  <c r="I404" i="4"/>
  <c r="H404" i="4"/>
  <c r="G404" i="4"/>
  <c r="M403" i="4"/>
  <c r="N403" i="4" s="1"/>
  <c r="L403" i="4"/>
  <c r="J403" i="4"/>
  <c r="I403" i="4"/>
  <c r="K403" i="4" s="1"/>
  <c r="H403" i="4"/>
  <c r="G403" i="4"/>
  <c r="J402" i="4"/>
  <c r="L402" i="4" s="1"/>
  <c r="M402" i="4" s="1"/>
  <c r="N402" i="4" s="1"/>
  <c r="I402" i="4"/>
  <c r="K402" i="4" s="1"/>
  <c r="H402" i="4"/>
  <c r="G402" i="4"/>
  <c r="L401" i="4"/>
  <c r="M401" i="4" s="1"/>
  <c r="N401" i="4" s="1"/>
  <c r="K401" i="4"/>
  <c r="J401" i="4"/>
  <c r="I401" i="4"/>
  <c r="H401" i="4"/>
  <c r="G401" i="4"/>
  <c r="L400" i="4"/>
  <c r="J400" i="4"/>
  <c r="I400" i="4"/>
  <c r="K400" i="4" s="1"/>
  <c r="M400" i="4" s="1"/>
  <c r="N400" i="4" s="1"/>
  <c r="H400" i="4"/>
  <c r="G400" i="4"/>
  <c r="J399" i="4"/>
  <c r="L399" i="4" s="1"/>
  <c r="I399" i="4"/>
  <c r="K399" i="4" s="1"/>
  <c r="H399" i="4"/>
  <c r="G399" i="4"/>
  <c r="L398" i="4"/>
  <c r="M398" i="4" s="1"/>
  <c r="N398" i="4" s="1"/>
  <c r="K398" i="4"/>
  <c r="J398" i="4"/>
  <c r="I398" i="4"/>
  <c r="H398" i="4"/>
  <c r="G398" i="4"/>
  <c r="L397" i="4"/>
  <c r="J397" i="4"/>
  <c r="I397" i="4"/>
  <c r="K397" i="4" s="1"/>
  <c r="M397" i="4" s="1"/>
  <c r="N397" i="4" s="1"/>
  <c r="H397" i="4"/>
  <c r="G397" i="4"/>
  <c r="J396" i="4"/>
  <c r="L396" i="4" s="1"/>
  <c r="I396" i="4"/>
  <c r="K396" i="4" s="1"/>
  <c r="H396" i="4"/>
  <c r="G396" i="4"/>
  <c r="L395" i="4"/>
  <c r="M395" i="4" s="1"/>
  <c r="N395" i="4" s="1"/>
  <c r="K395" i="4"/>
  <c r="J395" i="4"/>
  <c r="I395" i="4"/>
  <c r="H395" i="4"/>
  <c r="G395" i="4"/>
  <c r="N394" i="4"/>
  <c r="L394" i="4"/>
  <c r="J394" i="4"/>
  <c r="I394" i="4"/>
  <c r="K394" i="4" s="1"/>
  <c r="M394" i="4" s="1"/>
  <c r="H394" i="4"/>
  <c r="G394" i="4"/>
  <c r="J393" i="4"/>
  <c r="L393" i="4" s="1"/>
  <c r="I393" i="4"/>
  <c r="K393" i="4" s="1"/>
  <c r="H393" i="4"/>
  <c r="G393" i="4"/>
  <c r="L392" i="4"/>
  <c r="M392" i="4" s="1"/>
  <c r="N392" i="4" s="1"/>
  <c r="K392" i="4"/>
  <c r="J392" i="4"/>
  <c r="I392" i="4"/>
  <c r="H392" i="4"/>
  <c r="G392" i="4"/>
  <c r="M391" i="4"/>
  <c r="N391" i="4" s="1"/>
  <c r="L391" i="4"/>
  <c r="J391" i="4"/>
  <c r="I391" i="4"/>
  <c r="K391" i="4" s="1"/>
  <c r="H391" i="4"/>
  <c r="G391" i="4"/>
  <c r="J390" i="4"/>
  <c r="L390" i="4" s="1"/>
  <c r="M390" i="4" s="1"/>
  <c r="N390" i="4" s="1"/>
  <c r="I390" i="4"/>
  <c r="K390" i="4" s="1"/>
  <c r="H390" i="4"/>
  <c r="G390" i="4"/>
  <c r="L389" i="4"/>
  <c r="M389" i="4" s="1"/>
  <c r="N389" i="4" s="1"/>
  <c r="K389" i="4"/>
  <c r="J389" i="4"/>
  <c r="I389" i="4"/>
  <c r="H389" i="4"/>
  <c r="G389" i="4"/>
  <c r="M388" i="4"/>
  <c r="N388" i="4" s="1"/>
  <c r="L388" i="4"/>
  <c r="J388" i="4"/>
  <c r="I388" i="4"/>
  <c r="K388" i="4" s="1"/>
  <c r="H388" i="4"/>
  <c r="G388" i="4"/>
  <c r="J387" i="4"/>
  <c r="L387" i="4" s="1"/>
  <c r="I387" i="4"/>
  <c r="K387" i="4" s="1"/>
  <c r="H387" i="4"/>
  <c r="G387" i="4"/>
  <c r="L386" i="4"/>
  <c r="M386" i="4" s="1"/>
  <c r="N386" i="4" s="1"/>
  <c r="K386" i="4"/>
  <c r="J386" i="4"/>
  <c r="I386" i="4"/>
  <c r="H386" i="4"/>
  <c r="G386" i="4"/>
  <c r="M385" i="4"/>
  <c r="N385" i="4" s="1"/>
  <c r="L385" i="4"/>
  <c r="J385" i="4"/>
  <c r="I385" i="4"/>
  <c r="K385" i="4" s="1"/>
  <c r="H385" i="4"/>
  <c r="G385" i="4"/>
  <c r="J384" i="4"/>
  <c r="L384" i="4" s="1"/>
  <c r="I384" i="4"/>
  <c r="K384" i="4" s="1"/>
  <c r="H384" i="4"/>
  <c r="G384" i="4"/>
  <c r="L383" i="4"/>
  <c r="M383" i="4" s="1"/>
  <c r="N383" i="4" s="1"/>
  <c r="K383" i="4"/>
  <c r="J383" i="4"/>
  <c r="I383" i="4"/>
  <c r="H383" i="4"/>
  <c r="G383" i="4"/>
  <c r="L382" i="4"/>
  <c r="J382" i="4"/>
  <c r="I382" i="4"/>
  <c r="K382" i="4" s="1"/>
  <c r="M382" i="4" s="1"/>
  <c r="N382" i="4" s="1"/>
  <c r="H382" i="4"/>
  <c r="G382" i="4"/>
  <c r="J381" i="4"/>
  <c r="L381" i="4" s="1"/>
  <c r="I381" i="4"/>
  <c r="K381" i="4" s="1"/>
  <c r="H381" i="4"/>
  <c r="G381" i="4"/>
  <c r="L380" i="4"/>
  <c r="M380" i="4" s="1"/>
  <c r="N380" i="4" s="1"/>
  <c r="K380" i="4"/>
  <c r="J380" i="4"/>
  <c r="I380" i="4"/>
  <c r="H380" i="4"/>
  <c r="G380" i="4"/>
  <c r="N379" i="4"/>
  <c r="M379" i="4"/>
  <c r="L379" i="4"/>
  <c r="K379" i="4"/>
  <c r="J379" i="4"/>
  <c r="I379" i="4"/>
  <c r="H379" i="4"/>
  <c r="G379" i="4"/>
  <c r="J378" i="4"/>
  <c r="L378" i="4" s="1"/>
  <c r="I378" i="4"/>
  <c r="K378" i="4" s="1"/>
  <c r="H378" i="4"/>
  <c r="G378" i="4"/>
  <c r="L377" i="4"/>
  <c r="M377" i="4" s="1"/>
  <c r="N377" i="4" s="1"/>
  <c r="K377" i="4"/>
  <c r="J377" i="4"/>
  <c r="I377" i="4"/>
  <c r="H377" i="4"/>
  <c r="G377" i="4"/>
  <c r="M376" i="4"/>
  <c r="N376" i="4" s="1"/>
  <c r="L376" i="4"/>
  <c r="K376" i="4"/>
  <c r="J376" i="4"/>
  <c r="I376" i="4"/>
  <c r="H376" i="4"/>
  <c r="G376" i="4"/>
  <c r="J375" i="4"/>
  <c r="L375" i="4" s="1"/>
  <c r="I375" i="4"/>
  <c r="K375" i="4" s="1"/>
  <c r="H375" i="4"/>
  <c r="G375" i="4"/>
  <c r="L374" i="4"/>
  <c r="M374" i="4" s="1"/>
  <c r="N374" i="4" s="1"/>
  <c r="K374" i="4"/>
  <c r="J374" i="4"/>
  <c r="I374" i="4"/>
  <c r="H374" i="4"/>
  <c r="G374" i="4"/>
  <c r="N373" i="4"/>
  <c r="M373" i="4"/>
  <c r="L373" i="4"/>
  <c r="K373" i="4"/>
  <c r="J373" i="4"/>
  <c r="I373" i="4"/>
  <c r="H373" i="4"/>
  <c r="G373" i="4"/>
  <c r="J372" i="4"/>
  <c r="L372" i="4" s="1"/>
  <c r="I372" i="4"/>
  <c r="K372" i="4" s="1"/>
  <c r="H372" i="4"/>
  <c r="G372" i="4"/>
  <c r="L371" i="4"/>
  <c r="M371" i="4" s="1"/>
  <c r="N371" i="4" s="1"/>
  <c r="K371" i="4"/>
  <c r="J371" i="4"/>
  <c r="I371" i="4"/>
  <c r="H371" i="4"/>
  <c r="G371" i="4"/>
  <c r="M370" i="4"/>
  <c r="N370" i="4" s="1"/>
  <c r="L370" i="4"/>
  <c r="K370" i="4"/>
  <c r="J370" i="4"/>
  <c r="I370" i="4"/>
  <c r="H370" i="4"/>
  <c r="G370" i="4"/>
  <c r="J369" i="4"/>
  <c r="L369" i="4" s="1"/>
  <c r="I369" i="4"/>
  <c r="K369" i="4" s="1"/>
  <c r="H369" i="4"/>
  <c r="G369" i="4"/>
  <c r="L368" i="4"/>
  <c r="M368" i="4" s="1"/>
  <c r="N368" i="4" s="1"/>
  <c r="K368" i="4"/>
  <c r="J368" i="4"/>
  <c r="I368" i="4"/>
  <c r="H368" i="4"/>
  <c r="G368" i="4"/>
  <c r="N367" i="4"/>
  <c r="M367" i="4"/>
  <c r="L367" i="4"/>
  <c r="K367" i="4"/>
  <c r="J367" i="4"/>
  <c r="I367" i="4"/>
  <c r="H367" i="4"/>
  <c r="G367" i="4"/>
  <c r="J366" i="4"/>
  <c r="L366" i="4" s="1"/>
  <c r="I366" i="4"/>
  <c r="K366" i="4" s="1"/>
  <c r="H366" i="4"/>
  <c r="G366" i="4"/>
  <c r="L365" i="4"/>
  <c r="M365" i="4" s="1"/>
  <c r="N365" i="4" s="1"/>
  <c r="K365" i="4"/>
  <c r="J365" i="4"/>
  <c r="I365" i="4"/>
  <c r="H365" i="4"/>
  <c r="G365" i="4"/>
  <c r="M364" i="4"/>
  <c r="N364" i="4" s="1"/>
  <c r="L364" i="4"/>
  <c r="K364" i="4"/>
  <c r="J364" i="4"/>
  <c r="I364" i="4"/>
  <c r="H364" i="4"/>
  <c r="G364" i="4"/>
  <c r="J363" i="4"/>
  <c r="L363" i="4" s="1"/>
  <c r="I363" i="4"/>
  <c r="K363" i="4" s="1"/>
  <c r="H363" i="4"/>
  <c r="G363" i="4"/>
  <c r="L362" i="4"/>
  <c r="M362" i="4" s="1"/>
  <c r="N362" i="4" s="1"/>
  <c r="K362" i="4"/>
  <c r="J362" i="4"/>
  <c r="I362" i="4"/>
  <c r="H362" i="4"/>
  <c r="G362" i="4"/>
  <c r="N361" i="4"/>
  <c r="M361" i="4"/>
  <c r="L361" i="4"/>
  <c r="K361" i="4"/>
  <c r="J361" i="4"/>
  <c r="I361" i="4"/>
  <c r="H361" i="4"/>
  <c r="G361" i="4"/>
  <c r="J360" i="4"/>
  <c r="L360" i="4" s="1"/>
  <c r="I360" i="4"/>
  <c r="K360" i="4" s="1"/>
  <c r="H360" i="4"/>
  <c r="G360" i="4"/>
  <c r="L359" i="4"/>
  <c r="M359" i="4" s="1"/>
  <c r="N359" i="4" s="1"/>
  <c r="K359" i="4"/>
  <c r="J359" i="4"/>
  <c r="I359" i="4"/>
  <c r="H359" i="4"/>
  <c r="G359" i="4"/>
  <c r="M358" i="4"/>
  <c r="N358" i="4" s="1"/>
  <c r="L358" i="4"/>
  <c r="K358" i="4"/>
  <c r="J358" i="4"/>
  <c r="I358" i="4"/>
  <c r="H358" i="4"/>
  <c r="G358" i="4"/>
  <c r="J357" i="4"/>
  <c r="L357" i="4" s="1"/>
  <c r="I357" i="4"/>
  <c r="K357" i="4" s="1"/>
  <c r="H357" i="4"/>
  <c r="G357" i="4"/>
  <c r="L356" i="4"/>
  <c r="M356" i="4" s="1"/>
  <c r="N356" i="4" s="1"/>
  <c r="K356" i="4"/>
  <c r="J356" i="4"/>
  <c r="I356" i="4"/>
  <c r="H356" i="4"/>
  <c r="G356" i="4"/>
  <c r="N355" i="4"/>
  <c r="M355" i="4"/>
  <c r="L355" i="4"/>
  <c r="K355" i="4"/>
  <c r="J355" i="4"/>
  <c r="I355" i="4"/>
  <c r="H355" i="4"/>
  <c r="G355" i="4"/>
  <c r="J354" i="4"/>
  <c r="L354" i="4" s="1"/>
  <c r="I354" i="4"/>
  <c r="K354" i="4" s="1"/>
  <c r="H354" i="4"/>
  <c r="G354" i="4"/>
  <c r="L353" i="4"/>
  <c r="M353" i="4" s="1"/>
  <c r="N353" i="4" s="1"/>
  <c r="K353" i="4"/>
  <c r="J353" i="4"/>
  <c r="I353" i="4"/>
  <c r="H353" i="4"/>
  <c r="G353" i="4"/>
  <c r="M352" i="4"/>
  <c r="N352" i="4" s="1"/>
  <c r="L352" i="4"/>
  <c r="K352" i="4"/>
  <c r="J352" i="4"/>
  <c r="I352" i="4"/>
  <c r="H352" i="4"/>
  <c r="G352" i="4"/>
  <c r="J351" i="4"/>
  <c r="L351" i="4" s="1"/>
  <c r="I351" i="4"/>
  <c r="K351" i="4" s="1"/>
  <c r="H351" i="4"/>
  <c r="G351" i="4"/>
  <c r="L350" i="4"/>
  <c r="K350" i="4"/>
  <c r="J350" i="4"/>
  <c r="I350" i="4"/>
  <c r="H350" i="4"/>
  <c r="G350" i="4"/>
  <c r="N349" i="4"/>
  <c r="M349" i="4"/>
  <c r="L349" i="4"/>
  <c r="K349" i="4"/>
  <c r="J349" i="4"/>
  <c r="I349" i="4"/>
  <c r="H349" i="4"/>
  <c r="G349" i="4"/>
  <c r="J348" i="4"/>
  <c r="L348" i="4" s="1"/>
  <c r="I348" i="4"/>
  <c r="K348" i="4" s="1"/>
  <c r="H348" i="4"/>
  <c r="G348" i="4"/>
  <c r="L347" i="4"/>
  <c r="M347" i="4" s="1"/>
  <c r="N347" i="4" s="1"/>
  <c r="K347" i="4"/>
  <c r="J347" i="4"/>
  <c r="I347" i="4"/>
  <c r="H347" i="4"/>
  <c r="G347" i="4"/>
  <c r="M346" i="4"/>
  <c r="N346" i="4" s="1"/>
  <c r="L346" i="4"/>
  <c r="K346" i="4"/>
  <c r="J346" i="4"/>
  <c r="I346" i="4"/>
  <c r="H346" i="4"/>
  <c r="G346" i="4"/>
  <c r="J345" i="4"/>
  <c r="L345" i="4" s="1"/>
  <c r="I345" i="4"/>
  <c r="K345" i="4" s="1"/>
  <c r="H345" i="4"/>
  <c r="G345" i="4"/>
  <c r="L344" i="4"/>
  <c r="K344" i="4"/>
  <c r="J344" i="4"/>
  <c r="I344" i="4"/>
  <c r="H344" i="4"/>
  <c r="G344" i="4"/>
  <c r="N343" i="4"/>
  <c r="M343" i="4"/>
  <c r="L343" i="4"/>
  <c r="K343" i="4"/>
  <c r="J343" i="4"/>
  <c r="I343" i="4"/>
  <c r="H343" i="4"/>
  <c r="G343" i="4"/>
  <c r="J342" i="4"/>
  <c r="L342" i="4" s="1"/>
  <c r="I342" i="4"/>
  <c r="K342" i="4" s="1"/>
  <c r="H342" i="4"/>
  <c r="G342" i="4"/>
  <c r="L341" i="4"/>
  <c r="M341" i="4" s="1"/>
  <c r="N341" i="4" s="1"/>
  <c r="K341" i="4"/>
  <c r="J341" i="4"/>
  <c r="I341" i="4"/>
  <c r="H341" i="4"/>
  <c r="G341" i="4"/>
  <c r="M340" i="4"/>
  <c r="N340" i="4" s="1"/>
  <c r="L340" i="4"/>
  <c r="K340" i="4"/>
  <c r="J340" i="4"/>
  <c r="I340" i="4"/>
  <c r="H340" i="4"/>
  <c r="G340" i="4"/>
  <c r="J339" i="4"/>
  <c r="L339" i="4" s="1"/>
  <c r="I339" i="4"/>
  <c r="K339" i="4" s="1"/>
  <c r="H339" i="4"/>
  <c r="G339" i="4"/>
  <c r="L338" i="4"/>
  <c r="K338" i="4"/>
  <c r="J338" i="4"/>
  <c r="I338" i="4"/>
  <c r="H338" i="4"/>
  <c r="G338" i="4"/>
  <c r="N337" i="4"/>
  <c r="M337" i="4"/>
  <c r="L337" i="4"/>
  <c r="K337" i="4"/>
  <c r="J337" i="4"/>
  <c r="I337" i="4"/>
  <c r="H337" i="4"/>
  <c r="G337" i="4"/>
  <c r="J336" i="4"/>
  <c r="L336" i="4" s="1"/>
  <c r="I336" i="4"/>
  <c r="K336" i="4" s="1"/>
  <c r="H336" i="4"/>
  <c r="G336" i="4"/>
  <c r="L335" i="4"/>
  <c r="M335" i="4" s="1"/>
  <c r="N335" i="4" s="1"/>
  <c r="K335" i="4"/>
  <c r="J335" i="4"/>
  <c r="I335" i="4"/>
  <c r="H335" i="4"/>
  <c r="G335" i="4"/>
  <c r="M334" i="4"/>
  <c r="N334" i="4" s="1"/>
  <c r="L334" i="4"/>
  <c r="K334" i="4"/>
  <c r="J334" i="4"/>
  <c r="I334" i="4"/>
  <c r="H334" i="4"/>
  <c r="G334" i="4"/>
  <c r="J333" i="4"/>
  <c r="L333" i="4" s="1"/>
  <c r="I333" i="4"/>
  <c r="K333" i="4" s="1"/>
  <c r="H333" i="4"/>
  <c r="G333" i="4"/>
  <c r="L332" i="4"/>
  <c r="K332" i="4"/>
  <c r="J332" i="4"/>
  <c r="I332" i="4"/>
  <c r="H332" i="4"/>
  <c r="G332" i="4"/>
  <c r="N331" i="4"/>
  <c r="M331" i="4"/>
  <c r="L331" i="4"/>
  <c r="K331" i="4"/>
  <c r="J331" i="4"/>
  <c r="I331" i="4"/>
  <c r="H331" i="4"/>
  <c r="G331" i="4"/>
  <c r="J330" i="4"/>
  <c r="L330" i="4" s="1"/>
  <c r="I330" i="4"/>
  <c r="K330" i="4" s="1"/>
  <c r="H330" i="4"/>
  <c r="G330" i="4"/>
  <c r="L329" i="4"/>
  <c r="M329" i="4" s="1"/>
  <c r="N329" i="4" s="1"/>
  <c r="K329" i="4"/>
  <c r="J329" i="4"/>
  <c r="I329" i="4"/>
  <c r="H329" i="4"/>
  <c r="G329" i="4"/>
  <c r="M328" i="4"/>
  <c r="N328" i="4" s="1"/>
  <c r="L328" i="4"/>
  <c r="K328" i="4"/>
  <c r="J328" i="4"/>
  <c r="I328" i="4"/>
  <c r="H328" i="4"/>
  <c r="G328" i="4"/>
  <c r="K327" i="4"/>
  <c r="J327" i="4"/>
  <c r="L327" i="4" s="1"/>
  <c r="M327" i="4" s="1"/>
  <c r="N327" i="4" s="1"/>
  <c r="I327" i="4"/>
  <c r="H327" i="4"/>
  <c r="G327" i="4"/>
  <c r="L326" i="4"/>
  <c r="M326" i="4" s="1"/>
  <c r="N326" i="4" s="1"/>
  <c r="K326" i="4"/>
  <c r="J326" i="4"/>
  <c r="I326" i="4"/>
  <c r="H326" i="4"/>
  <c r="G326" i="4"/>
  <c r="M325" i="4"/>
  <c r="N325" i="4" s="1"/>
  <c r="L325" i="4"/>
  <c r="K325" i="4"/>
  <c r="J325" i="4"/>
  <c r="I325" i="4"/>
  <c r="H325" i="4"/>
  <c r="G325" i="4"/>
  <c r="J324" i="4"/>
  <c r="L324" i="4" s="1"/>
  <c r="I324" i="4"/>
  <c r="K324" i="4" s="1"/>
  <c r="H324" i="4"/>
  <c r="G324" i="4"/>
  <c r="L323" i="4"/>
  <c r="K323" i="4"/>
  <c r="J323" i="4"/>
  <c r="I323" i="4"/>
  <c r="H323" i="4"/>
  <c r="G323" i="4"/>
  <c r="L322" i="4"/>
  <c r="K322" i="4"/>
  <c r="M322" i="4" s="1"/>
  <c r="N322" i="4" s="1"/>
  <c r="J322" i="4"/>
  <c r="I322" i="4"/>
  <c r="H322" i="4"/>
  <c r="G322" i="4"/>
  <c r="J321" i="4"/>
  <c r="L321" i="4" s="1"/>
  <c r="I321" i="4"/>
  <c r="K321" i="4" s="1"/>
  <c r="H321" i="4"/>
  <c r="G321" i="4"/>
  <c r="L320" i="4"/>
  <c r="K320" i="4"/>
  <c r="J320" i="4"/>
  <c r="I320" i="4"/>
  <c r="H320" i="4"/>
  <c r="G320" i="4"/>
  <c r="L319" i="4"/>
  <c r="K319" i="4"/>
  <c r="M319" i="4" s="1"/>
  <c r="N319" i="4" s="1"/>
  <c r="J319" i="4"/>
  <c r="I319" i="4"/>
  <c r="H319" i="4"/>
  <c r="G319" i="4"/>
  <c r="K318" i="4"/>
  <c r="J318" i="4"/>
  <c r="L318" i="4" s="1"/>
  <c r="I318" i="4"/>
  <c r="H318" i="4"/>
  <c r="G318" i="4"/>
  <c r="L317" i="4"/>
  <c r="K317" i="4"/>
  <c r="J317" i="4"/>
  <c r="I317" i="4"/>
  <c r="H317" i="4"/>
  <c r="G317" i="4"/>
  <c r="N316" i="4"/>
  <c r="M316" i="4"/>
  <c r="L316" i="4"/>
  <c r="K316" i="4"/>
  <c r="J316" i="4"/>
  <c r="I316" i="4"/>
  <c r="H316" i="4"/>
  <c r="G316" i="4"/>
  <c r="K315" i="4"/>
  <c r="J315" i="4"/>
  <c r="L315" i="4" s="1"/>
  <c r="M315" i="4" s="1"/>
  <c r="N315" i="4" s="1"/>
  <c r="I315" i="4"/>
  <c r="H315" i="4"/>
  <c r="G315" i="4"/>
  <c r="L314" i="4"/>
  <c r="M314" i="4" s="1"/>
  <c r="N314" i="4" s="1"/>
  <c r="K314" i="4"/>
  <c r="J314" i="4"/>
  <c r="I314" i="4"/>
  <c r="H314" i="4"/>
  <c r="G314" i="4"/>
  <c r="N313" i="4"/>
  <c r="M313" i="4"/>
  <c r="L313" i="4"/>
  <c r="K313" i="4"/>
  <c r="J313" i="4"/>
  <c r="I313" i="4"/>
  <c r="H313" i="4"/>
  <c r="G313" i="4"/>
  <c r="J312" i="4"/>
  <c r="L312" i="4" s="1"/>
  <c r="I312" i="4"/>
  <c r="K312" i="4" s="1"/>
  <c r="H312" i="4"/>
  <c r="G312" i="4"/>
  <c r="L311" i="4"/>
  <c r="K311" i="4"/>
  <c r="J311" i="4"/>
  <c r="I311" i="4"/>
  <c r="H311" i="4"/>
  <c r="G311" i="4"/>
  <c r="L310" i="4"/>
  <c r="K310" i="4"/>
  <c r="M310" i="4" s="1"/>
  <c r="N310" i="4" s="1"/>
  <c r="J310" i="4"/>
  <c r="I310" i="4"/>
  <c r="H310" i="4"/>
  <c r="G310" i="4"/>
  <c r="J309" i="4"/>
  <c r="L309" i="4" s="1"/>
  <c r="I309" i="4"/>
  <c r="K309" i="4" s="1"/>
  <c r="H309" i="4"/>
  <c r="G309" i="4"/>
  <c r="L308" i="4"/>
  <c r="K308" i="4"/>
  <c r="J308" i="4"/>
  <c r="I308" i="4"/>
  <c r="H308" i="4"/>
  <c r="G308" i="4"/>
  <c r="L307" i="4"/>
  <c r="K307" i="4"/>
  <c r="M307" i="4" s="1"/>
  <c r="N307" i="4" s="1"/>
  <c r="J307" i="4"/>
  <c r="I307" i="4"/>
  <c r="H307" i="4"/>
  <c r="G307" i="4"/>
  <c r="J306" i="4"/>
  <c r="L306" i="4" s="1"/>
  <c r="I306" i="4"/>
  <c r="K306" i="4" s="1"/>
  <c r="H306" i="4"/>
  <c r="G306" i="4"/>
  <c r="L305" i="4"/>
  <c r="K305" i="4"/>
  <c r="J305" i="4"/>
  <c r="I305" i="4"/>
  <c r="H305" i="4"/>
  <c r="G305" i="4"/>
  <c r="L304" i="4"/>
  <c r="K304" i="4"/>
  <c r="M304" i="4" s="1"/>
  <c r="N304" i="4" s="1"/>
  <c r="J304" i="4"/>
  <c r="I304" i="4"/>
  <c r="H304" i="4"/>
  <c r="G304" i="4"/>
  <c r="K303" i="4"/>
  <c r="J303" i="4"/>
  <c r="L303" i="4" s="1"/>
  <c r="M303" i="4" s="1"/>
  <c r="N303" i="4" s="1"/>
  <c r="I303" i="4"/>
  <c r="H303" i="4"/>
  <c r="G303" i="4"/>
  <c r="L302" i="4"/>
  <c r="M302" i="4" s="1"/>
  <c r="N302" i="4" s="1"/>
  <c r="K302" i="4"/>
  <c r="J302" i="4"/>
  <c r="I302" i="4"/>
  <c r="H302" i="4"/>
  <c r="G302" i="4"/>
  <c r="M301" i="4"/>
  <c r="N301" i="4" s="1"/>
  <c r="L301" i="4"/>
  <c r="K301" i="4"/>
  <c r="J301" i="4"/>
  <c r="I301" i="4"/>
  <c r="H301" i="4"/>
  <c r="G301" i="4"/>
  <c r="J300" i="4"/>
  <c r="L300" i="4" s="1"/>
  <c r="I300" i="4"/>
  <c r="K300" i="4" s="1"/>
  <c r="H300" i="4"/>
  <c r="G300" i="4"/>
  <c r="L299" i="4"/>
  <c r="M299" i="4" s="1"/>
  <c r="N299" i="4" s="1"/>
  <c r="K299" i="4"/>
  <c r="J299" i="4"/>
  <c r="I299" i="4"/>
  <c r="H299" i="4"/>
  <c r="G299" i="4"/>
  <c r="L298" i="4"/>
  <c r="K298" i="4"/>
  <c r="M298" i="4" s="1"/>
  <c r="N298" i="4" s="1"/>
  <c r="J298" i="4"/>
  <c r="I298" i="4"/>
  <c r="H298" i="4"/>
  <c r="G298" i="4"/>
  <c r="K297" i="4"/>
  <c r="J297" i="4"/>
  <c r="L297" i="4" s="1"/>
  <c r="I297" i="4"/>
  <c r="H297" i="4"/>
  <c r="G297" i="4"/>
  <c r="L296" i="4"/>
  <c r="M296" i="4" s="1"/>
  <c r="N296" i="4" s="1"/>
  <c r="K296" i="4"/>
  <c r="J296" i="4"/>
  <c r="I296" i="4"/>
  <c r="H296" i="4"/>
  <c r="G296" i="4"/>
  <c r="N295" i="4"/>
  <c r="M295" i="4"/>
  <c r="L295" i="4"/>
  <c r="K295" i="4"/>
  <c r="J295" i="4"/>
  <c r="I295" i="4"/>
  <c r="H295" i="4"/>
  <c r="G295" i="4"/>
  <c r="L294" i="4"/>
  <c r="J294" i="4"/>
  <c r="I294" i="4"/>
  <c r="K294" i="4" s="1"/>
  <c r="H294" i="4"/>
  <c r="G294" i="4"/>
  <c r="L293" i="4"/>
  <c r="K293" i="4"/>
  <c r="J293" i="4"/>
  <c r="I293" i="4"/>
  <c r="H293" i="4"/>
  <c r="G293" i="4"/>
  <c r="L292" i="4"/>
  <c r="K292" i="4"/>
  <c r="J292" i="4"/>
  <c r="I292" i="4"/>
  <c r="H292" i="4"/>
  <c r="G292" i="4"/>
  <c r="J291" i="4"/>
  <c r="L291" i="4" s="1"/>
  <c r="M291" i="4" s="1"/>
  <c r="N291" i="4" s="1"/>
  <c r="I291" i="4"/>
  <c r="K291" i="4" s="1"/>
  <c r="H291" i="4"/>
  <c r="G291" i="4"/>
  <c r="L290" i="4"/>
  <c r="K290" i="4"/>
  <c r="J290" i="4"/>
  <c r="I290" i="4"/>
  <c r="H290" i="4"/>
  <c r="G290" i="4"/>
  <c r="L289" i="4"/>
  <c r="K289" i="4"/>
  <c r="M289" i="4" s="1"/>
  <c r="N289" i="4" s="1"/>
  <c r="J289" i="4"/>
  <c r="I289" i="4"/>
  <c r="H289" i="4"/>
  <c r="G289" i="4"/>
  <c r="K288" i="4"/>
  <c r="J288" i="4"/>
  <c r="L288" i="4" s="1"/>
  <c r="M288" i="4" s="1"/>
  <c r="N288" i="4" s="1"/>
  <c r="I288" i="4"/>
  <c r="H288" i="4"/>
  <c r="G288" i="4"/>
  <c r="L287" i="4"/>
  <c r="J287" i="4"/>
  <c r="I287" i="4"/>
  <c r="K287" i="4" s="1"/>
  <c r="H287" i="4"/>
  <c r="G287" i="4"/>
  <c r="L286" i="4"/>
  <c r="M286" i="4" s="1"/>
  <c r="N286" i="4" s="1"/>
  <c r="K286" i="4"/>
  <c r="J286" i="4"/>
  <c r="I286" i="4"/>
  <c r="H286" i="4"/>
  <c r="G286" i="4"/>
  <c r="L285" i="4"/>
  <c r="M285" i="4" s="1"/>
  <c r="N285" i="4" s="1"/>
  <c r="K285" i="4"/>
  <c r="J285" i="4"/>
  <c r="I285" i="4"/>
  <c r="H285" i="4"/>
  <c r="G285" i="4"/>
  <c r="L284" i="4"/>
  <c r="J284" i="4"/>
  <c r="I284" i="4"/>
  <c r="K284" i="4" s="1"/>
  <c r="H284" i="4"/>
  <c r="G284" i="4"/>
  <c r="N283" i="4"/>
  <c r="M283" i="4"/>
  <c r="L283" i="4"/>
  <c r="K283" i="4"/>
  <c r="J283" i="4"/>
  <c r="I283" i="4"/>
  <c r="H283" i="4"/>
  <c r="G283" i="4"/>
  <c r="L282" i="4"/>
  <c r="J282" i="4"/>
  <c r="I282" i="4"/>
  <c r="K282" i="4" s="1"/>
  <c r="H282" i="4"/>
  <c r="G282" i="4"/>
  <c r="L281" i="4"/>
  <c r="K281" i="4"/>
  <c r="J281" i="4"/>
  <c r="I281" i="4"/>
  <c r="H281" i="4"/>
  <c r="G281" i="4"/>
  <c r="L280" i="4"/>
  <c r="K280" i="4"/>
  <c r="J280" i="4"/>
  <c r="I280" i="4"/>
  <c r="H280" i="4"/>
  <c r="G280" i="4"/>
  <c r="J279" i="4"/>
  <c r="L279" i="4" s="1"/>
  <c r="M279" i="4" s="1"/>
  <c r="N279" i="4" s="1"/>
  <c r="I279" i="4"/>
  <c r="K279" i="4" s="1"/>
  <c r="H279" i="4"/>
  <c r="G279" i="4"/>
  <c r="L278" i="4"/>
  <c r="M278" i="4" s="1"/>
  <c r="N278" i="4" s="1"/>
  <c r="K278" i="4"/>
  <c r="J278" i="4"/>
  <c r="I278" i="4"/>
  <c r="H278" i="4"/>
  <c r="G278" i="4"/>
  <c r="L277" i="4"/>
  <c r="K277" i="4"/>
  <c r="M277" i="4" s="1"/>
  <c r="N277" i="4" s="1"/>
  <c r="J277" i="4"/>
  <c r="I277" i="4"/>
  <c r="H277" i="4"/>
  <c r="G277" i="4"/>
  <c r="K276" i="4"/>
  <c r="J276" i="4"/>
  <c r="L276" i="4" s="1"/>
  <c r="M276" i="4" s="1"/>
  <c r="N276" i="4" s="1"/>
  <c r="I276" i="4"/>
  <c r="H276" i="4"/>
  <c r="G276" i="4"/>
  <c r="L275" i="4"/>
  <c r="J275" i="4"/>
  <c r="I275" i="4"/>
  <c r="K275" i="4" s="1"/>
  <c r="H275" i="4"/>
  <c r="G275" i="4"/>
  <c r="L274" i="4"/>
  <c r="M274" i="4" s="1"/>
  <c r="N274" i="4" s="1"/>
  <c r="K274" i="4"/>
  <c r="J274" i="4"/>
  <c r="I274" i="4"/>
  <c r="H274" i="4"/>
  <c r="G274" i="4"/>
  <c r="L273" i="4"/>
  <c r="K273" i="4"/>
  <c r="J273" i="4"/>
  <c r="I273" i="4"/>
  <c r="H273" i="4"/>
  <c r="G273" i="4"/>
  <c r="L272" i="4"/>
  <c r="J272" i="4"/>
  <c r="I272" i="4"/>
  <c r="K272" i="4" s="1"/>
  <c r="H272" i="4"/>
  <c r="G272" i="4"/>
  <c r="N271" i="4"/>
  <c r="M271" i="4"/>
  <c r="L271" i="4"/>
  <c r="K271" i="4"/>
  <c r="J271" i="4"/>
  <c r="I271" i="4"/>
  <c r="H271" i="4"/>
  <c r="G271" i="4"/>
  <c r="L270" i="4"/>
  <c r="M270" i="4" s="1"/>
  <c r="N270" i="4" s="1"/>
  <c r="J270" i="4"/>
  <c r="I270" i="4"/>
  <c r="K270" i="4" s="1"/>
  <c r="H270" i="4"/>
  <c r="G270" i="4"/>
  <c r="L269" i="4"/>
  <c r="K269" i="4"/>
  <c r="J269" i="4"/>
  <c r="I269" i="4"/>
  <c r="H269" i="4"/>
  <c r="G269" i="4"/>
  <c r="L268" i="4"/>
  <c r="K268" i="4"/>
  <c r="J268" i="4"/>
  <c r="I268" i="4"/>
  <c r="H268" i="4"/>
  <c r="G268" i="4"/>
  <c r="J267" i="4"/>
  <c r="L267" i="4" s="1"/>
  <c r="I267" i="4"/>
  <c r="K267" i="4" s="1"/>
  <c r="H267" i="4"/>
  <c r="G267" i="4"/>
  <c r="L266" i="4"/>
  <c r="M266" i="4" s="1"/>
  <c r="N266" i="4" s="1"/>
  <c r="K266" i="4"/>
  <c r="J266" i="4"/>
  <c r="I266" i="4"/>
  <c r="H266" i="4"/>
  <c r="G266" i="4"/>
  <c r="L265" i="4"/>
  <c r="K265" i="4"/>
  <c r="M265" i="4" s="1"/>
  <c r="N265" i="4" s="1"/>
  <c r="J265" i="4"/>
  <c r="I265" i="4"/>
  <c r="H265" i="4"/>
  <c r="G265" i="4"/>
  <c r="K264" i="4"/>
  <c r="J264" i="4"/>
  <c r="L264" i="4" s="1"/>
  <c r="M264" i="4" s="1"/>
  <c r="N264" i="4" s="1"/>
  <c r="I264" i="4"/>
  <c r="H264" i="4"/>
  <c r="G264" i="4"/>
  <c r="L263" i="4"/>
  <c r="J263" i="4"/>
  <c r="I263" i="4"/>
  <c r="K263" i="4" s="1"/>
  <c r="H263" i="4"/>
  <c r="G263" i="4"/>
  <c r="L262" i="4"/>
  <c r="M262" i="4" s="1"/>
  <c r="N262" i="4" s="1"/>
  <c r="K262" i="4"/>
  <c r="J262" i="4"/>
  <c r="I262" i="4"/>
  <c r="H262" i="4"/>
  <c r="G262" i="4"/>
  <c r="L261" i="4"/>
  <c r="M261" i="4" s="1"/>
  <c r="N261" i="4" s="1"/>
  <c r="K261" i="4"/>
  <c r="J261" i="4"/>
  <c r="I261" i="4"/>
  <c r="H261" i="4"/>
  <c r="G261" i="4"/>
  <c r="L260" i="4"/>
  <c r="J260" i="4"/>
  <c r="I260" i="4"/>
  <c r="K260" i="4" s="1"/>
  <c r="H260" i="4"/>
  <c r="G260" i="4"/>
  <c r="N259" i="4"/>
  <c r="M259" i="4"/>
  <c r="L259" i="4"/>
  <c r="K259" i="4"/>
  <c r="J259" i="4"/>
  <c r="I259" i="4"/>
  <c r="H259" i="4"/>
  <c r="G259" i="4"/>
  <c r="L258" i="4"/>
  <c r="M258" i="4" s="1"/>
  <c r="N258" i="4" s="1"/>
  <c r="J258" i="4"/>
  <c r="I258" i="4"/>
  <c r="K258" i="4" s="1"/>
  <c r="H258" i="4"/>
  <c r="G258" i="4"/>
  <c r="L257" i="4"/>
  <c r="K257" i="4"/>
  <c r="J257" i="4"/>
  <c r="I257" i="4"/>
  <c r="H257" i="4"/>
  <c r="G257" i="4"/>
  <c r="L256" i="4"/>
  <c r="K256" i="4"/>
  <c r="J256" i="4"/>
  <c r="I256" i="4"/>
  <c r="H256" i="4"/>
  <c r="G256" i="4"/>
  <c r="J255" i="4"/>
  <c r="L255" i="4" s="1"/>
  <c r="M255" i="4" s="1"/>
  <c r="N255" i="4" s="1"/>
  <c r="I255" i="4"/>
  <c r="K255" i="4" s="1"/>
  <c r="H255" i="4"/>
  <c r="G255" i="4"/>
  <c r="L254" i="4"/>
  <c r="K254" i="4"/>
  <c r="J254" i="4"/>
  <c r="I254" i="4"/>
  <c r="H254" i="4"/>
  <c r="G254" i="4"/>
  <c r="L253" i="4"/>
  <c r="K253" i="4"/>
  <c r="M253" i="4" s="1"/>
  <c r="N253" i="4" s="1"/>
  <c r="J253" i="4"/>
  <c r="I253" i="4"/>
  <c r="H253" i="4"/>
  <c r="G253" i="4"/>
  <c r="K252" i="4"/>
  <c r="J252" i="4"/>
  <c r="L252" i="4" s="1"/>
  <c r="M252" i="4" s="1"/>
  <c r="N252" i="4" s="1"/>
  <c r="I252" i="4"/>
  <c r="H252" i="4"/>
  <c r="G252" i="4"/>
  <c r="L251" i="4"/>
  <c r="J251" i="4"/>
  <c r="I251" i="4"/>
  <c r="K251" i="4" s="1"/>
  <c r="M251" i="4" s="1"/>
  <c r="N251" i="4" s="1"/>
  <c r="H251" i="4"/>
  <c r="G251" i="4"/>
  <c r="L250" i="4"/>
  <c r="J250" i="4"/>
  <c r="I250" i="4"/>
  <c r="K250" i="4" s="1"/>
  <c r="M250" i="4" s="1"/>
  <c r="N250" i="4" s="1"/>
  <c r="H250" i="4"/>
  <c r="G250" i="4"/>
  <c r="M249" i="4"/>
  <c r="N249" i="4" s="1"/>
  <c r="L249" i="4"/>
  <c r="K249" i="4"/>
  <c r="J249" i="4"/>
  <c r="I249" i="4"/>
  <c r="H249" i="4"/>
  <c r="G249" i="4"/>
  <c r="L248" i="4"/>
  <c r="K248" i="4"/>
  <c r="M248" i="4" s="1"/>
  <c r="N248" i="4" s="1"/>
  <c r="J248" i="4"/>
  <c r="I248" i="4"/>
  <c r="H248" i="4"/>
  <c r="G248" i="4"/>
  <c r="L247" i="4"/>
  <c r="J247" i="4"/>
  <c r="I247" i="4"/>
  <c r="K247" i="4" s="1"/>
  <c r="H247" i="4"/>
  <c r="G247" i="4"/>
  <c r="K246" i="4"/>
  <c r="J246" i="4"/>
  <c r="L246" i="4" s="1"/>
  <c r="M246" i="4" s="1"/>
  <c r="N246" i="4" s="1"/>
  <c r="I246" i="4"/>
  <c r="H246" i="4"/>
  <c r="G246" i="4"/>
  <c r="J245" i="4"/>
  <c r="L245" i="4" s="1"/>
  <c r="I245" i="4"/>
  <c r="K245" i="4" s="1"/>
  <c r="H245" i="4"/>
  <c r="G245" i="4"/>
  <c r="M244" i="4"/>
  <c r="N244" i="4" s="1"/>
  <c r="L244" i="4"/>
  <c r="J244" i="4"/>
  <c r="I244" i="4"/>
  <c r="K244" i="4" s="1"/>
  <c r="H244" i="4"/>
  <c r="G244" i="4"/>
  <c r="J243" i="4"/>
  <c r="L243" i="4" s="1"/>
  <c r="M243" i="4" s="1"/>
  <c r="N243" i="4" s="1"/>
  <c r="I243" i="4"/>
  <c r="K243" i="4" s="1"/>
  <c r="H243" i="4"/>
  <c r="G243" i="4"/>
  <c r="J242" i="4"/>
  <c r="L242" i="4" s="1"/>
  <c r="I242" i="4"/>
  <c r="K242" i="4" s="1"/>
  <c r="H242" i="4"/>
  <c r="G242" i="4"/>
  <c r="L241" i="4"/>
  <c r="J241" i="4"/>
  <c r="I241" i="4"/>
  <c r="K241" i="4" s="1"/>
  <c r="M241" i="4" s="1"/>
  <c r="N241" i="4" s="1"/>
  <c r="H241" i="4"/>
  <c r="G241" i="4"/>
  <c r="J240" i="4"/>
  <c r="L240" i="4" s="1"/>
  <c r="M240" i="4" s="1"/>
  <c r="N240" i="4" s="1"/>
  <c r="I240" i="4"/>
  <c r="K240" i="4" s="1"/>
  <c r="H240" i="4"/>
  <c r="G240" i="4"/>
  <c r="J239" i="4"/>
  <c r="L239" i="4" s="1"/>
  <c r="M239" i="4" s="1"/>
  <c r="N239" i="4" s="1"/>
  <c r="I239" i="4"/>
  <c r="K239" i="4" s="1"/>
  <c r="H239" i="4"/>
  <c r="G239" i="4"/>
  <c r="M238" i="4"/>
  <c r="N238" i="4" s="1"/>
  <c r="L238" i="4"/>
  <c r="J238" i="4"/>
  <c r="I238" i="4"/>
  <c r="K238" i="4" s="1"/>
  <c r="H238" i="4"/>
  <c r="G238" i="4"/>
  <c r="J237" i="4"/>
  <c r="L237" i="4" s="1"/>
  <c r="M237" i="4" s="1"/>
  <c r="N237" i="4" s="1"/>
  <c r="I237" i="4"/>
  <c r="K237" i="4" s="1"/>
  <c r="H237" i="4"/>
  <c r="G237" i="4"/>
  <c r="J236" i="4"/>
  <c r="L236" i="4" s="1"/>
  <c r="M236" i="4" s="1"/>
  <c r="N236" i="4" s="1"/>
  <c r="I236" i="4"/>
  <c r="K236" i="4" s="1"/>
  <c r="H236" i="4"/>
  <c r="G236" i="4"/>
  <c r="L235" i="4"/>
  <c r="J235" i="4"/>
  <c r="I235" i="4"/>
  <c r="K235" i="4" s="1"/>
  <c r="M235" i="4" s="1"/>
  <c r="N235" i="4" s="1"/>
  <c r="H235" i="4"/>
  <c r="G235" i="4"/>
  <c r="J234" i="4"/>
  <c r="L234" i="4" s="1"/>
  <c r="I234" i="4"/>
  <c r="K234" i="4" s="1"/>
  <c r="H234" i="4"/>
  <c r="G234" i="4"/>
  <c r="J233" i="4"/>
  <c r="L233" i="4" s="1"/>
  <c r="I233" i="4"/>
  <c r="K233" i="4" s="1"/>
  <c r="H233" i="4"/>
  <c r="G233" i="4"/>
  <c r="M232" i="4"/>
  <c r="N232" i="4" s="1"/>
  <c r="L232" i="4"/>
  <c r="J232" i="4"/>
  <c r="I232" i="4"/>
  <c r="K232" i="4" s="1"/>
  <c r="H232" i="4"/>
  <c r="G232" i="4"/>
  <c r="J231" i="4"/>
  <c r="L231" i="4" s="1"/>
  <c r="M231" i="4" s="1"/>
  <c r="N231" i="4" s="1"/>
  <c r="I231" i="4"/>
  <c r="K231" i="4" s="1"/>
  <c r="H231" i="4"/>
  <c r="G231" i="4"/>
  <c r="K230" i="4"/>
  <c r="J230" i="4"/>
  <c r="L230" i="4" s="1"/>
  <c r="M230" i="4" s="1"/>
  <c r="N230" i="4" s="1"/>
  <c r="I230" i="4"/>
  <c r="H230" i="4"/>
  <c r="G230" i="4"/>
  <c r="M229" i="4"/>
  <c r="N229" i="4" s="1"/>
  <c r="L229" i="4"/>
  <c r="J229" i="4"/>
  <c r="I229" i="4"/>
  <c r="K229" i="4" s="1"/>
  <c r="H229" i="4"/>
  <c r="G229" i="4"/>
  <c r="J228" i="4"/>
  <c r="L228" i="4" s="1"/>
  <c r="I228" i="4"/>
  <c r="K228" i="4" s="1"/>
  <c r="H228" i="4"/>
  <c r="G228" i="4"/>
  <c r="J227" i="4"/>
  <c r="L227" i="4" s="1"/>
  <c r="I227" i="4"/>
  <c r="K227" i="4" s="1"/>
  <c r="H227" i="4"/>
  <c r="G227" i="4"/>
  <c r="L226" i="4"/>
  <c r="J226" i="4"/>
  <c r="I226" i="4"/>
  <c r="K226" i="4" s="1"/>
  <c r="M226" i="4" s="1"/>
  <c r="N226" i="4" s="1"/>
  <c r="H226" i="4"/>
  <c r="G226" i="4"/>
  <c r="J225" i="4"/>
  <c r="L225" i="4" s="1"/>
  <c r="M225" i="4" s="1"/>
  <c r="N225" i="4" s="1"/>
  <c r="I225" i="4"/>
  <c r="K225" i="4" s="1"/>
  <c r="H225" i="4"/>
  <c r="G225" i="4"/>
  <c r="K224" i="4"/>
  <c r="J224" i="4"/>
  <c r="L224" i="4" s="1"/>
  <c r="M224" i="4" s="1"/>
  <c r="N224" i="4" s="1"/>
  <c r="I224" i="4"/>
  <c r="H224" i="4"/>
  <c r="G224" i="4"/>
  <c r="M223" i="4"/>
  <c r="N223" i="4" s="1"/>
  <c r="L223" i="4"/>
  <c r="J223" i="4"/>
  <c r="I223" i="4"/>
  <c r="K223" i="4" s="1"/>
  <c r="H223" i="4"/>
  <c r="G223" i="4"/>
  <c r="J222" i="4"/>
  <c r="L222" i="4" s="1"/>
  <c r="I222" i="4"/>
  <c r="K222" i="4" s="1"/>
  <c r="H222" i="4"/>
  <c r="G222" i="4"/>
  <c r="J221" i="4"/>
  <c r="L221" i="4" s="1"/>
  <c r="M221" i="4" s="1"/>
  <c r="N221" i="4" s="1"/>
  <c r="I221" i="4"/>
  <c r="K221" i="4" s="1"/>
  <c r="H221" i="4"/>
  <c r="G221" i="4"/>
  <c r="L220" i="4"/>
  <c r="J220" i="4"/>
  <c r="I220" i="4"/>
  <c r="K220" i="4" s="1"/>
  <c r="M220" i="4" s="1"/>
  <c r="N220" i="4" s="1"/>
  <c r="H220" i="4"/>
  <c r="G220" i="4"/>
  <c r="J219" i="4"/>
  <c r="L219" i="4" s="1"/>
  <c r="M219" i="4" s="1"/>
  <c r="N219" i="4" s="1"/>
  <c r="I219" i="4"/>
  <c r="K219" i="4" s="1"/>
  <c r="H219" i="4"/>
  <c r="G219" i="4"/>
  <c r="J218" i="4"/>
  <c r="L218" i="4" s="1"/>
  <c r="M218" i="4" s="1"/>
  <c r="N218" i="4" s="1"/>
  <c r="I218" i="4"/>
  <c r="K218" i="4" s="1"/>
  <c r="H218" i="4"/>
  <c r="G218" i="4"/>
  <c r="L217" i="4"/>
  <c r="J217" i="4"/>
  <c r="I217" i="4"/>
  <c r="K217" i="4" s="1"/>
  <c r="M217" i="4" s="1"/>
  <c r="N217" i="4" s="1"/>
  <c r="H217" i="4"/>
  <c r="G217" i="4"/>
  <c r="J216" i="4"/>
  <c r="L216" i="4" s="1"/>
  <c r="I216" i="4"/>
  <c r="K216" i="4" s="1"/>
  <c r="H216" i="4"/>
  <c r="G216" i="4"/>
  <c r="K215" i="4"/>
  <c r="J215" i="4"/>
  <c r="L215" i="4" s="1"/>
  <c r="M215" i="4" s="1"/>
  <c r="N215" i="4" s="1"/>
  <c r="I215" i="4"/>
  <c r="H215" i="4"/>
  <c r="G215" i="4"/>
  <c r="L214" i="4"/>
  <c r="J214" i="4"/>
  <c r="I214" i="4"/>
  <c r="K214" i="4" s="1"/>
  <c r="M214" i="4" s="1"/>
  <c r="N214" i="4" s="1"/>
  <c r="H214" i="4"/>
  <c r="G214" i="4"/>
  <c r="J213" i="4"/>
  <c r="L213" i="4" s="1"/>
  <c r="I213" i="4"/>
  <c r="K213" i="4" s="1"/>
  <c r="H213" i="4"/>
  <c r="G213" i="4"/>
  <c r="K212" i="4"/>
  <c r="J212" i="4"/>
  <c r="L212" i="4" s="1"/>
  <c r="M212" i="4" s="1"/>
  <c r="N212" i="4" s="1"/>
  <c r="I212" i="4"/>
  <c r="H212" i="4"/>
  <c r="G212" i="4"/>
  <c r="L211" i="4"/>
  <c r="J211" i="4"/>
  <c r="I211" i="4"/>
  <c r="K211" i="4" s="1"/>
  <c r="M211" i="4" s="1"/>
  <c r="N211" i="4" s="1"/>
  <c r="H211" i="4"/>
  <c r="G211" i="4"/>
  <c r="J210" i="4"/>
  <c r="L210" i="4" s="1"/>
  <c r="I210" i="4"/>
  <c r="K210" i="4" s="1"/>
  <c r="H210" i="4"/>
  <c r="G210" i="4"/>
  <c r="K209" i="4"/>
  <c r="J209" i="4"/>
  <c r="L209" i="4" s="1"/>
  <c r="M209" i="4" s="1"/>
  <c r="N209" i="4" s="1"/>
  <c r="I209" i="4"/>
  <c r="H209" i="4"/>
  <c r="G209" i="4"/>
  <c r="L208" i="4"/>
  <c r="J208" i="4"/>
  <c r="I208" i="4"/>
  <c r="K208" i="4" s="1"/>
  <c r="M208" i="4" s="1"/>
  <c r="N208" i="4" s="1"/>
  <c r="H208" i="4"/>
  <c r="G208" i="4"/>
  <c r="J207" i="4"/>
  <c r="L207" i="4" s="1"/>
  <c r="I207" i="4"/>
  <c r="K207" i="4" s="1"/>
  <c r="H207" i="4"/>
  <c r="G207" i="4"/>
  <c r="K206" i="4"/>
  <c r="J206" i="4"/>
  <c r="L206" i="4" s="1"/>
  <c r="M206" i="4" s="1"/>
  <c r="N206" i="4" s="1"/>
  <c r="I206" i="4"/>
  <c r="H206" i="4"/>
  <c r="G206" i="4"/>
  <c r="L205" i="4"/>
  <c r="J205" i="4"/>
  <c r="I205" i="4"/>
  <c r="K205" i="4" s="1"/>
  <c r="M205" i="4" s="1"/>
  <c r="N205" i="4" s="1"/>
  <c r="H205" i="4"/>
  <c r="G205" i="4"/>
  <c r="J204" i="4"/>
  <c r="L204" i="4" s="1"/>
  <c r="I204" i="4"/>
  <c r="K204" i="4" s="1"/>
  <c r="H204" i="4"/>
  <c r="G204" i="4"/>
  <c r="K203" i="4"/>
  <c r="J203" i="4"/>
  <c r="L203" i="4" s="1"/>
  <c r="M203" i="4" s="1"/>
  <c r="N203" i="4" s="1"/>
  <c r="I203" i="4"/>
  <c r="H203" i="4"/>
  <c r="G203" i="4"/>
  <c r="L202" i="4"/>
  <c r="J202" i="4"/>
  <c r="I202" i="4"/>
  <c r="K202" i="4" s="1"/>
  <c r="M202" i="4" s="1"/>
  <c r="N202" i="4" s="1"/>
  <c r="H202" i="4"/>
  <c r="G202" i="4"/>
  <c r="J201" i="4"/>
  <c r="L201" i="4" s="1"/>
  <c r="I201" i="4"/>
  <c r="K201" i="4" s="1"/>
  <c r="H201" i="4"/>
  <c r="G201" i="4"/>
  <c r="K200" i="4"/>
  <c r="J200" i="4"/>
  <c r="L200" i="4" s="1"/>
  <c r="M200" i="4" s="1"/>
  <c r="N200" i="4" s="1"/>
  <c r="I200" i="4"/>
  <c r="H200" i="4"/>
  <c r="G200" i="4"/>
  <c r="L199" i="4"/>
  <c r="J199" i="4"/>
  <c r="I199" i="4"/>
  <c r="K199" i="4" s="1"/>
  <c r="M199" i="4" s="1"/>
  <c r="N199" i="4" s="1"/>
  <c r="H199" i="4"/>
  <c r="G199" i="4"/>
  <c r="J198" i="4"/>
  <c r="L198" i="4" s="1"/>
  <c r="I198" i="4"/>
  <c r="K198" i="4" s="1"/>
  <c r="H198" i="4"/>
  <c r="G198" i="4"/>
  <c r="K197" i="4"/>
  <c r="J197" i="4"/>
  <c r="L197" i="4" s="1"/>
  <c r="M197" i="4" s="1"/>
  <c r="N197" i="4" s="1"/>
  <c r="I197" i="4"/>
  <c r="H197" i="4"/>
  <c r="G197" i="4"/>
  <c r="L196" i="4"/>
  <c r="J196" i="4"/>
  <c r="I196" i="4"/>
  <c r="K196" i="4" s="1"/>
  <c r="M196" i="4" s="1"/>
  <c r="N196" i="4" s="1"/>
  <c r="H196" i="4"/>
  <c r="G196" i="4"/>
  <c r="J195" i="4"/>
  <c r="L195" i="4" s="1"/>
  <c r="I195" i="4"/>
  <c r="K195" i="4" s="1"/>
  <c r="H195" i="4"/>
  <c r="G195" i="4"/>
  <c r="L194" i="4"/>
  <c r="M194" i="4" s="1"/>
  <c r="N194" i="4" s="1"/>
  <c r="K194" i="4"/>
  <c r="J194" i="4"/>
  <c r="I194" i="4"/>
  <c r="H194" i="4"/>
  <c r="G194" i="4"/>
  <c r="N193" i="4"/>
  <c r="M193" i="4"/>
  <c r="L193" i="4"/>
  <c r="K193" i="4"/>
  <c r="J193" i="4"/>
  <c r="I193" i="4"/>
  <c r="H193" i="4"/>
  <c r="G193" i="4"/>
  <c r="J192" i="4"/>
  <c r="L192" i="4" s="1"/>
  <c r="M192" i="4" s="1"/>
  <c r="N192" i="4" s="1"/>
  <c r="I192" i="4"/>
  <c r="K192" i="4" s="1"/>
  <c r="H192" i="4"/>
  <c r="G192" i="4"/>
  <c r="L191" i="4"/>
  <c r="M191" i="4" s="1"/>
  <c r="N191" i="4" s="1"/>
  <c r="K191" i="4"/>
  <c r="J191" i="4"/>
  <c r="I191" i="4"/>
  <c r="H191" i="4"/>
  <c r="G191" i="4"/>
  <c r="M190" i="4"/>
  <c r="N190" i="4" s="1"/>
  <c r="L190" i="4"/>
  <c r="K190" i="4"/>
  <c r="J190" i="4"/>
  <c r="I190" i="4"/>
  <c r="H190" i="4"/>
  <c r="G190" i="4"/>
  <c r="J189" i="4"/>
  <c r="L189" i="4" s="1"/>
  <c r="I189" i="4"/>
  <c r="K189" i="4" s="1"/>
  <c r="H189" i="4"/>
  <c r="G189" i="4"/>
  <c r="L188" i="4"/>
  <c r="M188" i="4" s="1"/>
  <c r="N188" i="4" s="1"/>
  <c r="K188" i="4"/>
  <c r="J188" i="4"/>
  <c r="I188" i="4"/>
  <c r="H188" i="4"/>
  <c r="G188" i="4"/>
  <c r="N187" i="4"/>
  <c r="M187" i="4"/>
  <c r="L187" i="4"/>
  <c r="K187" i="4"/>
  <c r="J187" i="4"/>
  <c r="I187" i="4"/>
  <c r="H187" i="4"/>
  <c r="G187" i="4"/>
  <c r="J186" i="4"/>
  <c r="L186" i="4" s="1"/>
  <c r="M186" i="4" s="1"/>
  <c r="N186" i="4" s="1"/>
  <c r="I186" i="4"/>
  <c r="K186" i="4" s="1"/>
  <c r="H186" i="4"/>
  <c r="G186" i="4"/>
  <c r="L185" i="4"/>
  <c r="M185" i="4" s="1"/>
  <c r="N185" i="4" s="1"/>
  <c r="K185" i="4"/>
  <c r="J185" i="4"/>
  <c r="I185" i="4"/>
  <c r="H185" i="4"/>
  <c r="G185" i="4"/>
  <c r="M184" i="4"/>
  <c r="N184" i="4" s="1"/>
  <c r="L184" i="4"/>
  <c r="K184" i="4"/>
  <c r="J184" i="4"/>
  <c r="I184" i="4"/>
  <c r="H184" i="4"/>
  <c r="G184" i="4"/>
  <c r="J183" i="4"/>
  <c r="L183" i="4" s="1"/>
  <c r="I183" i="4"/>
  <c r="K183" i="4" s="1"/>
  <c r="H183" i="4"/>
  <c r="G183" i="4"/>
  <c r="L182" i="4"/>
  <c r="M182" i="4" s="1"/>
  <c r="N182" i="4" s="1"/>
  <c r="K182" i="4"/>
  <c r="J182" i="4"/>
  <c r="I182" i="4"/>
  <c r="H182" i="4"/>
  <c r="G182" i="4"/>
  <c r="N181" i="4"/>
  <c r="M181" i="4"/>
  <c r="L181" i="4"/>
  <c r="K181" i="4"/>
  <c r="J181" i="4"/>
  <c r="I181" i="4"/>
  <c r="H181" i="4"/>
  <c r="G181" i="4"/>
  <c r="J180" i="4"/>
  <c r="L180" i="4" s="1"/>
  <c r="M180" i="4" s="1"/>
  <c r="N180" i="4" s="1"/>
  <c r="I180" i="4"/>
  <c r="K180" i="4" s="1"/>
  <c r="H180" i="4"/>
  <c r="G180" i="4"/>
  <c r="L179" i="4"/>
  <c r="M179" i="4" s="1"/>
  <c r="N179" i="4" s="1"/>
  <c r="K179" i="4"/>
  <c r="J179" i="4"/>
  <c r="I179" i="4"/>
  <c r="H179" i="4"/>
  <c r="G179" i="4"/>
  <c r="M178" i="4"/>
  <c r="N178" i="4" s="1"/>
  <c r="L178" i="4"/>
  <c r="K178" i="4"/>
  <c r="J178" i="4"/>
  <c r="I178" i="4"/>
  <c r="H178" i="4"/>
  <c r="G178" i="4"/>
  <c r="J177" i="4"/>
  <c r="L177" i="4" s="1"/>
  <c r="I177" i="4"/>
  <c r="K177" i="4" s="1"/>
  <c r="H177" i="4"/>
  <c r="G177" i="4"/>
  <c r="L176" i="4"/>
  <c r="M176" i="4" s="1"/>
  <c r="N176" i="4" s="1"/>
  <c r="K176" i="4"/>
  <c r="J176" i="4"/>
  <c r="I176" i="4"/>
  <c r="H176" i="4"/>
  <c r="G176" i="4"/>
  <c r="N175" i="4"/>
  <c r="M175" i="4"/>
  <c r="L175" i="4"/>
  <c r="K175" i="4"/>
  <c r="J175" i="4"/>
  <c r="I175" i="4"/>
  <c r="H175" i="4"/>
  <c r="G175" i="4"/>
  <c r="J174" i="4"/>
  <c r="L174" i="4" s="1"/>
  <c r="M174" i="4" s="1"/>
  <c r="N174" i="4" s="1"/>
  <c r="I174" i="4"/>
  <c r="K174" i="4" s="1"/>
  <c r="H174" i="4"/>
  <c r="G174" i="4"/>
  <c r="L173" i="4"/>
  <c r="M173" i="4" s="1"/>
  <c r="N173" i="4" s="1"/>
  <c r="K173" i="4"/>
  <c r="J173" i="4"/>
  <c r="I173" i="4"/>
  <c r="H173" i="4"/>
  <c r="G173" i="4"/>
  <c r="M172" i="4"/>
  <c r="N172" i="4" s="1"/>
  <c r="L172" i="4"/>
  <c r="K172" i="4"/>
  <c r="J172" i="4"/>
  <c r="I172" i="4"/>
  <c r="H172" i="4"/>
  <c r="G172" i="4"/>
  <c r="J171" i="4"/>
  <c r="L171" i="4" s="1"/>
  <c r="I171" i="4"/>
  <c r="K171" i="4" s="1"/>
  <c r="H171" i="4"/>
  <c r="G171" i="4"/>
  <c r="L170" i="4"/>
  <c r="M170" i="4" s="1"/>
  <c r="N170" i="4" s="1"/>
  <c r="K170" i="4"/>
  <c r="J170" i="4"/>
  <c r="I170" i="4"/>
  <c r="H170" i="4"/>
  <c r="G170" i="4"/>
  <c r="N169" i="4"/>
  <c r="M169" i="4"/>
  <c r="L169" i="4"/>
  <c r="K169" i="4"/>
  <c r="J169" i="4"/>
  <c r="I169" i="4"/>
  <c r="H169" i="4"/>
  <c r="G169" i="4"/>
  <c r="J168" i="4"/>
  <c r="L168" i="4" s="1"/>
  <c r="M168" i="4" s="1"/>
  <c r="N168" i="4" s="1"/>
  <c r="I168" i="4"/>
  <c r="K168" i="4" s="1"/>
  <c r="H168" i="4"/>
  <c r="G168" i="4"/>
  <c r="L167" i="4"/>
  <c r="M167" i="4" s="1"/>
  <c r="N167" i="4" s="1"/>
  <c r="K167" i="4"/>
  <c r="J167" i="4"/>
  <c r="I167" i="4"/>
  <c r="H167" i="4"/>
  <c r="G167" i="4"/>
  <c r="M166" i="4"/>
  <c r="N166" i="4" s="1"/>
  <c r="L166" i="4"/>
  <c r="K166" i="4"/>
  <c r="J166" i="4"/>
  <c r="I166" i="4"/>
  <c r="H166" i="4"/>
  <c r="G166" i="4"/>
  <c r="J165" i="4"/>
  <c r="L165" i="4" s="1"/>
  <c r="I165" i="4"/>
  <c r="K165" i="4" s="1"/>
  <c r="H165" i="4"/>
  <c r="G165" i="4"/>
  <c r="L164" i="4"/>
  <c r="M164" i="4" s="1"/>
  <c r="N164" i="4" s="1"/>
  <c r="K164" i="4"/>
  <c r="J164" i="4"/>
  <c r="I164" i="4"/>
  <c r="H164" i="4"/>
  <c r="G164" i="4"/>
  <c r="N163" i="4"/>
  <c r="M163" i="4"/>
  <c r="L163" i="4"/>
  <c r="K163" i="4"/>
  <c r="J163" i="4"/>
  <c r="I163" i="4"/>
  <c r="H163" i="4"/>
  <c r="G163" i="4"/>
  <c r="J162" i="4"/>
  <c r="L162" i="4" s="1"/>
  <c r="M162" i="4" s="1"/>
  <c r="N162" i="4" s="1"/>
  <c r="I162" i="4"/>
  <c r="K162" i="4" s="1"/>
  <c r="H162" i="4"/>
  <c r="G162" i="4"/>
  <c r="L161" i="4"/>
  <c r="M161" i="4" s="1"/>
  <c r="N161" i="4" s="1"/>
  <c r="K161" i="4"/>
  <c r="J161" i="4"/>
  <c r="I161" i="4"/>
  <c r="H161" i="4"/>
  <c r="G161" i="4"/>
  <c r="M160" i="4"/>
  <c r="N160" i="4" s="1"/>
  <c r="L160" i="4"/>
  <c r="K160" i="4"/>
  <c r="J160" i="4"/>
  <c r="I160" i="4"/>
  <c r="H160" i="4"/>
  <c r="G160" i="4"/>
  <c r="J159" i="4"/>
  <c r="L159" i="4" s="1"/>
  <c r="I159" i="4"/>
  <c r="K159" i="4" s="1"/>
  <c r="H159" i="4"/>
  <c r="G159" i="4"/>
  <c r="L158" i="4"/>
  <c r="M158" i="4" s="1"/>
  <c r="N158" i="4" s="1"/>
  <c r="K158" i="4"/>
  <c r="J158" i="4"/>
  <c r="I158" i="4"/>
  <c r="H158" i="4"/>
  <c r="G158" i="4"/>
  <c r="N157" i="4"/>
  <c r="M157" i="4"/>
  <c r="L157" i="4"/>
  <c r="K157" i="4"/>
  <c r="J157" i="4"/>
  <c r="I157" i="4"/>
  <c r="H157" i="4"/>
  <c r="G157" i="4"/>
  <c r="J156" i="4"/>
  <c r="L156" i="4" s="1"/>
  <c r="M156" i="4" s="1"/>
  <c r="N156" i="4" s="1"/>
  <c r="I156" i="4"/>
  <c r="K156" i="4" s="1"/>
  <c r="H156" i="4"/>
  <c r="G156" i="4"/>
  <c r="L155" i="4"/>
  <c r="M155" i="4" s="1"/>
  <c r="N155" i="4" s="1"/>
  <c r="K155" i="4"/>
  <c r="J155" i="4"/>
  <c r="I155" i="4"/>
  <c r="H155" i="4"/>
  <c r="G155" i="4"/>
  <c r="M154" i="4"/>
  <c r="N154" i="4" s="1"/>
  <c r="L154" i="4"/>
  <c r="K154" i="4"/>
  <c r="J154" i="4"/>
  <c r="I154" i="4"/>
  <c r="H154" i="4"/>
  <c r="G154" i="4"/>
  <c r="J153" i="4"/>
  <c r="L153" i="4" s="1"/>
  <c r="I153" i="4"/>
  <c r="K153" i="4" s="1"/>
  <c r="H153" i="4"/>
  <c r="G153" i="4"/>
  <c r="L152" i="4"/>
  <c r="M152" i="4" s="1"/>
  <c r="N152" i="4" s="1"/>
  <c r="K152" i="4"/>
  <c r="J152" i="4"/>
  <c r="I152" i="4"/>
  <c r="H152" i="4"/>
  <c r="G152" i="4"/>
  <c r="N151" i="4"/>
  <c r="M151" i="4"/>
  <c r="L151" i="4"/>
  <c r="K151" i="4"/>
  <c r="J151" i="4"/>
  <c r="I151" i="4"/>
  <c r="H151" i="4"/>
  <c r="G151" i="4"/>
  <c r="J150" i="4"/>
  <c r="L150" i="4" s="1"/>
  <c r="M150" i="4" s="1"/>
  <c r="N150" i="4" s="1"/>
  <c r="I150" i="4"/>
  <c r="K150" i="4" s="1"/>
  <c r="H150" i="4"/>
  <c r="G150" i="4"/>
  <c r="L149" i="4"/>
  <c r="M149" i="4" s="1"/>
  <c r="N149" i="4" s="1"/>
  <c r="K149" i="4"/>
  <c r="J149" i="4"/>
  <c r="I149" i="4"/>
  <c r="H149" i="4"/>
  <c r="G149" i="4"/>
  <c r="M148" i="4"/>
  <c r="N148" i="4" s="1"/>
  <c r="L148" i="4"/>
  <c r="K148" i="4"/>
  <c r="J148" i="4"/>
  <c r="I148" i="4"/>
  <c r="H148" i="4"/>
  <c r="G148" i="4"/>
  <c r="J147" i="4"/>
  <c r="L147" i="4" s="1"/>
  <c r="I147" i="4"/>
  <c r="K147" i="4" s="1"/>
  <c r="H147" i="4"/>
  <c r="G147" i="4"/>
  <c r="L146" i="4"/>
  <c r="M146" i="4" s="1"/>
  <c r="N146" i="4" s="1"/>
  <c r="K146" i="4"/>
  <c r="J146" i="4"/>
  <c r="I146" i="4"/>
  <c r="H146" i="4"/>
  <c r="G146" i="4"/>
  <c r="N145" i="4"/>
  <c r="M145" i="4"/>
  <c r="L145" i="4"/>
  <c r="K145" i="4"/>
  <c r="J145" i="4"/>
  <c r="I145" i="4"/>
  <c r="H145" i="4"/>
  <c r="G145" i="4"/>
  <c r="J144" i="4"/>
  <c r="L144" i="4" s="1"/>
  <c r="M144" i="4" s="1"/>
  <c r="N144" i="4" s="1"/>
  <c r="I144" i="4"/>
  <c r="K144" i="4" s="1"/>
  <c r="H144" i="4"/>
  <c r="G144" i="4"/>
  <c r="L143" i="4"/>
  <c r="M143" i="4" s="1"/>
  <c r="N143" i="4" s="1"/>
  <c r="K143" i="4"/>
  <c r="J143" i="4"/>
  <c r="I143" i="4"/>
  <c r="H143" i="4"/>
  <c r="G143" i="4"/>
  <c r="M142" i="4"/>
  <c r="N142" i="4" s="1"/>
  <c r="L142" i="4"/>
  <c r="K142" i="4"/>
  <c r="J142" i="4"/>
  <c r="I142" i="4"/>
  <c r="H142" i="4"/>
  <c r="G142" i="4"/>
  <c r="J141" i="4"/>
  <c r="L141" i="4" s="1"/>
  <c r="I141" i="4"/>
  <c r="K141" i="4" s="1"/>
  <c r="H141" i="4"/>
  <c r="G141" i="4"/>
  <c r="L140" i="4"/>
  <c r="M140" i="4" s="1"/>
  <c r="N140" i="4" s="1"/>
  <c r="K140" i="4"/>
  <c r="J140" i="4"/>
  <c r="I140" i="4"/>
  <c r="H140" i="4"/>
  <c r="G140" i="4"/>
  <c r="N139" i="4"/>
  <c r="M139" i="4"/>
  <c r="L139" i="4"/>
  <c r="K139" i="4"/>
  <c r="J139" i="4"/>
  <c r="I139" i="4"/>
  <c r="H139" i="4"/>
  <c r="G139" i="4"/>
  <c r="J138" i="4"/>
  <c r="L138" i="4" s="1"/>
  <c r="M138" i="4" s="1"/>
  <c r="N138" i="4" s="1"/>
  <c r="I138" i="4"/>
  <c r="K138" i="4" s="1"/>
  <c r="H138" i="4"/>
  <c r="G138" i="4"/>
  <c r="L137" i="4"/>
  <c r="M137" i="4" s="1"/>
  <c r="N137" i="4" s="1"/>
  <c r="K137" i="4"/>
  <c r="J137" i="4"/>
  <c r="I137" i="4"/>
  <c r="H137" i="4"/>
  <c r="G137" i="4"/>
  <c r="M136" i="4"/>
  <c r="N136" i="4" s="1"/>
  <c r="L136" i="4"/>
  <c r="K136" i="4"/>
  <c r="J136" i="4"/>
  <c r="I136" i="4"/>
  <c r="H136" i="4"/>
  <c r="G136" i="4"/>
  <c r="J135" i="4"/>
  <c r="L135" i="4" s="1"/>
  <c r="I135" i="4"/>
  <c r="K135" i="4" s="1"/>
  <c r="H135" i="4"/>
  <c r="G135" i="4"/>
  <c r="L134" i="4"/>
  <c r="M134" i="4" s="1"/>
  <c r="N134" i="4" s="1"/>
  <c r="K134" i="4"/>
  <c r="J134" i="4"/>
  <c r="I134" i="4"/>
  <c r="H134" i="4"/>
  <c r="G134" i="4"/>
  <c r="N133" i="4"/>
  <c r="M133" i="4"/>
  <c r="L133" i="4"/>
  <c r="K133" i="4"/>
  <c r="J133" i="4"/>
  <c r="I133" i="4"/>
  <c r="H133" i="4"/>
  <c r="G133" i="4"/>
  <c r="J132" i="4"/>
  <c r="L132" i="4" s="1"/>
  <c r="M132" i="4" s="1"/>
  <c r="N132" i="4" s="1"/>
  <c r="I132" i="4"/>
  <c r="K132" i="4" s="1"/>
  <c r="H132" i="4"/>
  <c r="G132" i="4"/>
  <c r="L131" i="4"/>
  <c r="M131" i="4" s="1"/>
  <c r="N131" i="4" s="1"/>
  <c r="K131" i="4"/>
  <c r="J131" i="4"/>
  <c r="I131" i="4"/>
  <c r="H131" i="4"/>
  <c r="G131" i="4"/>
  <c r="M130" i="4"/>
  <c r="N130" i="4" s="1"/>
  <c r="L130" i="4"/>
  <c r="K130" i="4"/>
  <c r="J130" i="4"/>
  <c r="I130" i="4"/>
  <c r="H130" i="4"/>
  <c r="G130" i="4"/>
  <c r="J129" i="4"/>
  <c r="L129" i="4" s="1"/>
  <c r="I129" i="4"/>
  <c r="K129" i="4" s="1"/>
  <c r="H129" i="4"/>
  <c r="G129" i="4"/>
  <c r="L128" i="4"/>
  <c r="M128" i="4" s="1"/>
  <c r="N128" i="4" s="1"/>
  <c r="K128" i="4"/>
  <c r="J128" i="4"/>
  <c r="I128" i="4"/>
  <c r="H128" i="4"/>
  <c r="G128" i="4"/>
  <c r="N127" i="4"/>
  <c r="M127" i="4"/>
  <c r="L127" i="4"/>
  <c r="K127" i="4"/>
  <c r="J127" i="4"/>
  <c r="I127" i="4"/>
  <c r="H127" i="4"/>
  <c r="G127" i="4"/>
  <c r="J126" i="4"/>
  <c r="L126" i="4" s="1"/>
  <c r="M126" i="4" s="1"/>
  <c r="N126" i="4" s="1"/>
  <c r="I126" i="4"/>
  <c r="K126" i="4" s="1"/>
  <c r="H126" i="4"/>
  <c r="G126" i="4"/>
  <c r="L125" i="4"/>
  <c r="M125" i="4" s="1"/>
  <c r="N125" i="4" s="1"/>
  <c r="K125" i="4"/>
  <c r="J125" i="4"/>
  <c r="I125" i="4"/>
  <c r="H125" i="4"/>
  <c r="G125" i="4"/>
  <c r="M124" i="4"/>
  <c r="N124" i="4" s="1"/>
  <c r="L124" i="4"/>
  <c r="K124" i="4"/>
  <c r="J124" i="4"/>
  <c r="I124" i="4"/>
  <c r="H124" i="4"/>
  <c r="G124" i="4"/>
  <c r="J123" i="4"/>
  <c r="L123" i="4" s="1"/>
  <c r="I123" i="4"/>
  <c r="K123" i="4" s="1"/>
  <c r="H123" i="4"/>
  <c r="G123" i="4"/>
  <c r="L122" i="4"/>
  <c r="M122" i="4" s="1"/>
  <c r="N122" i="4" s="1"/>
  <c r="K122" i="4"/>
  <c r="J122" i="4"/>
  <c r="I122" i="4"/>
  <c r="H122" i="4"/>
  <c r="G122" i="4"/>
  <c r="N121" i="4"/>
  <c r="M121" i="4"/>
  <c r="L121" i="4"/>
  <c r="K121" i="4"/>
  <c r="J121" i="4"/>
  <c r="I121" i="4"/>
  <c r="H121" i="4"/>
  <c r="G121" i="4"/>
  <c r="J120" i="4"/>
  <c r="L120" i="4" s="1"/>
  <c r="M120" i="4" s="1"/>
  <c r="N120" i="4" s="1"/>
  <c r="I120" i="4"/>
  <c r="K120" i="4" s="1"/>
  <c r="H120" i="4"/>
  <c r="G120" i="4"/>
  <c r="L119" i="4"/>
  <c r="M119" i="4" s="1"/>
  <c r="N119" i="4" s="1"/>
  <c r="K119" i="4"/>
  <c r="J119" i="4"/>
  <c r="I119" i="4"/>
  <c r="H119" i="4"/>
  <c r="G119" i="4"/>
  <c r="M118" i="4"/>
  <c r="N118" i="4" s="1"/>
  <c r="L118" i="4"/>
  <c r="K118" i="4"/>
  <c r="J118" i="4"/>
  <c r="I118" i="4"/>
  <c r="H118" i="4"/>
  <c r="G118" i="4"/>
  <c r="J117" i="4"/>
  <c r="L117" i="4" s="1"/>
  <c r="I117" i="4"/>
  <c r="K117" i="4" s="1"/>
  <c r="H117" i="4"/>
  <c r="G117" i="4"/>
  <c r="L116" i="4"/>
  <c r="M116" i="4" s="1"/>
  <c r="N116" i="4" s="1"/>
  <c r="K116" i="4"/>
  <c r="J116" i="4"/>
  <c r="I116" i="4"/>
  <c r="H116" i="4"/>
  <c r="G116" i="4"/>
  <c r="N115" i="4"/>
  <c r="M115" i="4"/>
  <c r="L115" i="4"/>
  <c r="K115" i="4"/>
  <c r="J115" i="4"/>
  <c r="I115" i="4"/>
  <c r="H115" i="4"/>
  <c r="G115" i="4"/>
  <c r="J114" i="4"/>
  <c r="L114" i="4" s="1"/>
  <c r="M114" i="4" s="1"/>
  <c r="N114" i="4" s="1"/>
  <c r="I114" i="4"/>
  <c r="K114" i="4" s="1"/>
  <c r="H114" i="4"/>
  <c r="G114" i="4"/>
  <c r="L113" i="4"/>
  <c r="M113" i="4" s="1"/>
  <c r="N113" i="4" s="1"/>
  <c r="K113" i="4"/>
  <c r="J113" i="4"/>
  <c r="I113" i="4"/>
  <c r="H113" i="4"/>
  <c r="G113" i="4"/>
  <c r="M112" i="4"/>
  <c r="N112" i="4" s="1"/>
  <c r="L112" i="4"/>
  <c r="K112" i="4"/>
  <c r="J112" i="4"/>
  <c r="I112" i="4"/>
  <c r="H112" i="4"/>
  <c r="G112" i="4"/>
  <c r="J111" i="4"/>
  <c r="L111" i="4" s="1"/>
  <c r="I111" i="4"/>
  <c r="K111" i="4" s="1"/>
  <c r="H111" i="4"/>
  <c r="G111" i="4"/>
  <c r="L110" i="4"/>
  <c r="K110" i="4"/>
  <c r="J110" i="4"/>
  <c r="I110" i="4"/>
  <c r="H110" i="4"/>
  <c r="G110" i="4"/>
  <c r="N109" i="4"/>
  <c r="M109" i="4"/>
  <c r="L109" i="4"/>
  <c r="K109" i="4"/>
  <c r="J109" i="4"/>
  <c r="I109" i="4"/>
  <c r="H109" i="4"/>
  <c r="G109" i="4"/>
  <c r="J108" i="4"/>
  <c r="L108" i="4" s="1"/>
  <c r="M108" i="4" s="1"/>
  <c r="N108" i="4" s="1"/>
  <c r="I108" i="4"/>
  <c r="K108" i="4" s="1"/>
  <c r="H108" i="4"/>
  <c r="G108" i="4"/>
  <c r="L107" i="4"/>
  <c r="M107" i="4" s="1"/>
  <c r="N107" i="4" s="1"/>
  <c r="K107" i="4"/>
  <c r="J107" i="4"/>
  <c r="I107" i="4"/>
  <c r="H107" i="4"/>
  <c r="G107" i="4"/>
  <c r="M106" i="4"/>
  <c r="N106" i="4" s="1"/>
  <c r="L106" i="4"/>
  <c r="K106" i="4"/>
  <c r="J106" i="4"/>
  <c r="I106" i="4"/>
  <c r="H106" i="4"/>
  <c r="G106" i="4"/>
  <c r="J105" i="4"/>
  <c r="L105" i="4" s="1"/>
  <c r="I105" i="4"/>
  <c r="K105" i="4" s="1"/>
  <c r="H105" i="4"/>
  <c r="G105" i="4"/>
  <c r="L104" i="4"/>
  <c r="K104" i="4"/>
  <c r="J104" i="4"/>
  <c r="I104" i="4"/>
  <c r="H104" i="4"/>
  <c r="G104" i="4"/>
  <c r="N103" i="4"/>
  <c r="M103" i="4"/>
  <c r="L103" i="4"/>
  <c r="K103" i="4"/>
  <c r="J103" i="4"/>
  <c r="I103" i="4"/>
  <c r="H103" i="4"/>
  <c r="G103" i="4"/>
  <c r="J102" i="4"/>
  <c r="L102" i="4" s="1"/>
  <c r="I102" i="4"/>
  <c r="K102" i="4" s="1"/>
  <c r="H102" i="4"/>
  <c r="G102" i="4"/>
  <c r="L101" i="4"/>
  <c r="K101" i="4"/>
  <c r="J101" i="4"/>
  <c r="I101" i="4"/>
  <c r="H101" i="4"/>
  <c r="G101" i="4"/>
  <c r="M100" i="4"/>
  <c r="N100" i="4" s="1"/>
  <c r="L100" i="4"/>
  <c r="K100" i="4"/>
  <c r="J100" i="4"/>
  <c r="I100" i="4"/>
  <c r="H100" i="4"/>
  <c r="G100" i="4"/>
  <c r="J99" i="4"/>
  <c r="L99" i="4" s="1"/>
  <c r="M99" i="4" s="1"/>
  <c r="N99" i="4" s="1"/>
  <c r="I99" i="4"/>
  <c r="K99" i="4" s="1"/>
  <c r="H99" i="4"/>
  <c r="G99" i="4"/>
  <c r="L98" i="4"/>
  <c r="K98" i="4"/>
  <c r="J98" i="4"/>
  <c r="I98" i="4"/>
  <c r="H98" i="4"/>
  <c r="G98" i="4"/>
  <c r="L97" i="4"/>
  <c r="M97" i="4" s="1"/>
  <c r="N97" i="4" s="1"/>
  <c r="K97" i="4"/>
  <c r="J97" i="4"/>
  <c r="I97" i="4"/>
  <c r="H97" i="4"/>
  <c r="G97" i="4"/>
  <c r="L96" i="4"/>
  <c r="J96" i="4"/>
  <c r="I96" i="4"/>
  <c r="K96" i="4" s="1"/>
  <c r="H96" i="4"/>
  <c r="G96" i="4"/>
  <c r="L95" i="4"/>
  <c r="M95" i="4" s="1"/>
  <c r="N95" i="4" s="1"/>
  <c r="K95" i="4"/>
  <c r="J95" i="4"/>
  <c r="I95" i="4"/>
  <c r="H95" i="4"/>
  <c r="G95" i="4"/>
  <c r="L94" i="4"/>
  <c r="K94" i="4"/>
  <c r="M94" i="4" s="1"/>
  <c r="N94" i="4" s="1"/>
  <c r="J94" i="4"/>
  <c r="I94" i="4"/>
  <c r="H94" i="4"/>
  <c r="G94" i="4"/>
  <c r="L93" i="4"/>
  <c r="J93" i="4"/>
  <c r="I93" i="4"/>
  <c r="K93" i="4" s="1"/>
  <c r="H93" i="4"/>
  <c r="G93" i="4"/>
  <c r="L92" i="4"/>
  <c r="K92" i="4"/>
  <c r="J92" i="4"/>
  <c r="I92" i="4"/>
  <c r="H92" i="4"/>
  <c r="G92" i="4"/>
  <c r="L91" i="4"/>
  <c r="K91" i="4"/>
  <c r="M91" i="4" s="1"/>
  <c r="N91" i="4" s="1"/>
  <c r="J91" i="4"/>
  <c r="I91" i="4"/>
  <c r="H91" i="4"/>
  <c r="G91" i="4"/>
  <c r="J90" i="4"/>
  <c r="L90" i="4" s="1"/>
  <c r="M90" i="4" s="1"/>
  <c r="N90" i="4" s="1"/>
  <c r="I90" i="4"/>
  <c r="K90" i="4" s="1"/>
  <c r="H90" i="4"/>
  <c r="G90" i="4"/>
  <c r="L89" i="4"/>
  <c r="K89" i="4"/>
  <c r="J89" i="4"/>
  <c r="I89" i="4"/>
  <c r="H89" i="4"/>
  <c r="G89" i="4"/>
  <c r="L88" i="4"/>
  <c r="M88" i="4" s="1"/>
  <c r="N88" i="4" s="1"/>
  <c r="K88" i="4"/>
  <c r="J88" i="4"/>
  <c r="I88" i="4"/>
  <c r="H88" i="4"/>
  <c r="G88" i="4"/>
  <c r="L87" i="4"/>
  <c r="J87" i="4"/>
  <c r="I87" i="4"/>
  <c r="K87" i="4" s="1"/>
  <c r="H87" i="4"/>
  <c r="G87" i="4"/>
  <c r="L86" i="4"/>
  <c r="M86" i="4" s="1"/>
  <c r="N86" i="4" s="1"/>
  <c r="K86" i="4"/>
  <c r="J86" i="4"/>
  <c r="I86" i="4"/>
  <c r="H86" i="4"/>
  <c r="G86" i="4"/>
  <c r="L85" i="4"/>
  <c r="K85" i="4"/>
  <c r="M85" i="4" s="1"/>
  <c r="N85" i="4" s="1"/>
  <c r="J85" i="4"/>
  <c r="I85" i="4"/>
  <c r="H85" i="4"/>
  <c r="G85" i="4"/>
  <c r="J84" i="4"/>
  <c r="L84" i="4" s="1"/>
  <c r="I84" i="4"/>
  <c r="K84" i="4" s="1"/>
  <c r="H84" i="4"/>
  <c r="G84" i="4"/>
  <c r="L83" i="4"/>
  <c r="K83" i="4"/>
  <c r="J83" i="4"/>
  <c r="I83" i="4"/>
  <c r="H83" i="4"/>
  <c r="G83" i="4"/>
  <c r="L82" i="4"/>
  <c r="K82" i="4"/>
  <c r="M82" i="4" s="1"/>
  <c r="N82" i="4" s="1"/>
  <c r="J82" i="4"/>
  <c r="I82" i="4"/>
  <c r="H82" i="4"/>
  <c r="G82" i="4"/>
  <c r="K81" i="4"/>
  <c r="J81" i="4"/>
  <c r="L81" i="4" s="1"/>
  <c r="M81" i="4" s="1"/>
  <c r="N81" i="4" s="1"/>
  <c r="I81" i="4"/>
  <c r="H81" i="4"/>
  <c r="G81" i="4"/>
  <c r="L80" i="4"/>
  <c r="K80" i="4"/>
  <c r="J80" i="4"/>
  <c r="I80" i="4"/>
  <c r="H80" i="4"/>
  <c r="G80" i="4"/>
  <c r="M79" i="4"/>
  <c r="N79" i="4" s="1"/>
  <c r="L79" i="4"/>
  <c r="K79" i="4"/>
  <c r="J79" i="4"/>
  <c r="I79" i="4"/>
  <c r="H79" i="4"/>
  <c r="G79" i="4"/>
  <c r="K78" i="4"/>
  <c r="J78" i="4"/>
  <c r="L78" i="4" s="1"/>
  <c r="M78" i="4" s="1"/>
  <c r="N78" i="4" s="1"/>
  <c r="I78" i="4"/>
  <c r="H78" i="4"/>
  <c r="G78" i="4"/>
  <c r="L77" i="4"/>
  <c r="J77" i="4"/>
  <c r="I77" i="4"/>
  <c r="K77" i="4" s="1"/>
  <c r="H77" i="4"/>
  <c r="G77" i="4"/>
  <c r="L76" i="4"/>
  <c r="K76" i="4"/>
  <c r="M76" i="4" s="1"/>
  <c r="N76" i="4" s="1"/>
  <c r="J76" i="4"/>
  <c r="I76" i="4"/>
  <c r="H76" i="4"/>
  <c r="G76" i="4"/>
  <c r="L75" i="4"/>
  <c r="J75" i="4"/>
  <c r="I75" i="4"/>
  <c r="K75" i="4" s="1"/>
  <c r="H75" i="4"/>
  <c r="G75" i="4"/>
  <c r="J74" i="4"/>
  <c r="L74" i="4" s="1"/>
  <c r="M74" i="4" s="1"/>
  <c r="N74" i="4" s="1"/>
  <c r="I74" i="4"/>
  <c r="K74" i="4" s="1"/>
  <c r="H74" i="4"/>
  <c r="G74" i="4"/>
  <c r="J73" i="4"/>
  <c r="L73" i="4" s="1"/>
  <c r="M73" i="4" s="1"/>
  <c r="N73" i="4" s="1"/>
  <c r="I73" i="4"/>
  <c r="K73" i="4" s="1"/>
  <c r="H73" i="4"/>
  <c r="G73" i="4"/>
  <c r="L72" i="4"/>
  <c r="J72" i="4"/>
  <c r="I72" i="4"/>
  <c r="K72" i="4" s="1"/>
  <c r="H72" i="4"/>
  <c r="G72" i="4"/>
  <c r="J71" i="4"/>
  <c r="L71" i="4" s="1"/>
  <c r="I71" i="4"/>
  <c r="K71" i="4" s="1"/>
  <c r="H71" i="4"/>
  <c r="G71" i="4"/>
  <c r="J70" i="4"/>
  <c r="L70" i="4" s="1"/>
  <c r="I70" i="4"/>
  <c r="K70" i="4" s="1"/>
  <c r="H70" i="4"/>
  <c r="G70" i="4"/>
  <c r="L69" i="4"/>
  <c r="M69" i="4" s="1"/>
  <c r="N69" i="4" s="1"/>
  <c r="J69" i="4"/>
  <c r="I69" i="4"/>
  <c r="K69" i="4" s="1"/>
  <c r="H69" i="4"/>
  <c r="G69" i="4"/>
  <c r="J68" i="4"/>
  <c r="L68" i="4" s="1"/>
  <c r="I68" i="4"/>
  <c r="K68" i="4" s="1"/>
  <c r="H68" i="4"/>
  <c r="G68" i="4"/>
  <c r="J67" i="4"/>
  <c r="L67" i="4" s="1"/>
  <c r="M67" i="4" s="1"/>
  <c r="N67" i="4" s="1"/>
  <c r="I67" i="4"/>
  <c r="K67" i="4" s="1"/>
  <c r="H67" i="4"/>
  <c r="G67" i="4"/>
  <c r="L66" i="4"/>
  <c r="M66" i="4" s="1"/>
  <c r="N66" i="4" s="1"/>
  <c r="J66" i="4"/>
  <c r="I66" i="4"/>
  <c r="K66" i="4" s="1"/>
  <c r="H66" i="4"/>
  <c r="G66" i="4"/>
  <c r="J65" i="4"/>
  <c r="L65" i="4" s="1"/>
  <c r="M65" i="4" s="1"/>
  <c r="N65" i="4" s="1"/>
  <c r="I65" i="4"/>
  <c r="K65" i="4" s="1"/>
  <c r="H65" i="4"/>
  <c r="G65" i="4"/>
  <c r="J64" i="4"/>
  <c r="L64" i="4" s="1"/>
  <c r="I64" i="4"/>
  <c r="K64" i="4" s="1"/>
  <c r="H64" i="4"/>
  <c r="G64" i="4"/>
  <c r="L63" i="4"/>
  <c r="J63" i="4"/>
  <c r="I63" i="4"/>
  <c r="K63" i="4" s="1"/>
  <c r="H63" i="4"/>
  <c r="G63" i="4"/>
  <c r="J62" i="4"/>
  <c r="L62" i="4" s="1"/>
  <c r="M62" i="4" s="1"/>
  <c r="N62" i="4" s="1"/>
  <c r="I62" i="4"/>
  <c r="K62" i="4" s="1"/>
  <c r="H62" i="4"/>
  <c r="G62" i="4"/>
  <c r="J61" i="4"/>
  <c r="L61" i="4" s="1"/>
  <c r="M61" i="4" s="1"/>
  <c r="N61" i="4" s="1"/>
  <c r="I61" i="4"/>
  <c r="K61" i="4" s="1"/>
  <c r="H61" i="4"/>
  <c r="G61" i="4"/>
  <c r="L60" i="4"/>
  <c r="J60" i="4"/>
  <c r="I60" i="4"/>
  <c r="K60" i="4" s="1"/>
  <c r="H60" i="4"/>
  <c r="G60" i="4"/>
  <c r="J59" i="4"/>
  <c r="L59" i="4" s="1"/>
  <c r="I59" i="4"/>
  <c r="K59" i="4" s="1"/>
  <c r="H59" i="4"/>
  <c r="G59" i="4"/>
  <c r="J58" i="4"/>
  <c r="L58" i="4" s="1"/>
  <c r="I58" i="4"/>
  <c r="K58" i="4" s="1"/>
  <c r="H58" i="4"/>
  <c r="G58" i="4"/>
  <c r="L57" i="4"/>
  <c r="J57" i="4"/>
  <c r="I57" i="4"/>
  <c r="K57" i="4" s="1"/>
  <c r="H57" i="4"/>
  <c r="G57" i="4"/>
  <c r="L56" i="4"/>
  <c r="J56" i="4"/>
  <c r="I56" i="4"/>
  <c r="K56" i="4" s="1"/>
  <c r="H56" i="4"/>
  <c r="G56" i="4"/>
  <c r="J55" i="4"/>
  <c r="L55" i="4" s="1"/>
  <c r="I55" i="4"/>
  <c r="K55" i="4" s="1"/>
  <c r="H55" i="4"/>
  <c r="G55" i="4"/>
  <c r="L54" i="4"/>
  <c r="M54" i="4" s="1"/>
  <c r="N54" i="4" s="1"/>
  <c r="J54" i="4"/>
  <c r="I54" i="4"/>
  <c r="K54" i="4" s="1"/>
  <c r="H54" i="4"/>
  <c r="G54" i="4"/>
  <c r="L53" i="4"/>
  <c r="J53" i="4"/>
  <c r="I53" i="4"/>
  <c r="K53" i="4" s="1"/>
  <c r="H53" i="4"/>
  <c r="G53" i="4"/>
  <c r="J52" i="4"/>
  <c r="L52" i="4" s="1"/>
  <c r="I52" i="4"/>
  <c r="K52" i="4" s="1"/>
  <c r="H52" i="4"/>
  <c r="G52" i="4"/>
  <c r="L51" i="4"/>
  <c r="J51" i="4"/>
  <c r="I51" i="4"/>
  <c r="K51" i="4" s="1"/>
  <c r="H51" i="4"/>
  <c r="G51" i="4"/>
  <c r="L50" i="4"/>
  <c r="M50" i="4" s="1"/>
  <c r="N50" i="4" s="1"/>
  <c r="J50" i="4"/>
  <c r="I50" i="4"/>
  <c r="K50" i="4" s="1"/>
  <c r="H50" i="4"/>
  <c r="G50" i="4"/>
  <c r="J49" i="4"/>
  <c r="L49" i="4" s="1"/>
  <c r="M49" i="4" s="1"/>
  <c r="N49" i="4" s="1"/>
  <c r="I49" i="4"/>
  <c r="K49" i="4" s="1"/>
  <c r="H49" i="4"/>
  <c r="G49" i="4"/>
  <c r="L48" i="4"/>
  <c r="J48" i="4"/>
  <c r="I48" i="4"/>
  <c r="K48" i="4" s="1"/>
  <c r="H48" i="4"/>
  <c r="G48" i="4"/>
  <c r="L47" i="4"/>
  <c r="M47" i="4" s="1"/>
  <c r="N47" i="4" s="1"/>
  <c r="J47" i="4"/>
  <c r="I47" i="4"/>
  <c r="K47" i="4" s="1"/>
  <c r="H47" i="4"/>
  <c r="G47" i="4"/>
  <c r="L46" i="4"/>
  <c r="J46" i="4"/>
  <c r="I46" i="4"/>
  <c r="K46" i="4" s="1"/>
  <c r="H46" i="4"/>
  <c r="G46" i="4"/>
  <c r="L45" i="4"/>
  <c r="M45" i="4" s="1"/>
  <c r="N45" i="4" s="1"/>
  <c r="J45" i="4"/>
  <c r="I45" i="4"/>
  <c r="K45" i="4" s="1"/>
  <c r="H45" i="4"/>
  <c r="G45" i="4"/>
  <c r="L44" i="4"/>
  <c r="M44" i="4" s="1"/>
  <c r="N44" i="4" s="1"/>
  <c r="J44" i="4"/>
  <c r="I44" i="4"/>
  <c r="K44" i="4" s="1"/>
  <c r="H44" i="4"/>
  <c r="G44" i="4"/>
  <c r="L43" i="4"/>
  <c r="J43" i="4"/>
  <c r="I43" i="4"/>
  <c r="K43" i="4" s="1"/>
  <c r="H43" i="4"/>
  <c r="G43" i="4"/>
  <c r="L42" i="4"/>
  <c r="J42" i="4"/>
  <c r="I42" i="4"/>
  <c r="K42" i="4" s="1"/>
  <c r="H42" i="4"/>
  <c r="G42" i="4"/>
  <c r="L41" i="4"/>
  <c r="J41" i="4"/>
  <c r="I41" i="4"/>
  <c r="K41" i="4" s="1"/>
  <c r="H41" i="4"/>
  <c r="G41" i="4"/>
  <c r="L40" i="4"/>
  <c r="J40" i="4"/>
  <c r="I40" i="4"/>
  <c r="K40" i="4" s="1"/>
  <c r="H40" i="4"/>
  <c r="G40" i="4"/>
  <c r="L39" i="4"/>
  <c r="M39" i="4" s="1"/>
  <c r="N39" i="4" s="1"/>
  <c r="J39" i="4"/>
  <c r="I39" i="4"/>
  <c r="K39" i="4" s="1"/>
  <c r="H39" i="4"/>
  <c r="G39" i="4"/>
  <c r="L38" i="4"/>
  <c r="M38" i="4" s="1"/>
  <c r="N38" i="4" s="1"/>
  <c r="J38" i="4"/>
  <c r="I38" i="4"/>
  <c r="K38" i="4" s="1"/>
  <c r="H38" i="4"/>
  <c r="G38" i="4"/>
  <c r="L37" i="4"/>
  <c r="J37" i="4"/>
  <c r="I37" i="4"/>
  <c r="K37" i="4" s="1"/>
  <c r="H37" i="4"/>
  <c r="G37" i="4"/>
  <c r="L36" i="4"/>
  <c r="J36" i="4"/>
  <c r="I36" i="4"/>
  <c r="K36" i="4" s="1"/>
  <c r="H36" i="4"/>
  <c r="G36" i="4"/>
  <c r="L35" i="4"/>
  <c r="M35" i="4" s="1"/>
  <c r="N35" i="4" s="1"/>
  <c r="J35" i="4"/>
  <c r="I35" i="4"/>
  <c r="K35" i="4" s="1"/>
  <c r="H35" i="4"/>
  <c r="G35" i="4"/>
  <c r="L34" i="4"/>
  <c r="J34" i="4"/>
  <c r="I34" i="4"/>
  <c r="K34" i="4" s="1"/>
  <c r="H34" i="4"/>
  <c r="G34" i="4"/>
  <c r="L33" i="4"/>
  <c r="M33" i="4" s="1"/>
  <c r="N33" i="4" s="1"/>
  <c r="J33" i="4"/>
  <c r="I33" i="4"/>
  <c r="K33" i="4" s="1"/>
  <c r="H33" i="4"/>
  <c r="G33" i="4"/>
  <c r="L32" i="4"/>
  <c r="M32" i="4" s="1"/>
  <c r="N32" i="4" s="1"/>
  <c r="J32" i="4"/>
  <c r="I32" i="4"/>
  <c r="K32" i="4" s="1"/>
  <c r="H32" i="4"/>
  <c r="G32" i="4"/>
  <c r="L31" i="4"/>
  <c r="J31" i="4"/>
  <c r="I31" i="4"/>
  <c r="K31" i="4" s="1"/>
  <c r="H31" i="4"/>
  <c r="G31" i="4"/>
  <c r="L30" i="4"/>
  <c r="J30" i="4"/>
  <c r="I30" i="4"/>
  <c r="K30" i="4" s="1"/>
  <c r="H30" i="4"/>
  <c r="G30" i="4"/>
  <c r="L29" i="4"/>
  <c r="J29" i="4"/>
  <c r="I29" i="4"/>
  <c r="K29" i="4" s="1"/>
  <c r="H29" i="4"/>
  <c r="G29" i="4"/>
  <c r="L28" i="4"/>
  <c r="J28" i="4"/>
  <c r="I28" i="4"/>
  <c r="K28" i="4" s="1"/>
  <c r="H28" i="4"/>
  <c r="G28" i="4"/>
  <c r="L27" i="4"/>
  <c r="M27" i="4" s="1"/>
  <c r="N27" i="4" s="1"/>
  <c r="J27" i="4"/>
  <c r="I27" i="4"/>
  <c r="K27" i="4" s="1"/>
  <c r="H27" i="4"/>
  <c r="G27" i="4"/>
  <c r="L26" i="4"/>
  <c r="M26" i="4" s="1"/>
  <c r="N26" i="4" s="1"/>
  <c r="J26" i="4"/>
  <c r="I26" i="4"/>
  <c r="K26" i="4" s="1"/>
  <c r="H26" i="4"/>
  <c r="G26" i="4"/>
  <c r="L25" i="4"/>
  <c r="J25" i="4"/>
  <c r="I25" i="4"/>
  <c r="K25" i="4" s="1"/>
  <c r="H25" i="4"/>
  <c r="G25" i="4"/>
  <c r="L24" i="4"/>
  <c r="J24" i="4"/>
  <c r="I24" i="4"/>
  <c r="K24" i="4" s="1"/>
  <c r="H24" i="4"/>
  <c r="G24" i="4"/>
  <c r="L23" i="4"/>
  <c r="M23" i="4" s="1"/>
  <c r="N23" i="4" s="1"/>
  <c r="J23" i="4"/>
  <c r="I23" i="4"/>
  <c r="K23" i="4" s="1"/>
  <c r="H23" i="4"/>
  <c r="G23" i="4"/>
  <c r="L22" i="4"/>
  <c r="J22" i="4"/>
  <c r="I22" i="4"/>
  <c r="K22" i="4" s="1"/>
  <c r="H22" i="4"/>
  <c r="G22" i="4"/>
  <c r="L21" i="4"/>
  <c r="M21" i="4" s="1"/>
  <c r="N21" i="4" s="1"/>
  <c r="J21" i="4"/>
  <c r="I21" i="4"/>
  <c r="K21" i="4" s="1"/>
  <c r="H21" i="4"/>
  <c r="G21" i="4"/>
  <c r="L20" i="4"/>
  <c r="M20" i="4" s="1"/>
  <c r="N20" i="4" s="1"/>
  <c r="J20" i="4"/>
  <c r="I20" i="4"/>
  <c r="K20" i="4" s="1"/>
  <c r="H20" i="4"/>
  <c r="G20" i="4"/>
  <c r="L19" i="4"/>
  <c r="J19" i="4"/>
  <c r="I19" i="4"/>
  <c r="K19" i="4" s="1"/>
  <c r="H19" i="4"/>
  <c r="G19" i="4"/>
  <c r="L18" i="4"/>
  <c r="J18" i="4"/>
  <c r="I18" i="4"/>
  <c r="K18" i="4" s="1"/>
  <c r="H18" i="4"/>
  <c r="G18" i="4"/>
  <c r="L17" i="4"/>
  <c r="J17" i="4"/>
  <c r="I17" i="4"/>
  <c r="K17" i="4" s="1"/>
  <c r="H17" i="4"/>
  <c r="G17" i="4"/>
  <c r="L16" i="4"/>
  <c r="J16" i="4"/>
  <c r="I16" i="4"/>
  <c r="K16" i="4" s="1"/>
  <c r="H16" i="4"/>
  <c r="G16" i="4"/>
  <c r="L15" i="4"/>
  <c r="M15" i="4" s="1"/>
  <c r="N15" i="4" s="1"/>
  <c r="J15" i="4"/>
  <c r="I15" i="4"/>
  <c r="K15" i="4" s="1"/>
  <c r="H15" i="4"/>
  <c r="G15" i="4"/>
  <c r="L14" i="4"/>
  <c r="M14" i="4" s="1"/>
  <c r="N14" i="4" s="1"/>
  <c r="J14" i="4"/>
  <c r="I14" i="4"/>
  <c r="K14" i="4" s="1"/>
  <c r="F10" i="5" s="1"/>
  <c r="H14" i="4"/>
  <c r="G14" i="4"/>
  <c r="L13" i="4"/>
  <c r="J13" i="4"/>
  <c r="I13" i="4"/>
  <c r="K13" i="4" s="1"/>
  <c r="F9" i="5" s="1"/>
  <c r="H13" i="4"/>
  <c r="G13" i="4"/>
  <c r="L12" i="4"/>
  <c r="J12" i="4"/>
  <c r="I12" i="4"/>
  <c r="K12" i="4" s="1"/>
  <c r="H12" i="4"/>
  <c r="G12" i="4"/>
  <c r="L11" i="4"/>
  <c r="M11" i="4" s="1"/>
  <c r="N11" i="4" s="1"/>
  <c r="J11" i="4"/>
  <c r="I11" i="4"/>
  <c r="K11" i="4" s="1"/>
  <c r="H11" i="4"/>
  <c r="G11" i="4"/>
  <c r="L10" i="4"/>
  <c r="J10" i="4"/>
  <c r="I10" i="4"/>
  <c r="K10" i="4" s="1"/>
  <c r="H10" i="4"/>
  <c r="G10" i="4"/>
  <c r="L9" i="4"/>
  <c r="M9" i="4" s="1"/>
  <c r="N9" i="4" s="1"/>
  <c r="J9" i="4"/>
  <c r="I9" i="4"/>
  <c r="K9" i="4" s="1"/>
  <c r="H9" i="4"/>
  <c r="G9" i="4"/>
  <c r="L8" i="4"/>
  <c r="J8" i="4"/>
  <c r="I8" i="4"/>
  <c r="K8" i="4" s="1"/>
  <c r="H8" i="4"/>
  <c r="G8" i="4"/>
  <c r="L7" i="4"/>
  <c r="J7" i="4"/>
  <c r="I7" i="4"/>
  <c r="K7" i="4" s="1"/>
  <c r="H7" i="4"/>
  <c r="G7" i="4"/>
  <c r="L6" i="4"/>
  <c r="J6" i="4"/>
  <c r="I6" i="4"/>
  <c r="K6" i="4" s="1"/>
  <c r="F8" i="5" s="1"/>
  <c r="H6" i="4"/>
  <c r="G6" i="4"/>
  <c r="L5" i="4"/>
  <c r="J5" i="4"/>
  <c r="I5" i="4"/>
  <c r="K5" i="4" s="1"/>
  <c r="F7" i="5" s="1"/>
  <c r="H5" i="4"/>
  <c r="G5" i="4"/>
  <c r="L4" i="4"/>
  <c r="J4" i="4"/>
  <c r="I4" i="4"/>
  <c r="K4" i="4" s="1"/>
  <c r="F12" i="5" s="1"/>
  <c r="H4" i="4"/>
  <c r="G4" i="4"/>
  <c r="L3" i="4"/>
  <c r="M3" i="4" s="1"/>
  <c r="N3" i="4" s="1"/>
  <c r="J3" i="4"/>
  <c r="I3" i="4"/>
  <c r="K3" i="4" s="1"/>
  <c r="H3" i="4"/>
  <c r="G3" i="4"/>
  <c r="L2" i="4"/>
  <c r="J2" i="4"/>
  <c r="I2" i="4"/>
  <c r="K2" i="4" s="1"/>
  <c r="F13" i="5" s="1"/>
  <c r="H2" i="4"/>
  <c r="G2" i="4"/>
  <c r="B12" i="1"/>
  <c r="B6" i="1"/>
  <c r="M13" i="4" l="1"/>
  <c r="N13" i="4" s="1"/>
  <c r="M25" i="4"/>
  <c r="N25" i="4" s="1"/>
  <c r="M37" i="4"/>
  <c r="N37" i="4" s="1"/>
  <c r="M68" i="4"/>
  <c r="N68" i="4" s="1"/>
  <c r="M18" i="4"/>
  <c r="N18" i="4" s="1"/>
  <c r="M30" i="4"/>
  <c r="N30" i="4" s="1"/>
  <c r="M42" i="4"/>
  <c r="N42" i="4" s="1"/>
  <c r="M52" i="4"/>
  <c r="N52" i="4" s="1"/>
  <c r="M57" i="4"/>
  <c r="N57" i="4" s="1"/>
  <c r="M71" i="4"/>
  <c r="N71" i="4" s="1"/>
  <c r="M60" i="4"/>
  <c r="N60" i="4" s="1"/>
  <c r="M16" i="4"/>
  <c r="N16" i="4" s="1"/>
  <c r="M28" i="4"/>
  <c r="N28" i="4" s="1"/>
  <c r="M40" i="4"/>
  <c r="N40" i="4" s="1"/>
  <c r="M55" i="4"/>
  <c r="N55" i="4" s="1"/>
  <c r="M63" i="4"/>
  <c r="N63" i="4" s="1"/>
  <c r="F11" i="5"/>
  <c r="F15" i="5" s="1"/>
  <c r="M58" i="4"/>
  <c r="N58" i="4" s="1"/>
  <c r="M31" i="4"/>
  <c r="N31" i="4" s="1"/>
  <c r="M43" i="4"/>
  <c r="N43" i="4" s="1"/>
  <c r="M53" i="4"/>
  <c r="N53" i="4" s="1"/>
  <c r="M72" i="4"/>
  <c r="N72" i="4" s="1"/>
  <c r="M77" i="4"/>
  <c r="N77" i="4" s="1"/>
  <c r="M19" i="4"/>
  <c r="N19" i="4" s="1"/>
  <c r="M12" i="4"/>
  <c r="N12" i="4" s="1"/>
  <c r="M24" i="4"/>
  <c r="N24" i="4" s="1"/>
  <c r="M36" i="4"/>
  <c r="N36" i="4" s="1"/>
  <c r="M48" i="4"/>
  <c r="N48" i="4" s="1"/>
  <c r="M64" i="4"/>
  <c r="N64" i="4" s="1"/>
  <c r="M75" i="4"/>
  <c r="N75" i="4" s="1"/>
  <c r="M2" i="4"/>
  <c r="N2" i="4" s="1"/>
  <c r="M17" i="4"/>
  <c r="N17" i="4" s="1"/>
  <c r="M29" i="4"/>
  <c r="N29" i="4" s="1"/>
  <c r="M41" i="4"/>
  <c r="N41" i="4" s="1"/>
  <c r="M56" i="4"/>
  <c r="N56" i="4" s="1"/>
  <c r="F14" i="5"/>
  <c r="M10" i="4"/>
  <c r="N10" i="4" s="1"/>
  <c r="M22" i="4"/>
  <c r="N22" i="4" s="1"/>
  <c r="M34" i="4"/>
  <c r="N34" i="4" s="1"/>
  <c r="M46" i="4"/>
  <c r="N46" i="4" s="1"/>
  <c r="M51" i="4"/>
  <c r="N51" i="4" s="1"/>
  <c r="M59" i="4"/>
  <c r="N59" i="4" s="1"/>
  <c r="M70" i="4"/>
  <c r="N70" i="4" s="1"/>
  <c r="M84" i="4"/>
  <c r="N84" i="4" s="1"/>
  <c r="M80" i="4"/>
  <c r="N80" i="4" s="1"/>
  <c r="M198" i="4"/>
  <c r="N198" i="4" s="1"/>
  <c r="M207" i="4"/>
  <c r="N207" i="4" s="1"/>
  <c r="M216" i="4"/>
  <c r="N216" i="4" s="1"/>
  <c r="M268" i="4"/>
  <c r="N268" i="4" s="1"/>
  <c r="M87" i="4"/>
  <c r="N87" i="4" s="1"/>
  <c r="M89" i="4"/>
  <c r="N89" i="4" s="1"/>
  <c r="M98" i="4"/>
  <c r="N98" i="4" s="1"/>
  <c r="M102" i="4"/>
  <c r="N102" i="4" s="1"/>
  <c r="M228" i="4"/>
  <c r="N228" i="4" s="1"/>
  <c r="M242" i="4"/>
  <c r="N242" i="4" s="1"/>
  <c r="M96" i="4"/>
  <c r="N96" i="4" s="1"/>
  <c r="M247" i="4"/>
  <c r="N247" i="4" s="1"/>
  <c r="M504" i="4"/>
  <c r="N504" i="4" s="1"/>
  <c r="E7" i="5"/>
  <c r="M93" i="4"/>
  <c r="N93" i="4" s="1"/>
  <c r="E8" i="5"/>
  <c r="G8" i="5" s="1"/>
  <c r="H8" i="5" s="1"/>
  <c r="E14" i="5"/>
  <c r="M5" i="4"/>
  <c r="N5" i="4" s="1"/>
  <c r="M8" i="4"/>
  <c r="N8" i="4" s="1"/>
  <c r="M104" i="4"/>
  <c r="N104" i="4" s="1"/>
  <c r="M110" i="4"/>
  <c r="N110" i="4" s="1"/>
  <c r="M201" i="4"/>
  <c r="N201" i="4" s="1"/>
  <c r="M210" i="4"/>
  <c r="N210" i="4" s="1"/>
  <c r="M233" i="4"/>
  <c r="N233" i="4" s="1"/>
  <c r="M245" i="4"/>
  <c r="N245" i="4" s="1"/>
  <c r="M256" i="4"/>
  <c r="N256" i="4" s="1"/>
  <c r="M292" i="4"/>
  <c r="N292" i="4" s="1"/>
  <c r="E13" i="5"/>
  <c r="G13" i="5" s="1"/>
  <c r="H13" i="5" s="1"/>
  <c r="E10" i="5"/>
  <c r="G10" i="5" s="1"/>
  <c r="H10" i="5" s="1"/>
  <c r="M222" i="4"/>
  <c r="N222" i="4" s="1"/>
  <c r="M254" i="4"/>
  <c r="N254" i="4" s="1"/>
  <c r="M267" i="4"/>
  <c r="N267" i="4" s="1"/>
  <c r="M273" i="4"/>
  <c r="N273" i="4" s="1"/>
  <c r="M290" i="4"/>
  <c r="N290" i="4" s="1"/>
  <c r="M324" i="4"/>
  <c r="N324" i="4" s="1"/>
  <c r="E12" i="5"/>
  <c r="M282" i="4"/>
  <c r="N282" i="4" s="1"/>
  <c r="M6" i="4"/>
  <c r="N6" i="4" s="1"/>
  <c r="E11" i="5"/>
  <c r="G11" i="5" s="1"/>
  <c r="H11" i="5" s="1"/>
  <c r="M105" i="4"/>
  <c r="N105" i="4" s="1"/>
  <c r="M111" i="4"/>
  <c r="N111" i="4" s="1"/>
  <c r="M117" i="4"/>
  <c r="N117" i="4" s="1"/>
  <c r="M123" i="4"/>
  <c r="N123" i="4" s="1"/>
  <c r="M129" i="4"/>
  <c r="N129" i="4" s="1"/>
  <c r="M135" i="4"/>
  <c r="N135" i="4" s="1"/>
  <c r="M141" i="4"/>
  <c r="N141" i="4" s="1"/>
  <c r="M147" i="4"/>
  <c r="N147" i="4" s="1"/>
  <c r="M153" i="4"/>
  <c r="N153" i="4" s="1"/>
  <c r="M159" i="4"/>
  <c r="N159" i="4" s="1"/>
  <c r="M165" i="4"/>
  <c r="N165" i="4" s="1"/>
  <c r="M171" i="4"/>
  <c r="N171" i="4" s="1"/>
  <c r="M177" i="4"/>
  <c r="N177" i="4" s="1"/>
  <c r="M183" i="4"/>
  <c r="N183" i="4" s="1"/>
  <c r="M189" i="4"/>
  <c r="N189" i="4" s="1"/>
  <c r="M195" i="4"/>
  <c r="N195" i="4" s="1"/>
  <c r="M204" i="4"/>
  <c r="N204" i="4" s="1"/>
  <c r="M213" i="4"/>
  <c r="N213" i="4" s="1"/>
  <c r="M234" i="4"/>
  <c r="N234" i="4" s="1"/>
  <c r="M280" i="4"/>
  <c r="N280" i="4" s="1"/>
  <c r="M405" i="4"/>
  <c r="N405" i="4" s="1"/>
  <c r="M83" i="4"/>
  <c r="N83" i="4" s="1"/>
  <c r="M92" i="4"/>
  <c r="N92" i="4" s="1"/>
  <c r="M101" i="4"/>
  <c r="N101" i="4" s="1"/>
  <c r="M227" i="4"/>
  <c r="N227" i="4" s="1"/>
  <c r="E9" i="5"/>
  <c r="G9" i="5" s="1"/>
  <c r="H9" i="5" s="1"/>
  <c r="M4" i="4"/>
  <c r="N4" i="4" s="1"/>
  <c r="M7" i="4"/>
  <c r="N7" i="4" s="1"/>
  <c r="M309" i="4"/>
  <c r="N309" i="4" s="1"/>
  <c r="M320" i="4"/>
  <c r="N320" i="4" s="1"/>
  <c r="M384" i="4"/>
  <c r="N384" i="4" s="1"/>
  <c r="M420" i="4"/>
  <c r="N420" i="4" s="1"/>
  <c r="M456" i="4"/>
  <c r="N456" i="4" s="1"/>
  <c r="M473" i="4"/>
  <c r="N473" i="4" s="1"/>
  <c r="M625" i="4"/>
  <c r="N625" i="4" s="1"/>
  <c r="M703" i="4"/>
  <c r="N703" i="4" s="1"/>
  <c r="M305" i="4"/>
  <c r="N305" i="4" s="1"/>
  <c r="M330" i="4"/>
  <c r="N330" i="4" s="1"/>
  <c r="M336" i="4"/>
  <c r="N336" i="4" s="1"/>
  <c r="M342" i="4"/>
  <c r="N342" i="4" s="1"/>
  <c r="M348" i="4"/>
  <c r="N348" i="4" s="1"/>
  <c r="M354" i="4"/>
  <c r="N354" i="4" s="1"/>
  <c r="M360" i="4"/>
  <c r="N360" i="4" s="1"/>
  <c r="M366" i="4"/>
  <c r="N366" i="4" s="1"/>
  <c r="M372" i="4"/>
  <c r="N372" i="4" s="1"/>
  <c r="M378" i="4"/>
  <c r="N378" i="4" s="1"/>
  <c r="M399" i="4"/>
  <c r="N399" i="4" s="1"/>
  <c r="M435" i="4"/>
  <c r="N435" i="4" s="1"/>
  <c r="M611" i="4"/>
  <c r="N611" i="4" s="1"/>
  <c r="M263" i="4"/>
  <c r="N263" i="4" s="1"/>
  <c r="M275" i="4"/>
  <c r="N275" i="4" s="1"/>
  <c r="M287" i="4"/>
  <c r="N287" i="4" s="1"/>
  <c r="M294" i="4"/>
  <c r="N294" i="4" s="1"/>
  <c r="M300" i="4"/>
  <c r="N300" i="4" s="1"/>
  <c r="M311" i="4"/>
  <c r="N311" i="4" s="1"/>
  <c r="M332" i="4"/>
  <c r="N332" i="4" s="1"/>
  <c r="M338" i="4"/>
  <c r="N338" i="4" s="1"/>
  <c r="M344" i="4"/>
  <c r="N344" i="4" s="1"/>
  <c r="M350" i="4"/>
  <c r="N350" i="4" s="1"/>
  <c r="M393" i="4"/>
  <c r="N393" i="4" s="1"/>
  <c r="M429" i="4"/>
  <c r="N429" i="4" s="1"/>
  <c r="M465" i="4"/>
  <c r="N465" i="4" s="1"/>
  <c r="M471" i="4"/>
  <c r="N471" i="4" s="1"/>
  <c r="M593" i="4"/>
  <c r="N593" i="4" s="1"/>
  <c r="M321" i="4"/>
  <c r="N321" i="4" s="1"/>
  <c r="M260" i="4"/>
  <c r="N260" i="4" s="1"/>
  <c r="M272" i="4"/>
  <c r="N272" i="4" s="1"/>
  <c r="M284" i="4"/>
  <c r="N284" i="4" s="1"/>
  <c r="M306" i="4"/>
  <c r="N306" i="4" s="1"/>
  <c r="M317" i="4"/>
  <c r="N317" i="4" s="1"/>
  <c r="M387" i="4"/>
  <c r="N387" i="4" s="1"/>
  <c r="M423" i="4"/>
  <c r="N423" i="4" s="1"/>
  <c r="M459" i="4"/>
  <c r="N459" i="4" s="1"/>
  <c r="M485" i="4"/>
  <c r="N485" i="4" s="1"/>
  <c r="M521" i="4"/>
  <c r="N521" i="4" s="1"/>
  <c r="M312" i="4"/>
  <c r="N312" i="4" s="1"/>
  <c r="M323" i="4"/>
  <c r="N323" i="4" s="1"/>
  <c r="M333" i="4"/>
  <c r="N333" i="4" s="1"/>
  <c r="M339" i="4"/>
  <c r="N339" i="4" s="1"/>
  <c r="M345" i="4"/>
  <c r="N345" i="4" s="1"/>
  <c r="M351" i="4"/>
  <c r="N351" i="4" s="1"/>
  <c r="M357" i="4"/>
  <c r="N357" i="4" s="1"/>
  <c r="M363" i="4"/>
  <c r="N363" i="4" s="1"/>
  <c r="M369" i="4"/>
  <c r="N369" i="4" s="1"/>
  <c r="M375" i="4"/>
  <c r="N375" i="4" s="1"/>
  <c r="M381" i="4"/>
  <c r="N381" i="4" s="1"/>
  <c r="M417" i="4"/>
  <c r="N417" i="4" s="1"/>
  <c r="M453" i="4"/>
  <c r="N453" i="4" s="1"/>
  <c r="M257" i="4"/>
  <c r="N257" i="4" s="1"/>
  <c r="M269" i="4"/>
  <c r="N269" i="4" s="1"/>
  <c r="M281" i="4"/>
  <c r="N281" i="4" s="1"/>
  <c r="M293" i="4"/>
  <c r="N293" i="4" s="1"/>
  <c r="M297" i="4"/>
  <c r="N297" i="4" s="1"/>
  <c r="M308" i="4"/>
  <c r="N308" i="4" s="1"/>
  <c r="M396" i="4"/>
  <c r="N396" i="4" s="1"/>
  <c r="M432" i="4"/>
  <c r="N432" i="4" s="1"/>
  <c r="M472" i="4"/>
  <c r="N472" i="4" s="1"/>
  <c r="M483" i="4"/>
  <c r="N483" i="4" s="1"/>
  <c r="M492" i="4"/>
  <c r="N492" i="4" s="1"/>
  <c r="M643" i="4"/>
  <c r="N643" i="4" s="1"/>
  <c r="M318" i="4"/>
  <c r="N318" i="4" s="1"/>
  <c r="M506" i="4"/>
  <c r="N506" i="4" s="1"/>
  <c r="M508" i="4"/>
  <c r="N508" i="4" s="1"/>
  <c r="M542" i="4"/>
  <c r="N542" i="4" s="1"/>
  <c r="M578" i="4"/>
  <c r="N578" i="4" s="1"/>
  <c r="M620" i="4"/>
  <c r="N620" i="4" s="1"/>
  <c r="M635" i="4"/>
  <c r="N635" i="4" s="1"/>
  <c r="M653" i="4"/>
  <c r="N653" i="4" s="1"/>
  <c r="M496" i="4"/>
  <c r="N496" i="4" s="1"/>
  <c r="M633" i="4"/>
  <c r="N633" i="4" s="1"/>
  <c r="M651" i="4"/>
  <c r="N651" i="4" s="1"/>
  <c r="M498" i="4"/>
  <c r="N498" i="4" s="1"/>
  <c r="M530" i="4"/>
  <c r="N530" i="4" s="1"/>
  <c r="M532" i="4"/>
  <c r="N532" i="4" s="1"/>
  <c r="M566" i="4"/>
  <c r="N566" i="4" s="1"/>
  <c r="M628" i="4"/>
  <c r="N628" i="4" s="1"/>
  <c r="M641" i="4"/>
  <c r="N641" i="4" s="1"/>
  <c r="M646" i="4"/>
  <c r="N646" i="4" s="1"/>
  <c r="M659" i="4"/>
  <c r="N659" i="4" s="1"/>
  <c r="M605" i="4"/>
  <c r="N605" i="4" s="1"/>
  <c r="M614" i="4"/>
  <c r="N614" i="4" s="1"/>
  <c r="M524" i="4"/>
  <c r="N524" i="4" s="1"/>
  <c r="M526" i="4"/>
  <c r="N526" i="4" s="1"/>
  <c r="M560" i="4"/>
  <c r="N560" i="4" s="1"/>
  <c r="M626" i="4"/>
  <c r="N626" i="4" s="1"/>
  <c r="M644" i="4"/>
  <c r="N644" i="4" s="1"/>
  <c r="M662" i="4"/>
  <c r="N662" i="4" s="1"/>
  <c r="M619" i="4"/>
  <c r="N619" i="4" s="1"/>
  <c r="M634" i="4"/>
  <c r="N634" i="4" s="1"/>
  <c r="M652" i="4"/>
  <c r="N652" i="4" s="1"/>
  <c r="M713" i="4"/>
  <c r="N713" i="4" s="1"/>
  <c r="M722" i="4"/>
  <c r="N722" i="4" s="1"/>
  <c r="M731" i="4"/>
  <c r="N731" i="4" s="1"/>
  <c r="M740" i="4"/>
  <c r="N740" i="4" s="1"/>
  <c r="M749" i="4"/>
  <c r="N749" i="4" s="1"/>
  <c r="M758" i="4"/>
  <c r="N758" i="4" s="1"/>
  <c r="M767" i="4"/>
  <c r="N767" i="4" s="1"/>
  <c r="M776" i="4"/>
  <c r="N776" i="4" s="1"/>
  <c r="M785" i="4"/>
  <c r="N785" i="4" s="1"/>
  <c r="M794" i="4"/>
  <c r="N794" i="4" s="1"/>
  <c r="M803" i="4"/>
  <c r="N803" i="4" s="1"/>
  <c r="M812" i="4"/>
  <c r="N812" i="4" s="1"/>
  <c r="M821" i="4"/>
  <c r="N821" i="4" s="1"/>
  <c r="M830" i="4"/>
  <c r="N830" i="4" s="1"/>
  <c r="M839" i="4"/>
  <c r="N839" i="4" s="1"/>
  <c r="M848" i="4"/>
  <c r="N848" i="4" s="1"/>
  <c r="M857" i="4"/>
  <c r="N857" i="4" s="1"/>
  <c r="M862" i="4"/>
  <c r="N862" i="4" s="1"/>
  <c r="M501" i="4"/>
  <c r="N501" i="4" s="1"/>
  <c r="M642" i="4"/>
  <c r="N642" i="4" s="1"/>
  <c r="M660" i="4"/>
  <c r="N660" i="4" s="1"/>
  <c r="M678" i="4"/>
  <c r="N678" i="4" s="1"/>
  <c r="M495" i="4"/>
  <c r="N495" i="4" s="1"/>
  <c r="M637" i="4"/>
  <c r="N637" i="4" s="1"/>
  <c r="M655" i="4"/>
  <c r="N655" i="4" s="1"/>
  <c r="M676" i="4"/>
  <c r="N676" i="4" s="1"/>
  <c r="M527" i="4"/>
  <c r="N527" i="4" s="1"/>
  <c r="M529" i="4"/>
  <c r="N529" i="4" s="1"/>
  <c r="M563" i="4"/>
  <c r="N563" i="4" s="1"/>
  <c r="M622" i="4"/>
  <c r="N622" i="4" s="1"/>
  <c r="M627" i="4"/>
  <c r="N627" i="4" s="1"/>
  <c r="M645" i="4"/>
  <c r="N645" i="4" s="1"/>
  <c r="M665" i="4"/>
  <c r="N665" i="4" s="1"/>
  <c r="M690" i="4"/>
  <c r="N690" i="4" s="1"/>
  <c r="M709" i="4"/>
  <c r="N709" i="4" s="1"/>
  <c r="M718" i="4"/>
  <c r="N718" i="4" s="1"/>
  <c r="M727" i="4"/>
  <c r="N727" i="4" s="1"/>
  <c r="M736" i="4"/>
  <c r="N736" i="4" s="1"/>
  <c r="M745" i="4"/>
  <c r="N745" i="4" s="1"/>
  <c r="M754" i="4"/>
  <c r="N754" i="4" s="1"/>
  <c r="M763" i="4"/>
  <c r="N763" i="4" s="1"/>
  <c r="M772" i="4"/>
  <c r="N772" i="4" s="1"/>
  <c r="M781" i="4"/>
  <c r="N781" i="4" s="1"/>
  <c r="M790" i="4"/>
  <c r="N790" i="4" s="1"/>
  <c r="M799" i="4"/>
  <c r="N799" i="4" s="1"/>
  <c r="M808" i="4"/>
  <c r="N808" i="4" s="1"/>
  <c r="M817" i="4"/>
  <c r="N817" i="4" s="1"/>
  <c r="M826" i="4"/>
  <c r="N826" i="4" s="1"/>
  <c r="M835" i="4"/>
  <c r="N835" i="4" s="1"/>
  <c r="M844" i="4"/>
  <c r="N844" i="4" s="1"/>
  <c r="M853" i="4"/>
  <c r="N853" i="4" s="1"/>
  <c r="M667" i="4"/>
  <c r="N667" i="4" s="1"/>
  <c r="M685" i="4"/>
  <c r="N685" i="4" s="1"/>
  <c r="M707" i="4"/>
  <c r="N707" i="4" s="1"/>
  <c r="M860" i="4"/>
  <c r="N860" i="4" s="1"/>
  <c r="M875" i="4"/>
  <c r="N875" i="4" s="1"/>
  <c r="M694" i="4"/>
  <c r="N694" i="4" s="1"/>
  <c r="M696" i="4"/>
  <c r="N696" i="4" s="1"/>
  <c r="M700" i="4"/>
  <c r="N700" i="4" s="1"/>
  <c r="M712" i="4"/>
  <c r="N712" i="4" s="1"/>
  <c r="M721" i="4"/>
  <c r="N721" i="4" s="1"/>
  <c r="M730" i="4"/>
  <c r="N730" i="4" s="1"/>
  <c r="M739" i="4"/>
  <c r="N739" i="4" s="1"/>
  <c r="M748" i="4"/>
  <c r="N748" i="4" s="1"/>
  <c r="M757" i="4"/>
  <c r="N757" i="4" s="1"/>
  <c r="M766" i="4"/>
  <c r="N766" i="4" s="1"/>
  <c r="M775" i="4"/>
  <c r="N775" i="4" s="1"/>
  <c r="M784" i="4"/>
  <c r="N784" i="4" s="1"/>
  <c r="M793" i="4"/>
  <c r="N793" i="4" s="1"/>
  <c r="M802" i="4"/>
  <c r="N802" i="4" s="1"/>
  <c r="M811" i="4"/>
  <c r="N811" i="4" s="1"/>
  <c r="M820" i="4"/>
  <c r="N820" i="4" s="1"/>
  <c r="M829" i="4"/>
  <c r="N829" i="4" s="1"/>
  <c r="M838" i="4"/>
  <c r="N838" i="4" s="1"/>
  <c r="M847" i="4"/>
  <c r="N847" i="4" s="1"/>
  <c r="M856" i="4"/>
  <c r="N856" i="4" s="1"/>
  <c r="M679" i="4"/>
  <c r="N679" i="4" s="1"/>
  <c r="M702" i="4"/>
  <c r="N702" i="4" s="1"/>
  <c r="M708" i="4"/>
  <c r="N708" i="4" s="1"/>
  <c r="M691" i="4"/>
  <c r="N691" i="4" s="1"/>
  <c r="M706" i="4"/>
  <c r="N706" i="4" s="1"/>
  <c r="M693" i="4"/>
  <c r="N693" i="4" s="1"/>
  <c r="M859" i="4"/>
  <c r="N859" i="4" s="1"/>
  <c r="M870" i="4"/>
  <c r="N870" i="4" s="1"/>
  <c r="M866" i="4"/>
  <c r="N866" i="4" s="1"/>
  <c r="M878" i="4"/>
  <c r="N878" i="4" s="1"/>
  <c r="M1043" i="4"/>
  <c r="N1043" i="4" s="1"/>
  <c r="M1057" i="4"/>
  <c r="N1057" i="4" s="1"/>
  <c r="M1077" i="4"/>
  <c r="N1077" i="4" s="1"/>
  <c r="M1091" i="4"/>
  <c r="N1091" i="4" s="1"/>
  <c r="M1055" i="4"/>
  <c r="N1055" i="4" s="1"/>
  <c r="M1067" i="4"/>
  <c r="N1067" i="4" s="1"/>
  <c r="M1072" i="4"/>
  <c r="N1072" i="4" s="1"/>
  <c r="M865" i="4"/>
  <c r="N865" i="4" s="1"/>
  <c r="M877" i="4"/>
  <c r="N877" i="4" s="1"/>
  <c r="M886" i="4"/>
  <c r="N886" i="4" s="1"/>
  <c r="M895" i="4"/>
  <c r="N895" i="4" s="1"/>
  <c r="M904" i="4"/>
  <c r="N904" i="4" s="1"/>
  <c r="M906" i="4"/>
  <c r="N906" i="4" s="1"/>
  <c r="M1080" i="4"/>
  <c r="N1080" i="4" s="1"/>
  <c r="M1085" i="4"/>
  <c r="N1085" i="4" s="1"/>
  <c r="M1100" i="4"/>
  <c r="N1100" i="4" s="1"/>
  <c r="M872" i="4"/>
  <c r="N872" i="4" s="1"/>
  <c r="M1037" i="4"/>
  <c r="N1037" i="4" s="1"/>
  <c r="M1046" i="4"/>
  <c r="N1046" i="4" s="1"/>
  <c r="M1058" i="4"/>
  <c r="N1058" i="4" s="1"/>
  <c r="M1083" i="4"/>
  <c r="N1083" i="4" s="1"/>
  <c r="M1094" i="4"/>
  <c r="N1094" i="4" s="1"/>
  <c r="M1130" i="4"/>
  <c r="N1130" i="4" s="1"/>
  <c r="M869" i="4"/>
  <c r="N869" i="4" s="1"/>
  <c r="M883" i="4"/>
  <c r="N883" i="4" s="1"/>
  <c r="M892" i="4"/>
  <c r="N892" i="4" s="1"/>
  <c r="M901" i="4"/>
  <c r="N901" i="4" s="1"/>
  <c r="M1051" i="4"/>
  <c r="N1051" i="4" s="1"/>
  <c r="M1063" i="4"/>
  <c r="N1063" i="4" s="1"/>
  <c r="M1103" i="4"/>
  <c r="N1103" i="4" s="1"/>
  <c r="M1081" i="4"/>
  <c r="N1081" i="4" s="1"/>
  <c r="M871" i="4"/>
  <c r="N871" i="4" s="1"/>
  <c r="M1088" i="4"/>
  <c r="N1088" i="4" s="1"/>
  <c r="M1142" i="4"/>
  <c r="N1142" i="4" s="1"/>
  <c r="M1136" i="4"/>
  <c r="N1136" i="4" s="1"/>
  <c r="M1132" i="4"/>
  <c r="N1132" i="4" s="1"/>
  <c r="M1147" i="4"/>
  <c r="N1147" i="4" s="1"/>
  <c r="M1241" i="4"/>
  <c r="N1241" i="4" s="1"/>
  <c r="M1087" i="4"/>
  <c r="N1087" i="4" s="1"/>
  <c r="M1096" i="4"/>
  <c r="N1096" i="4" s="1"/>
  <c r="M1105" i="4"/>
  <c r="N1105" i="4" s="1"/>
  <c r="M1114" i="4"/>
  <c r="N1114" i="4" s="1"/>
  <c r="M1123" i="4"/>
  <c r="N1123" i="4" s="1"/>
  <c r="M1139" i="4"/>
  <c r="N1139" i="4" s="1"/>
  <c r="M1154" i="4"/>
  <c r="N1154" i="4" s="1"/>
  <c r="M1156" i="4"/>
  <c r="N1156" i="4" s="1"/>
  <c r="M1163" i="4"/>
  <c r="N1163" i="4" s="1"/>
  <c r="M1165" i="4"/>
  <c r="N1165" i="4" s="1"/>
  <c r="M1172" i="4"/>
  <c r="N1172" i="4" s="1"/>
  <c r="M1178" i="4"/>
  <c r="N1178" i="4" s="1"/>
  <c r="M1184" i="4"/>
  <c r="N1184" i="4" s="1"/>
  <c r="M1190" i="4"/>
  <c r="N1190" i="4" s="1"/>
  <c r="M1196" i="4"/>
  <c r="N1196" i="4" s="1"/>
  <c r="M1202" i="4"/>
  <c r="N1202" i="4" s="1"/>
  <c r="M1208" i="4"/>
  <c r="N1208" i="4" s="1"/>
  <c r="M1214" i="4"/>
  <c r="N1214" i="4" s="1"/>
  <c r="M1220" i="4"/>
  <c r="N1220" i="4" s="1"/>
  <c r="M1226" i="4"/>
  <c r="N1226" i="4" s="1"/>
  <c r="M1232" i="4"/>
  <c r="N1232" i="4" s="1"/>
  <c r="M1244" i="4"/>
  <c r="N1244" i="4" s="1"/>
  <c r="M1256" i="4"/>
  <c r="N1256" i="4" s="1"/>
  <c r="M1280" i="4"/>
  <c r="N1280" i="4" s="1"/>
  <c r="M1301" i="4"/>
  <c r="N1301" i="4" s="1"/>
  <c r="M1315" i="4"/>
  <c r="N1315" i="4" s="1"/>
  <c r="M1336" i="4"/>
  <c r="N1336" i="4" s="1"/>
  <c r="M1358" i="4"/>
  <c r="N1358" i="4" s="1"/>
  <c r="M1367" i="4"/>
  <c r="N1367" i="4" s="1"/>
  <c r="M1481" i="4"/>
  <c r="N1481" i="4" s="1"/>
  <c r="M1505" i="4"/>
  <c r="N1505" i="4" s="1"/>
  <c r="M1514" i="4"/>
  <c r="N1514" i="4" s="1"/>
  <c r="M1313" i="4"/>
  <c r="N1313" i="4" s="1"/>
  <c r="M1439" i="4"/>
  <c r="N1439" i="4" s="1"/>
  <c r="M1454" i="4"/>
  <c r="N1454" i="4" s="1"/>
  <c r="M1587" i="4"/>
  <c r="N1587" i="4" s="1"/>
  <c r="M1290" i="4"/>
  <c r="N1290" i="4" s="1"/>
  <c r="M1297" i="4"/>
  <c r="N1297" i="4" s="1"/>
  <c r="M1311" i="4"/>
  <c r="N1311" i="4" s="1"/>
  <c r="M1322" i="4"/>
  <c r="N1322" i="4" s="1"/>
  <c r="M1327" i="4"/>
  <c r="N1327" i="4" s="1"/>
  <c r="M1345" i="4"/>
  <c r="N1345" i="4" s="1"/>
  <c r="M1352" i="4"/>
  <c r="N1352" i="4" s="1"/>
  <c r="M1403" i="4"/>
  <c r="N1403" i="4" s="1"/>
  <c r="M1419" i="4"/>
  <c r="N1419" i="4" s="1"/>
  <c r="M1424" i="4"/>
  <c r="N1424" i="4" s="1"/>
  <c r="M1434" i="4"/>
  <c r="N1434" i="4" s="1"/>
  <c r="M1560" i="4"/>
  <c r="N1560" i="4" s="1"/>
  <c r="M1320" i="4"/>
  <c r="N1320" i="4" s="1"/>
  <c r="M1332" i="4"/>
  <c r="N1332" i="4" s="1"/>
  <c r="M1341" i="4"/>
  <c r="N1341" i="4" s="1"/>
  <c r="M1437" i="4"/>
  <c r="N1437" i="4" s="1"/>
  <c r="M1457" i="4"/>
  <c r="N1457" i="4" s="1"/>
  <c r="M1544" i="4"/>
  <c r="N1544" i="4" s="1"/>
  <c r="M1281" i="4"/>
  <c r="N1281" i="4" s="1"/>
  <c r="M1288" i="4"/>
  <c r="N1288" i="4" s="1"/>
  <c r="M1302" i="4"/>
  <c r="N1302" i="4" s="1"/>
  <c r="M1309" i="4"/>
  <c r="N1309" i="4" s="1"/>
  <c r="M1348" i="4"/>
  <c r="N1348" i="4" s="1"/>
  <c r="M1472" i="4"/>
  <c r="N1472" i="4" s="1"/>
  <c r="M1316" i="4"/>
  <c r="N1316" i="4" s="1"/>
  <c r="M1337" i="4"/>
  <c r="N1337" i="4" s="1"/>
  <c r="M1445" i="4"/>
  <c r="N1445" i="4" s="1"/>
  <c r="M1502" i="4"/>
  <c r="N1502" i="4" s="1"/>
  <c r="M1568" i="4"/>
  <c r="N1568" i="4" s="1"/>
  <c r="M1286" i="4"/>
  <c r="N1286" i="4" s="1"/>
  <c r="M1291" i="4"/>
  <c r="N1291" i="4" s="1"/>
  <c r="M1307" i="4"/>
  <c r="N1307" i="4" s="1"/>
  <c r="M1312" i="4"/>
  <c r="N1312" i="4" s="1"/>
  <c r="M1335" i="4"/>
  <c r="N1335" i="4" s="1"/>
  <c r="M1344" i="4"/>
  <c r="N1344" i="4" s="1"/>
  <c r="M1346" i="4"/>
  <c r="N1346" i="4" s="1"/>
  <c r="M1397" i="4"/>
  <c r="N1397" i="4" s="1"/>
  <c r="M1463" i="4"/>
  <c r="N1463" i="4" s="1"/>
  <c r="M1520" i="4"/>
  <c r="N1520" i="4" s="1"/>
  <c r="M1556" i="4"/>
  <c r="N1556" i="4" s="1"/>
  <c r="M1511" i="4"/>
  <c r="N1511" i="4" s="1"/>
  <c r="M1296" i="4"/>
  <c r="N1296" i="4" s="1"/>
  <c r="M1303" i="4"/>
  <c r="N1303" i="4" s="1"/>
  <c r="M1326" i="4"/>
  <c r="N1326" i="4" s="1"/>
  <c r="M1364" i="4"/>
  <c r="N1364" i="4" s="1"/>
  <c r="M1382" i="4"/>
  <c r="N1382" i="4" s="1"/>
  <c r="M1400" i="4"/>
  <c r="N1400" i="4" s="1"/>
  <c r="M1538" i="4"/>
  <c r="N1538" i="4" s="1"/>
  <c r="M1566" i="4"/>
  <c r="N1566" i="4" s="1"/>
  <c r="M1571" i="4"/>
  <c r="N1571" i="4" s="1"/>
  <c r="M1317" i="4"/>
  <c r="N1317" i="4" s="1"/>
  <c r="M1338" i="4"/>
  <c r="N1338" i="4" s="1"/>
  <c r="M1487" i="4"/>
  <c r="N1487" i="4" s="1"/>
  <c r="M1559" i="4"/>
  <c r="N1559" i="4" s="1"/>
  <c r="G14" i="5"/>
  <c r="H14" i="5" s="1"/>
  <c r="M1562" i="4"/>
  <c r="N1562" i="4" s="1"/>
  <c r="G12" i="5"/>
  <c r="H12" i="5" s="1"/>
  <c r="E15" i="5" l="1"/>
  <c r="E6" i="1" s="1"/>
  <c r="G7" i="5"/>
  <c r="G15" i="5" l="1"/>
  <c r="H7" i="5"/>
  <c r="B15" i="1" s="1"/>
  <c r="H15" i="5" l="1"/>
  <c r="K6" i="1" s="1"/>
  <c r="H6" i="1"/>
</calcChain>
</file>

<file path=xl/sharedStrings.xml><?xml version="1.0" encoding="utf-8"?>
<sst xmlns="http://schemas.openxmlformats.org/spreadsheetml/2006/main" count="6583" uniqueCount="1812">
  <si>
    <t>THẢO DƯỢC ZONE — DASHBOARD LỢI NHUẬN THỰC</t>
  </si>
  <si>
    <t>Tổng hợp doanh thu, chi phí và lợi nhuận thực đa kênh (06/2026 – 08/2026)</t>
  </si>
  <si>
    <t>Tổng doanh thu</t>
  </si>
  <si>
    <t>Tổng phí sàn</t>
  </si>
  <si>
    <t>Lợi nhuận thực</t>
  </si>
  <si>
    <t>% Biên LN trung bình</t>
  </si>
  <si>
    <t>Cảnh báo tồn kho khẩn cấp (&lt;=15 ngày đến hạn)</t>
  </si>
  <si>
    <t>Sản phẩm bán chạy nhưng biên lợi nhuận thấp nhất (dưới ngưỡng cảnh báo)</t>
  </si>
  <si>
    <t>sku_id</t>
  </si>
  <si>
    <t>sku_name</t>
  </si>
  <si>
    <t>category</t>
  </si>
  <si>
    <t>cost_price</t>
  </si>
  <si>
    <t>SKU001</t>
  </si>
  <si>
    <t>Trà atiso thanh lọc</t>
  </si>
  <si>
    <t>Thanh lọc</t>
  </si>
  <si>
    <t>SKU002</t>
  </si>
  <si>
    <t>Trà lá nam sen ổi</t>
  </si>
  <si>
    <t>SKU003</t>
  </si>
  <si>
    <t>Trà diếp cá rau má</t>
  </si>
  <si>
    <t>Detox</t>
  </si>
  <si>
    <t>SKU004</t>
  </si>
  <si>
    <t>Trà cà leo gai giảm cân</t>
  </si>
  <si>
    <t>SKU005</t>
  </si>
  <si>
    <t>Trà hoa cúc an thần</t>
  </si>
  <si>
    <t>An thần</t>
  </si>
  <si>
    <t>SKU006</t>
  </si>
  <si>
    <t>Trà hoa đậu biếc</t>
  </si>
  <si>
    <t>SKU007</t>
  </si>
  <si>
    <t>Trà gừng mật ong</t>
  </si>
  <si>
    <t>Giữ ấm</t>
  </si>
  <si>
    <t>SKU008</t>
  </si>
  <si>
    <t>Trà mâm xôi vitamin</t>
  </si>
  <si>
    <t>Bổ sung dưỡng chất</t>
  </si>
  <si>
    <t>channel</t>
  </si>
  <si>
    <t>fee_type</t>
  </si>
  <si>
    <t>fee_rate</t>
  </si>
  <si>
    <t>Shopee</t>
  </si>
  <si>
    <t>commission</t>
  </si>
  <si>
    <t>TikTok Shop</t>
  </si>
  <si>
    <t>Zalo/Fanpage</t>
  </si>
  <si>
    <t>Đại lý</t>
  </si>
  <si>
    <t>order_id</t>
  </si>
  <si>
    <t>order_date</t>
  </si>
  <si>
    <t>quantity</t>
  </si>
  <si>
    <t>revenue</t>
  </si>
  <si>
    <t>total_cost</t>
  </si>
  <si>
    <t>platform_fee</t>
  </si>
  <si>
    <t>net_profit</t>
  </si>
  <si>
    <t>net_margin_pct</t>
  </si>
  <si>
    <t>ORD00001</t>
  </si>
  <si>
    <t>2026-06-01</t>
  </si>
  <si>
    <t>ORD00002</t>
  </si>
  <si>
    <t>ORD00003</t>
  </si>
  <si>
    <t>ORD00004</t>
  </si>
  <si>
    <t>ORD00005</t>
  </si>
  <si>
    <t>ORD00006</t>
  </si>
  <si>
    <t>ORD00007</t>
  </si>
  <si>
    <t>ORD00008</t>
  </si>
  <si>
    <t>ORD00009</t>
  </si>
  <si>
    <t>ORD00010</t>
  </si>
  <si>
    <t>ORD00011</t>
  </si>
  <si>
    <t>ORD00012</t>
  </si>
  <si>
    <t>ORD00013</t>
  </si>
  <si>
    <t>ORD00014</t>
  </si>
  <si>
    <t>ORD00015</t>
  </si>
  <si>
    <t>ORD00016</t>
  </si>
  <si>
    <t>ORD00017</t>
  </si>
  <si>
    <t>ORD00018</t>
  </si>
  <si>
    <t>ORD00019</t>
  </si>
  <si>
    <t>ORD00020</t>
  </si>
  <si>
    <t>ORD00021</t>
  </si>
  <si>
    <t>2026-06-02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</si>
  <si>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</si>
  <si>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</si>
  <si>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</si>
  <si>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</si>
  <si>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</si>
  <si>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</si>
  <si>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</si>
  <si>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</si>
  <si>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</si>
  <si>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</si>
  <si>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</si>
  <si>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</si>
  <si>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</si>
  <si>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</si>
  <si>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</si>
  <si>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</si>
  <si>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</si>
  <si>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</si>
  <si>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</si>
  <si>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</si>
  <si>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2026-06-03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</si>
  <si>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</si>
  <si>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</si>
  <si>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</si>
  <si>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</si>
  <si>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</si>
  <si>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</si>
  <si>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</si>
  <si>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</si>
  <si>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</si>
  <si>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</si>
  <si>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</si>
  <si>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</si>
  <si>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</si>
  <si>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</si>
  <si>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</si>
  <si>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</si>
  <si>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</si>
  <si>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</si>
  <si>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</si>
  <si>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</si>
  <si>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</si>
  <si>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</si>
  <si>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2026-06-04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</si>
  <si>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</si>
  <si>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</si>
  <si>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</si>
  <si>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</si>
  <si>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</si>
  <si>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</si>
  <si>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</si>
  <si>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</si>
  <si>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</si>
  <si>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</si>
  <si>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</si>
  <si>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</si>
  <si>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</si>
  <si>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</si>
  <si>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</si>
  <si>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</si>
  <si>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</si>
  <si>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</si>
  <si>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2026-06-05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</si>
  <si>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</si>
  <si>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</si>
  <si>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</si>
  <si>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</si>
  <si>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</si>
  <si>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</si>
  <si>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</si>
  <si>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</si>
  <si>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</si>
  <si>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</si>
  <si>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</si>
  <si>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</si>
  <si>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</si>
  <si>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</si>
  <si>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</si>
  <si>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</si>
  <si>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</si>
  <si>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</si>
  <si>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</si>
  <si>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</si>
  <si>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</si>
  <si>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2026-06-06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</si>
  <si>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</si>
  <si>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</si>
  <si>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</si>
  <si>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</si>
  <si>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</si>
  <si>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</si>
  <si>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</si>
  <si>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</si>
  <si>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</si>
  <si>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</si>
  <si>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</si>
  <si>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</si>
  <si>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</si>
  <si>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</si>
  <si>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</si>
  <si>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</si>
  <si>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</si>
  <si>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</si>
  <si>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</si>
  <si>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</si>
  <si>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</si>
  <si>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</si>
  <si>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</si>
  <si>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</si>
  <si>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2026-06-07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</si>
  <si>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</si>
  <si>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</si>
  <si>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</si>
  <si>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</si>
  <si>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</si>
  <si>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</si>
  <si>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</si>
  <si>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</si>
  <si>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</si>
  <si>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</si>
  <si>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</si>
  <si>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</si>
  <si>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</si>
  <si>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</si>
  <si>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</si>
  <si>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</si>
  <si>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</si>
  <si>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2026-06-08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</si>
  <si>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</si>
  <si>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</si>
  <si>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</si>
  <si>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</si>
  <si>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</si>
  <si>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</si>
  <si>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</si>
  <si>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</si>
  <si>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</si>
  <si>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</si>
  <si>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</si>
  <si>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</si>
  <si>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</si>
  <si>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2026-06-09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</si>
  <si>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</si>
  <si>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</si>
  <si>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</si>
  <si>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</si>
  <si>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</si>
  <si>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</si>
  <si>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</si>
  <si>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</si>
  <si>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</si>
  <si>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</si>
  <si>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</si>
  <si>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</si>
  <si>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</si>
  <si>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</si>
  <si>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</si>
  <si>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</si>
  <si>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</si>
  <si>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2026-06-10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</si>
  <si>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</si>
  <si>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</si>
  <si>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</si>
  <si>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</si>
  <si>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</si>
  <si>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</si>
  <si>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</si>
  <si>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</si>
  <si>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</si>
  <si>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</si>
  <si>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</si>
  <si>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</si>
  <si>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</si>
  <si>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</si>
  <si>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</si>
  <si>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</si>
  <si>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</si>
  <si>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</si>
  <si>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2026-06-11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</si>
  <si>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</si>
  <si>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</si>
  <si>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</si>
  <si>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</si>
  <si>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</si>
  <si>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</si>
  <si>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</si>
  <si>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</si>
  <si>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</si>
  <si>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</si>
  <si>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</si>
  <si>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</si>
  <si>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2026-06-12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</si>
  <si>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</si>
  <si>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</si>
  <si>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</si>
  <si>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</si>
  <si>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</si>
  <si>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</si>
  <si>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</si>
  <si>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</si>
  <si>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</si>
  <si>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</si>
  <si>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</si>
  <si>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</si>
  <si>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</si>
  <si>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</si>
  <si>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</si>
  <si>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2026-06-13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</si>
  <si>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</si>
  <si>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</si>
  <si>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</si>
  <si>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</si>
  <si>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</si>
  <si>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</si>
  <si>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</si>
  <si>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</si>
  <si>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</si>
  <si>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</si>
  <si>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</si>
  <si>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</si>
  <si>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</si>
  <si>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</si>
  <si>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</si>
  <si>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</si>
  <si>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</si>
  <si>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2026-06-14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</si>
  <si>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</si>
  <si>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</si>
  <si>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</si>
  <si>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</si>
  <si>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</si>
  <si>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</si>
  <si>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</si>
  <si>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</si>
  <si>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</si>
  <si>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</si>
  <si>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</si>
  <si>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</si>
  <si>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</si>
  <si>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</si>
  <si>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</si>
  <si>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</si>
  <si>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</si>
  <si>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</si>
  <si>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</si>
  <si>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</si>
  <si>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</si>
  <si>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2026-06-15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</si>
  <si>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</si>
  <si>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</si>
  <si>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</si>
  <si>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</si>
  <si>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</si>
  <si>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</si>
  <si>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</si>
  <si>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</si>
  <si>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</si>
  <si>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</si>
  <si>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</si>
  <si>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2026-06-16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</si>
  <si>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</si>
  <si>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</si>
  <si>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</si>
  <si>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</si>
  <si>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</si>
  <si>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</si>
  <si>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</si>
  <si>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</si>
  <si>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</si>
  <si>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</si>
  <si>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</si>
  <si>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</si>
  <si>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</si>
  <si>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</si>
  <si>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</si>
  <si>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</si>
  <si>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</si>
  <si>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</si>
  <si>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</si>
  <si>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</si>
  <si>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</si>
  <si>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2026-06-17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</si>
  <si>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</si>
  <si>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</si>
  <si>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</si>
  <si>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</si>
  <si>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</si>
  <si>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</si>
  <si>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</si>
  <si>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</si>
  <si>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</si>
  <si>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</si>
  <si>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</si>
  <si>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</si>
  <si>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</si>
  <si>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</si>
  <si>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</si>
  <si>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</si>
  <si>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</si>
  <si>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</si>
  <si>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2026-06-18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</si>
  <si>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</si>
  <si>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</si>
  <si>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</si>
  <si>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</si>
  <si>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</si>
  <si>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</si>
  <si>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</si>
  <si>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</si>
  <si>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</si>
  <si>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</si>
  <si>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</si>
  <si>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</si>
  <si>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</si>
  <si>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</si>
  <si>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</si>
  <si>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</si>
  <si>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</si>
  <si>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</si>
  <si>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</si>
  <si>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2026-06-19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</si>
  <si>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</si>
  <si>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</si>
  <si>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</si>
  <si>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</si>
  <si>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</si>
  <si>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</si>
  <si>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</si>
  <si>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</si>
  <si>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</si>
  <si>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</si>
  <si>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</si>
  <si>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2026-06-20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</si>
  <si>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</si>
  <si>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</si>
  <si>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</si>
  <si>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</si>
  <si>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</si>
  <si>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</si>
  <si>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</si>
  <si>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</si>
  <si>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</si>
  <si>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</si>
  <si>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</si>
  <si>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</si>
  <si>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</si>
  <si>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</si>
  <si>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</si>
  <si>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2026-06-21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</si>
  <si>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</si>
  <si>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</si>
  <si>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</si>
  <si>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</si>
  <si>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</si>
  <si>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</si>
  <si>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</si>
  <si>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</si>
  <si>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</si>
  <si>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</si>
  <si>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</si>
  <si>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</si>
  <si>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</si>
  <si>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</si>
  <si>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</si>
  <si>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</si>
  <si>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</si>
  <si>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</si>
  <si>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</si>
  <si>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</si>
  <si>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</si>
  <si>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</si>
  <si>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</si>
  <si>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</si>
  <si>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</si>
  <si>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2026-06-22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</si>
  <si>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</si>
  <si>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</si>
  <si>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</si>
  <si>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</si>
  <si>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</si>
  <si>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</si>
  <si>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</si>
  <si>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</si>
  <si>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</si>
  <si>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</si>
  <si>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</si>
  <si>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2026-06-23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</si>
  <si>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</si>
  <si>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</si>
  <si>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</si>
  <si>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</si>
  <si>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</si>
  <si>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</si>
  <si>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</si>
  <si>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</si>
  <si>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</si>
  <si>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</si>
  <si>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</si>
  <si>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</si>
  <si>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</si>
  <si>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</si>
  <si>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</si>
  <si>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2026-06-24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</si>
  <si>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</si>
  <si>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</si>
  <si>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</si>
  <si>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</si>
  <si>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</si>
  <si>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</si>
  <si>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</si>
  <si>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</si>
  <si>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</si>
  <si>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</si>
  <si>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</si>
  <si>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</si>
  <si>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</si>
  <si>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</si>
  <si>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</si>
  <si>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</si>
  <si>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2026-06-25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</si>
  <si>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</si>
  <si>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</si>
  <si>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</si>
  <si>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</si>
  <si>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</si>
  <si>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</si>
  <si>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</si>
  <si>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</si>
  <si>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</si>
  <si>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</si>
  <si>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</si>
  <si>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</si>
  <si>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</si>
  <si>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</si>
  <si>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</si>
  <si>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</si>
  <si>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</si>
  <si>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</si>
  <si>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2026-06-26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</si>
  <si>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</si>
  <si>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</si>
  <si>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</si>
  <si>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</si>
  <si>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</si>
  <si>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</si>
  <si>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</si>
  <si>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</si>
  <si>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</si>
  <si>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</si>
  <si>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</si>
  <si>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</si>
  <si>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</si>
  <si>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</si>
  <si>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</si>
  <si>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</si>
  <si>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</si>
  <si>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</si>
  <si>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</si>
  <si>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</si>
  <si>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2026-06-27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</si>
  <si>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</si>
  <si>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</si>
  <si>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</si>
  <si>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</si>
  <si>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</si>
  <si>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</si>
  <si>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</si>
  <si>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</si>
  <si>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</si>
  <si>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</si>
  <si>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</si>
  <si>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</si>
  <si>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</si>
  <si>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</si>
  <si>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</si>
  <si>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</si>
  <si>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</si>
  <si>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</si>
  <si>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</si>
  <si>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2026-06-28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</si>
  <si>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</si>
  <si>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</si>
  <si>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</si>
  <si>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</si>
  <si>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</si>
  <si>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</si>
  <si>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</si>
  <si>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</si>
  <si>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</si>
  <si>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</si>
  <si>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</si>
  <si>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</si>
  <si>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</si>
  <si>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</si>
  <si>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</si>
  <si>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</si>
  <si>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</si>
  <si>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</si>
  <si>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</si>
  <si>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</si>
  <si>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</si>
  <si>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2026-06-29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</si>
  <si>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</si>
  <si>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</si>
  <si>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</si>
  <si>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</si>
  <si>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</si>
  <si>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</si>
  <si>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</si>
  <si>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</si>
  <si>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</si>
  <si>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</si>
  <si>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</si>
  <si>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</si>
  <si>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</si>
  <si>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</si>
  <si>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</si>
  <si>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</si>
  <si>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2026-06-30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</si>
  <si>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</si>
  <si>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</si>
  <si>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</si>
  <si>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</si>
  <si>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</si>
  <si>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</si>
  <si>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</si>
  <si>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</si>
  <si>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</si>
  <si>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</si>
  <si>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</si>
  <si>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</si>
  <si>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</si>
  <si>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2026-07-01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</si>
  <si>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</si>
  <si>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</si>
  <si>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</si>
  <si>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</si>
  <si>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</si>
  <si>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</si>
  <si>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</si>
  <si>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</si>
  <si>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</si>
  <si>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</si>
  <si>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2026-07-02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</si>
  <si>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</si>
  <si>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</si>
  <si>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</si>
  <si>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</si>
  <si>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</si>
  <si>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</si>
  <si>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</si>
  <si>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</si>
  <si>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</si>
  <si>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</si>
  <si>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2026-07-03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</si>
  <si>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</si>
  <si>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</si>
  <si>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</si>
  <si>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</si>
  <si>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</si>
  <si>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</si>
  <si>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</si>
  <si>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</si>
  <si>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</si>
  <si>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</si>
  <si>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</si>
  <si>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</si>
  <si>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</si>
  <si>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</si>
  <si>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</si>
  <si>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</si>
  <si>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</si>
  <si>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</si>
  <si>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</si>
  <si>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</si>
  <si>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</si>
  <si>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</si>
  <si>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2026-07-04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</si>
  <si>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</si>
  <si>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</si>
  <si>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</si>
  <si>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</si>
  <si>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</si>
  <si>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</si>
  <si>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</si>
  <si>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</si>
  <si>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</si>
  <si>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</si>
  <si>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</si>
  <si>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</si>
  <si>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</si>
  <si>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</si>
  <si>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</si>
  <si>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</si>
  <si>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</si>
  <si>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2026-07-05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</si>
  <si>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</si>
  <si>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</si>
  <si>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</si>
  <si>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</si>
  <si>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</si>
  <si>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</si>
  <si>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</si>
  <si>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</si>
  <si>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</si>
  <si>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</si>
  <si>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</si>
  <si>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</si>
  <si>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</si>
  <si>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</si>
  <si>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</si>
  <si>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</si>
  <si>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</si>
  <si>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</si>
  <si>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</si>
  <si>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</si>
  <si>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2026-07-06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</si>
  <si>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</si>
  <si>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</si>
  <si>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</si>
  <si>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</si>
  <si>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</si>
  <si>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</si>
  <si>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</si>
  <si>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</si>
  <si>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</si>
  <si>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</si>
  <si>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</si>
  <si>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2026-07-07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</si>
  <si>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</si>
  <si>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</si>
  <si>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</si>
  <si>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</si>
  <si>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</si>
  <si>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</si>
  <si>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</si>
  <si>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</si>
  <si>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</si>
  <si>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</si>
  <si>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</si>
  <si>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</si>
  <si>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</si>
  <si>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</si>
  <si>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</si>
  <si>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2026-07-08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</si>
  <si>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</si>
  <si>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</si>
  <si>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</si>
  <si>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</si>
  <si>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</si>
  <si>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</si>
  <si>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</si>
  <si>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</si>
  <si>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</si>
  <si>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</si>
  <si>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</si>
  <si>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</si>
  <si>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</si>
  <si>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</si>
  <si>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</si>
  <si>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</si>
  <si>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2026-07-09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</si>
  <si>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</si>
  <si>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</si>
  <si>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</si>
  <si>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</si>
  <si>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</si>
  <si>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</si>
  <si>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</si>
  <si>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</si>
  <si>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</si>
  <si>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</si>
  <si>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</si>
  <si>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</si>
  <si>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</si>
  <si>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</si>
  <si>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</si>
  <si>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</si>
  <si>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</si>
  <si>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</si>
  <si>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</si>
  <si>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</si>
  <si>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</si>
  <si>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</si>
  <si>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2026-07-10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</si>
  <si>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</si>
  <si>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</si>
  <si>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</si>
  <si>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</si>
  <si>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</si>
  <si>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</si>
  <si>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</si>
  <si>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</si>
  <si>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</si>
  <si>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</si>
  <si>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</si>
  <si>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2026-07-11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</si>
  <si>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</si>
  <si>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</si>
  <si>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</si>
  <si>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</si>
  <si>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</si>
  <si>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</si>
  <si>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</si>
  <si>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</si>
  <si>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</si>
  <si>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</si>
  <si>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</si>
  <si>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</si>
  <si>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</si>
  <si>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</si>
  <si>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</si>
  <si>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</si>
  <si>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</si>
  <si>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</si>
  <si>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</si>
  <si>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</si>
  <si>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</si>
  <si>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</si>
  <si>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</si>
  <si>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</si>
  <si>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</si>
  <si>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2026-07-12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</si>
  <si>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</si>
  <si>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</si>
  <si>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</si>
  <si>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</si>
  <si>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</si>
  <si>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</si>
  <si>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</si>
  <si>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</si>
  <si>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</si>
  <si>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</si>
  <si>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</si>
  <si>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</si>
  <si>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</si>
  <si>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</si>
  <si>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</si>
  <si>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</si>
  <si>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2026-07-13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</si>
  <si>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</si>
  <si>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</si>
  <si>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</si>
  <si>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</si>
  <si>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</si>
  <si>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</si>
  <si>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</si>
  <si>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</si>
  <si>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</si>
  <si>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</si>
  <si>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</si>
  <si>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</si>
  <si>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</si>
  <si>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</si>
  <si>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</si>
  <si>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</si>
  <si>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</si>
  <si>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</si>
  <si>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</si>
  <si>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</si>
  <si>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2026-07-14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</si>
  <si>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</si>
  <si>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</si>
  <si>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</si>
  <si>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</si>
  <si>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</si>
  <si>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</si>
  <si>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</si>
  <si>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</si>
  <si>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</si>
  <si>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</si>
  <si>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</si>
  <si>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</si>
  <si>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</si>
  <si>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</si>
  <si>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</si>
  <si>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</si>
  <si>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</si>
  <si>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2026-07-15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</si>
  <si>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</si>
  <si>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</si>
  <si>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</si>
  <si>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</si>
  <si>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</si>
  <si>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</si>
  <si>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</si>
  <si>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</si>
  <si>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</si>
  <si>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</si>
  <si>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</si>
  <si>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2026-07-16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</si>
  <si>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</si>
  <si>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</si>
  <si>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</si>
  <si>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</si>
  <si>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</si>
  <si>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</si>
  <si>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</si>
  <si>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</si>
  <si>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</si>
  <si>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</si>
  <si>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</si>
  <si>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2026-07-17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</si>
  <si>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</si>
  <si>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</si>
  <si>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</si>
  <si>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</si>
  <si>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</si>
  <si>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</si>
  <si>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</si>
  <si>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</si>
  <si>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</si>
  <si>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</si>
  <si>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</si>
  <si>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</si>
  <si>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</si>
  <si>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</si>
  <si>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</si>
  <si>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</si>
  <si>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</si>
  <si>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</si>
  <si>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</si>
  <si>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</si>
  <si>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</si>
  <si>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</si>
  <si>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2026-07-18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</si>
  <si>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</si>
  <si>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</si>
  <si>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</si>
  <si>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</si>
  <si>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</si>
  <si>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</si>
  <si>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</si>
  <si>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</si>
  <si>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</si>
  <si>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</si>
  <si>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</si>
  <si>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</si>
  <si>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</si>
  <si>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</si>
  <si>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</si>
  <si>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</si>
  <si>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</si>
  <si>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</si>
  <si>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</si>
  <si>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</si>
  <si>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</si>
  <si>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</si>
  <si>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</si>
  <si>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</si>
  <si>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</si>
  <si>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</si>
  <si>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2026-07-19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</si>
  <si>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</si>
  <si>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</si>
  <si>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</si>
  <si>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</si>
  <si>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</si>
  <si>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</si>
  <si>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</si>
  <si>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</si>
  <si>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</si>
  <si>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</si>
  <si>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</si>
  <si>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</si>
  <si>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</si>
  <si>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</si>
  <si>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</si>
  <si>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</si>
  <si>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</si>
  <si>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2026-07-20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</si>
  <si>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</si>
  <si>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</si>
  <si>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</si>
  <si>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</si>
  <si>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</si>
  <si>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</si>
  <si>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</si>
  <si>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</si>
  <si>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</si>
  <si>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</si>
  <si>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</si>
  <si>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</si>
  <si>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</si>
  <si>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</si>
  <si>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</si>
  <si>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</si>
  <si>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</si>
  <si>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</si>
  <si>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</si>
  <si>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2026-07-21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</si>
  <si>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</si>
  <si>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</si>
  <si>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</si>
  <si>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</si>
  <si>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</si>
  <si>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</si>
  <si>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</si>
  <si>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</si>
  <si>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</si>
  <si>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</si>
  <si>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</si>
  <si>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</si>
  <si>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</si>
  <si>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</si>
  <si>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</si>
  <si>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</si>
  <si>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</si>
  <si>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2026-07-22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</si>
  <si>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</si>
  <si>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</si>
  <si>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</si>
  <si>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</si>
  <si>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</si>
  <si>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</si>
  <si>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</si>
  <si>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</si>
  <si>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</si>
  <si>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</si>
  <si>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</si>
  <si>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</si>
  <si>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2026-07-23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</si>
  <si>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</si>
  <si>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</si>
  <si>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</si>
  <si>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</si>
  <si>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</si>
  <si>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</si>
  <si>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</si>
  <si>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</si>
  <si>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</si>
  <si>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</si>
  <si>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</si>
  <si>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</si>
  <si>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</si>
  <si>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</si>
  <si>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</si>
  <si>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</si>
  <si>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</si>
  <si>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</si>
  <si>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</si>
  <si>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</si>
  <si>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2026-07-24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</si>
  <si>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</si>
  <si>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</si>
  <si>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</si>
  <si>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</si>
  <si>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</si>
  <si>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</si>
  <si>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</si>
  <si>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</si>
  <si>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</si>
  <si>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</si>
  <si>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</si>
  <si>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</si>
  <si>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</si>
  <si>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</si>
  <si>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</si>
  <si>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</si>
  <si>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</si>
  <si>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</si>
  <si>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</si>
  <si>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2026-07-25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</si>
  <si>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</si>
  <si>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</si>
  <si>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</si>
  <si>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</si>
  <si>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</si>
  <si>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</si>
  <si>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</si>
  <si>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</si>
  <si>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</si>
  <si>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</si>
  <si>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</si>
  <si>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</si>
  <si>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</si>
  <si>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</si>
  <si>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</si>
  <si>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</si>
  <si>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</si>
  <si>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</si>
  <si>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</si>
  <si>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</si>
  <si>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2026-07-26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</si>
  <si>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</si>
  <si>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</si>
  <si>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</si>
  <si>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</si>
  <si>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</si>
  <si>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</si>
  <si>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</si>
  <si>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</si>
  <si>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</si>
  <si>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</si>
  <si>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</si>
  <si>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</si>
  <si>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</si>
  <si>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</si>
  <si>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</si>
  <si>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2026-07-27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</si>
  <si>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</si>
  <si>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</si>
  <si>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</si>
  <si>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</si>
  <si>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</si>
  <si>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</si>
  <si>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</si>
  <si>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</si>
  <si>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</si>
  <si>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</si>
  <si>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2026-07-28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</si>
  <si>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</si>
  <si>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</si>
  <si>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</si>
  <si>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</si>
  <si>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</si>
  <si>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</si>
  <si>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</si>
  <si>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</si>
  <si>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</si>
  <si>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</si>
  <si>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</si>
  <si>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</si>
  <si>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</si>
  <si>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</si>
  <si>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</si>
  <si>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</si>
  <si>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</si>
  <si>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</si>
  <si>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</si>
  <si>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</si>
  <si>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2026-07-29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</si>
  <si>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</si>
  <si>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</si>
  <si>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</si>
  <si>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</si>
  <si>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</si>
  <si>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</si>
  <si>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</si>
  <si>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</si>
  <si>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</si>
  <si>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</si>
  <si>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</si>
  <si>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</si>
  <si>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</si>
  <si>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</si>
  <si>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</si>
  <si>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</si>
  <si>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</si>
  <si>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</si>
  <si>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</si>
  <si>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</si>
  <si>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</si>
  <si>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2026-07-30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</si>
  <si>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</si>
  <si>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</si>
  <si>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</si>
  <si>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</si>
  <si>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</si>
  <si>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</si>
  <si>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</si>
  <si>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</si>
  <si>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</si>
  <si>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</si>
  <si>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</si>
  <si>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</si>
  <si>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</si>
  <si>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2026-07-31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</si>
  <si>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</si>
  <si>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</si>
  <si>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</si>
  <si>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</si>
  <si>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</si>
  <si>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</si>
  <si>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</si>
  <si>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</si>
  <si>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</si>
  <si>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</si>
  <si>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</si>
  <si>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</si>
  <si>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2026-08-01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</si>
  <si>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</si>
  <si>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</si>
  <si>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</si>
  <si>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</si>
  <si>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</si>
  <si>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</si>
  <si>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</si>
  <si>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</si>
  <si>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</si>
  <si>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</si>
  <si>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</si>
  <si>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</si>
  <si>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</si>
  <si>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</si>
  <si>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</si>
  <si>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</si>
  <si>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</si>
  <si>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</si>
  <si>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</si>
  <si>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2026-08-02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</si>
  <si>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</si>
  <si>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</si>
  <si>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</si>
  <si>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</si>
  <si>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</si>
  <si>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</si>
  <si>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</si>
  <si>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</si>
  <si>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</si>
  <si>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</si>
  <si>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</si>
  <si>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</si>
  <si>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</si>
  <si>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</si>
  <si>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</si>
  <si>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</si>
  <si>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2026-08-03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</si>
  <si>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</si>
  <si>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</si>
  <si>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</si>
  <si>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</si>
  <si>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</si>
  <si>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</si>
  <si>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</si>
  <si>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</si>
  <si>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</si>
  <si>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</si>
  <si>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</si>
  <si>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</si>
  <si>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</si>
  <si>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</si>
  <si>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</si>
  <si>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</si>
  <si>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</si>
  <si>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2026-08-04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</si>
  <si>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</si>
  <si>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</si>
  <si>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</si>
  <si>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</si>
  <si>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</si>
  <si>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</si>
  <si>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</si>
  <si>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</si>
  <si>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</si>
  <si>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</si>
  <si>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</si>
  <si>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</si>
  <si>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</si>
  <si>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</si>
  <si>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</si>
  <si>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</si>
  <si>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2026-08-05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</si>
  <si>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</si>
  <si>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</si>
  <si>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</si>
  <si>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</si>
  <si>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</si>
  <si>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</si>
  <si>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</si>
  <si>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</si>
  <si>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</si>
  <si>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</si>
  <si>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</si>
  <si>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</si>
  <si>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</si>
  <si>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</si>
  <si>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</si>
  <si>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2026-08-06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</si>
  <si>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</si>
  <si>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</si>
  <si>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</si>
  <si>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</si>
  <si>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</si>
  <si>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</si>
  <si>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</si>
  <si>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</si>
  <si>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</si>
  <si>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</si>
  <si>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</si>
  <si>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</si>
  <si>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2026-08-07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</si>
  <si>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</si>
  <si>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</si>
  <si>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</si>
  <si>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</si>
  <si>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</si>
  <si>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</si>
  <si>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</si>
  <si>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</si>
  <si>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</si>
  <si>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</si>
  <si>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</si>
  <si>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</si>
  <si>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</si>
  <si>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</si>
  <si>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</si>
  <si>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</si>
  <si>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</si>
  <si>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</si>
  <si>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</si>
  <si>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</si>
  <si>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</si>
  <si>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2026-08-08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</si>
  <si>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</si>
  <si>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</si>
  <si>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</si>
  <si>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</si>
  <si>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</si>
  <si>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</si>
  <si>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</si>
  <si>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</si>
  <si>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</si>
  <si>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</si>
  <si>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</si>
  <si>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</si>
  <si>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</si>
  <si>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</si>
  <si>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</si>
  <si>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</si>
  <si>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</si>
  <si>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</si>
  <si>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</si>
  <si>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</si>
  <si>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</si>
  <si>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</si>
  <si>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</si>
  <si>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</si>
  <si>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2026-08-09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</si>
  <si>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</si>
  <si>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</si>
  <si>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</si>
  <si>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</si>
  <si>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</si>
  <si>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</si>
  <si>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</si>
  <si>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</si>
  <si>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</si>
  <si>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</si>
  <si>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</si>
  <si>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</si>
  <si>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</si>
  <si>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</si>
  <si>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</si>
  <si>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</si>
  <si>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</si>
  <si>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</si>
  <si>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</si>
  <si>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</si>
  <si>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</si>
  <si>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2026-08-10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</si>
  <si>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</si>
  <si>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</si>
  <si>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</si>
  <si>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</si>
  <si>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</si>
  <si>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</si>
  <si>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</si>
  <si>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</si>
  <si>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</si>
  <si>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</si>
  <si>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</si>
  <si>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</si>
  <si>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</si>
  <si>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</si>
  <si>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</si>
  <si>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</si>
  <si>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2026-08-11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</si>
  <si>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</si>
  <si>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</si>
  <si>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</si>
  <si>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</si>
  <si>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</si>
  <si>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</si>
  <si>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</si>
  <si>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</si>
  <si>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</si>
  <si>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</si>
  <si>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</si>
  <si>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</si>
  <si>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</si>
  <si>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2026-08-12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</si>
  <si>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</si>
  <si>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</si>
  <si>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</si>
  <si>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</si>
  <si>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</si>
  <si>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</si>
  <si>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</si>
  <si>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</si>
  <si>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</si>
  <si>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</si>
  <si>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</si>
  <si>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</si>
  <si>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</si>
  <si>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</si>
  <si>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</si>
  <si>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</si>
  <si>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</si>
  <si>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</si>
  <si>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2026-08-13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</si>
  <si>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</si>
  <si>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</si>
  <si>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</si>
  <si>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</si>
  <si>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</si>
  <si>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</si>
  <si>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</si>
  <si>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</si>
  <si>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</si>
  <si>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</si>
  <si>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</si>
  <si>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</si>
  <si>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</si>
  <si>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</si>
  <si>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</si>
  <si>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</si>
  <si>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</si>
  <si>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</si>
  <si>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</si>
  <si>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</si>
  <si>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</si>
  <si>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2026-08-14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</si>
  <si>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</si>
  <si>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</si>
  <si>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</si>
  <si>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</si>
  <si>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</si>
  <si>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</si>
  <si>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</si>
  <si>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</si>
  <si>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</si>
  <si>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</si>
  <si>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</si>
  <si>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</si>
  <si>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</si>
  <si>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</si>
  <si>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</si>
  <si>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2026-08-15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</si>
  <si>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</si>
  <si>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</si>
  <si>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</si>
  <si>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</si>
  <si>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</si>
  <si>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</si>
  <si>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</si>
  <si>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</si>
  <si>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</si>
  <si>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</si>
  <si>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</si>
  <si>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</si>
  <si>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</si>
  <si>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</si>
  <si>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</si>
  <si>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</si>
  <si>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</si>
  <si>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</si>
  <si>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</si>
  <si>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</si>
  <si>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</si>
  <si>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</si>
  <si>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</si>
  <si>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2026-08-16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</si>
  <si>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</si>
  <si>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</si>
  <si>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</si>
  <si>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</si>
  <si>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</si>
  <si>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</si>
  <si>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</si>
  <si>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</si>
  <si>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</si>
  <si>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</si>
  <si>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</si>
  <si>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</si>
  <si>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</si>
  <si>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</si>
  <si>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</si>
  <si>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2026-08-17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</si>
  <si>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</si>
  <si>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</si>
  <si>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</si>
  <si>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</si>
  <si>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</si>
  <si>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</si>
  <si>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</si>
  <si>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</si>
  <si>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</si>
  <si>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</si>
  <si>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</si>
  <si>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</si>
  <si>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</si>
  <si>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</si>
  <si>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</si>
  <si>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</si>
  <si>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</si>
  <si>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</si>
  <si>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</si>
  <si>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</si>
  <si>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</si>
  <si>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2026-08-18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</si>
  <si>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</si>
  <si>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</si>
  <si>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</si>
  <si>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</si>
  <si>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</si>
  <si>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</si>
  <si>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</si>
  <si>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</si>
  <si>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</si>
  <si>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</si>
  <si>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</si>
  <si>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</si>
  <si>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</si>
  <si>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</si>
  <si>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</si>
  <si>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</si>
  <si>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</si>
  <si>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</si>
  <si>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</si>
  <si>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</si>
  <si>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</si>
  <si>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2026-08-19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</si>
  <si>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</si>
  <si>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</si>
  <si>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</si>
  <si>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</si>
  <si>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</si>
  <si>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</si>
  <si>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</si>
  <si>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</si>
  <si>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</si>
  <si>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</si>
  <si>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</si>
  <si>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</si>
  <si>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</si>
  <si>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</si>
  <si>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</si>
  <si>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</si>
  <si>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</si>
  <si>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2026-08-20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</si>
  <si>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</si>
  <si>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</si>
  <si>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</si>
  <si>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</si>
  <si>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</si>
  <si>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</si>
  <si>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</si>
  <si>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</si>
  <si>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</si>
  <si>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</si>
  <si>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2026-08-21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</si>
  <si>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</si>
  <si>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</si>
  <si>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</si>
  <si>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</si>
  <si>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</si>
  <si>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</si>
  <si>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</si>
  <si>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</si>
  <si>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</si>
  <si>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</si>
  <si>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</si>
  <si>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</si>
  <si>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</si>
  <si>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</si>
  <si>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</si>
  <si>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</si>
  <si>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</si>
  <si>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</si>
  <si>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</si>
  <si>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2026-08-22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</si>
  <si>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</si>
  <si>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</si>
  <si>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</si>
  <si>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</si>
  <si>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</si>
  <si>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</si>
  <si>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</si>
  <si>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</si>
  <si>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</si>
  <si>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</si>
  <si>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</si>
  <si>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</si>
  <si>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</si>
  <si>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</si>
  <si>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</si>
  <si>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</si>
  <si>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2026-08-23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</si>
  <si>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</si>
  <si>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</si>
  <si>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</si>
  <si>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</si>
  <si>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</si>
  <si>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</si>
  <si>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</si>
  <si>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</si>
  <si>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</si>
  <si>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</si>
  <si>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</si>
  <si>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</si>
  <si>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</si>
  <si>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</si>
  <si>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</si>
  <si>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</si>
  <si>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</si>
  <si>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2026-08-24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</si>
  <si>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</si>
  <si>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</si>
  <si>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</si>
  <si>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</si>
  <si>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</si>
  <si>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</si>
  <si>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</si>
  <si>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</si>
  <si>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</si>
  <si>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</si>
  <si>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</si>
  <si>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</si>
  <si>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</si>
  <si>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</si>
  <si>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</si>
  <si>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</si>
  <si>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</si>
  <si>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</si>
  <si>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</si>
  <si>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</si>
  <si>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</si>
  <si>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</si>
  <si>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2026-08-25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</si>
  <si>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</si>
  <si>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</si>
  <si>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</si>
  <si>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</si>
  <si>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</si>
  <si>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</si>
  <si>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</si>
  <si>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</si>
  <si>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</si>
  <si>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</si>
  <si>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</si>
  <si>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</si>
  <si>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</si>
  <si>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</si>
  <si>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</si>
  <si>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2026-08-26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</si>
  <si>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</si>
  <si>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</si>
  <si>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</si>
  <si>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</si>
  <si>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</si>
  <si>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</si>
  <si>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</si>
  <si>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</si>
  <si>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</si>
  <si>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</si>
  <si>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</si>
  <si>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</si>
  <si>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</si>
  <si>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</si>
  <si>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</si>
  <si>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</si>
  <si>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</si>
  <si>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</si>
  <si>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</si>
  <si>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</si>
  <si>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</si>
  <si>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2026-08-27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</si>
  <si>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</si>
  <si>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</si>
  <si>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</si>
  <si>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</si>
  <si>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</si>
  <si>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</si>
  <si>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</si>
  <si>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</si>
  <si>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</si>
  <si>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</si>
  <si>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</si>
  <si>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</si>
  <si>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</si>
  <si>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</si>
  <si>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</si>
  <si>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</si>
  <si>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</si>
  <si>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2026-08-28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</si>
  <si>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</si>
  <si>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</si>
  <si>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</si>
  <si>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</si>
  <si>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</si>
  <si>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</si>
  <si>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</si>
  <si>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</si>
  <si>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</si>
  <si>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</si>
  <si>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</si>
  <si>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</si>
  <si>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2026-08-29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</si>
  <si>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</si>
  <si>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</si>
  <si>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</si>
  <si>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</si>
  <si>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</si>
  <si>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</si>
  <si>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</si>
  <si>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</si>
  <si>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</si>
  <si>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</si>
  <si>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</si>
  <si>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</si>
  <si>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</si>
  <si>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</si>
  <si>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</si>
  <si>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</si>
  <si>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</si>
  <si>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</si>
  <si>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</si>
  <si>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</si>
  <si>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2026-08-30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</si>
  <si>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</si>
  <si>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</si>
  <si>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</si>
  <si>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</si>
  <si>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</si>
  <si>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</si>
  <si>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</si>
  <si>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</si>
  <si>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</si>
  <si>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</si>
  <si>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</si>
  <si>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</si>
  <si>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</si>
  <si>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</si>
  <si>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</si>
  <si>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</si>
  <si>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</si>
  <si>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</si>
  <si>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</si>
  <si>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</si>
  <si>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</si>
  <si>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</si>
  <si>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</si>
  <si>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</si>
  <si>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</si>
  <si>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2026-08-31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</si>
  <si>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</si>
  <si>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</si>
  <si>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</si>
  <si>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</si>
  <si>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</si>
  <si>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</si>
  <si>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</si>
  <si>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</si>
  <si>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</si>
  <si>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Bảng phân tích lợi nhuận thực theo sản phẩm (SKU)</t>
  </si>
  <si>
    <t>Ngưỡng cảnh báo % biên lợi nhuận thấp</t>
  </si>
  <si>
    <t>Doanh thu</t>
  </si>
  <si>
    <t>Phí sàn</t>
  </si>
  <si>
    <t>Chi phí nguyên liệu</t>
  </si>
  <si>
    <t>% Biên LN</t>
  </si>
  <si>
    <t>TỔNG CỘNG</t>
  </si>
  <si>
    <t>Cảnh báo tồn kho theo lô — Hạn sử dụng</t>
  </si>
  <si>
    <t>Ngày tham chiếu (hôm nay)</t>
  </si>
  <si>
    <t>batch_id</t>
  </si>
  <si>
    <t>import_date</t>
  </si>
  <si>
    <t>expiry_date</t>
  </si>
  <si>
    <t>quantity_in</t>
  </si>
  <si>
    <t>quantity_remaining</t>
  </si>
  <si>
    <t>days_to_expiry</t>
  </si>
  <si>
    <t>Mức cảnh báo</t>
  </si>
  <si>
    <t>BATCH9001</t>
  </si>
  <si>
    <t>2025-09-25</t>
  </si>
  <si>
    <t>2026-09-10</t>
  </si>
  <si>
    <t>BATCH9002</t>
  </si>
  <si>
    <t>2025-09-15</t>
  </si>
  <si>
    <t>2026-09-18</t>
  </si>
  <si>
    <t>BATCH9003</t>
  </si>
  <si>
    <t>2025-09-10</t>
  </si>
  <si>
    <t>2026-09-25</t>
  </si>
  <si>
    <t>BATCH0010</t>
  </si>
  <si>
    <t>2027-04-02</t>
  </si>
  <si>
    <t>BATCH0021</t>
  </si>
  <si>
    <t>2027-05-03</t>
  </si>
  <si>
    <t>BATCH0006</t>
  </si>
  <si>
    <t>2027-05-07</t>
  </si>
  <si>
    <t>BATCH0012</t>
  </si>
  <si>
    <t>2027-05-08</t>
  </si>
  <si>
    <t>BATCH0001</t>
  </si>
  <si>
    <t>2027-05-14</t>
  </si>
  <si>
    <t>BATCH0003</t>
  </si>
  <si>
    <t>2027-05-15</t>
  </si>
  <si>
    <t>BATCH0030</t>
  </si>
  <si>
    <t>2027-05-16</t>
  </si>
  <si>
    <t>BATCH0022</t>
  </si>
  <si>
    <t>2027-05-20</t>
  </si>
  <si>
    <t>BATCH0015</t>
  </si>
  <si>
    <t>2027-05-21</t>
  </si>
  <si>
    <t>BATCH0013</t>
  </si>
  <si>
    <t>2027-05-25</t>
  </si>
  <si>
    <t>BATCH0029</t>
  </si>
  <si>
    <t>2027-05-26</t>
  </si>
  <si>
    <t>BATCH0016</t>
  </si>
  <si>
    <t>2027-06-01</t>
  </si>
  <si>
    <t>BATCH0018</t>
  </si>
  <si>
    <t>2027-06-02</t>
  </si>
  <si>
    <t>BATCH0002</t>
  </si>
  <si>
    <t>2027-06-05</t>
  </si>
  <si>
    <t>BATCH0019</t>
  </si>
  <si>
    <t>2027-06-07</t>
  </si>
  <si>
    <t>BATCH0005</t>
  </si>
  <si>
    <t>2027-06-17</t>
  </si>
  <si>
    <t>BATCH0017</t>
  </si>
  <si>
    <t>2027-06-20</t>
  </si>
  <si>
    <t>BATCH0004</t>
  </si>
  <si>
    <t>2027-06-21</t>
  </si>
  <si>
    <t>BATCH0009</t>
  </si>
  <si>
    <t>2027-06-22</t>
  </si>
  <si>
    <t>BATCH0008</t>
  </si>
  <si>
    <t>2027-06-26</t>
  </si>
  <si>
    <t>BATCH0014</t>
  </si>
  <si>
    <t>2027-07-04</t>
  </si>
  <si>
    <t>BATCH0027</t>
  </si>
  <si>
    <t>2027-07-08</t>
  </si>
  <si>
    <t>BATCH0028</t>
  </si>
  <si>
    <t>2027-07-09</t>
  </si>
  <si>
    <t>BATCH0024</t>
  </si>
  <si>
    <t>2027-07-11</t>
  </si>
  <si>
    <t>BATCH0025</t>
  </si>
  <si>
    <t>2027-07-17</t>
  </si>
  <si>
    <t>BATCH0011</t>
  </si>
  <si>
    <t>2027-07-22</t>
  </si>
  <si>
    <t>BATCH0020</t>
  </si>
  <si>
    <t>2027-07-27</t>
  </si>
  <si>
    <t>BATCH0026</t>
  </si>
  <si>
    <t>2027-07-30</t>
  </si>
  <si>
    <t>BATCH0023</t>
  </si>
  <si>
    <t>2027-07-31</t>
  </si>
  <si>
    <t>BATCH0007</t>
  </si>
  <si>
    <t>2027-08-09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</si>
</sst>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&quot; đ&quot;"/>
    <numFmt numFmtId="165" formatCode="0.0%"/>
    <numFmt numFmtId="166" formatCode="dd/mm/yyyy"/>
  </numFmts>
  <fonts count="10" x14ac:knownFonts="1">
    <font>
      <sz val="11"/>
      <color theme="1"/>
      <name val="Calibri"/>
      <family val="2"/>
      <charset val="1"/>
    </font>
    <font>
      <b/>
      <sz val="16"/>
      <color rgb="FF2F5233"/>
      <name val="Arial"/>
      <charset val="1"/>
    </font>
    <font>
      <i/>
      <sz val="10"/>
      <color rgb="FF666666"/>
      <name val="Arial"/>
      <charset val="1"/>
    </font>
    <font>
      <sz val="10"/>
      <color rgb="FF666666"/>
      <name val="Arial"/>
      <charset val="1"/>
    </font>
    <font>
      <b/>
      <sz val="18"/>
      <color rgb="FF2F5233"/>
      <name val="Arial"/>
      <charset val="1"/>
    </font>
    <font>
      <b/>
      <sz val="12"/>
      <color rgb="FFC00000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sz val="11"/>
      <color rgb="FFC00000"/>
      <name val="Arial"/>
      <charset val="1"/>
    </font>
    <font>
      <b/>
      <sz val="11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2F7F1"/>
        <bgColor rgb="FFF9F9F9"/>
      </patternFill>
    </fill>
    <fill>
      <patternFill patternType="solid">
        <fgColor rgb="FF2F5233"/>
        <bgColor rgb="FF333300"/>
      </patternFill>
    </fill>
    <fill>
      <patternFill patternType="solid">
        <fgColor rgb="FFFFF2CC"/>
        <bgColor rgb="FFFDE9E9"/>
      </patternFill>
    </fill>
    <fill>
      <patternFill patternType="solid">
        <fgColor rgb="FFE2EFDA"/>
        <bgColor rgb="FFF2F7F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165" fontId="4" fillId="2" borderId="1" xfId="0" applyNumberFormat="1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7" fillId="3" borderId="1" xfId="0" applyFont="1" applyFill="1" applyBorder="1" applyAlignment="1">
      <alignment horizontal="center" vertical="center"/>
    </xf>
    <xf numFmtId="0" fontId="6" fillId="0" borderId="1" xfId="0" applyFont="1" applyBorder="1"/>
    <xf numFmtId="165" fontId="6" fillId="0" borderId="1" xfId="0" applyNumberFormat="1" applyFont="1" applyBorder="1"/>
    <xf numFmtId="3" fontId="6" fillId="0" borderId="1" xfId="0" applyNumberFormat="1" applyFont="1" applyBorder="1"/>
    <xf numFmtId="0" fontId="3" fillId="0" borderId="0" xfId="0" applyFont="1"/>
    <xf numFmtId="9" fontId="8" fillId="4" borderId="0" xfId="0" applyNumberFormat="1" applyFont="1" applyFill="1"/>
    <xf numFmtId="0" fontId="9" fillId="5" borderId="1" xfId="0" applyFont="1" applyFill="1" applyBorder="1"/>
    <xf numFmtId="3" fontId="9" fillId="5" borderId="1" xfId="0" applyNumberFormat="1" applyFont="1" applyFill="1" applyBorder="1"/>
    <xf numFmtId="165" fontId="9" fillId="5" borderId="1" xfId="0" applyNumberFormat="1" applyFont="1" applyFill="1" applyBorder="1"/>
    <xf numFmtId="166" fontId="8" fillId="4" borderId="0" xfId="0" applyNumberFormat="1" applyFont="1" applyFill="1"/>
    <xf numFmtId="166" fontId="6" fillId="0" borderId="1" xfId="0" applyNumberFormat="1" applyFont="1" applyBorder="1"/>
    <xf numFmtId="1" fontId="6" fillId="0" borderId="1" xfId="0" applyNumberFormat="1" applyFont="1" applyBorder="1"/>
  </cellXfs>
  <cellStyles count="1">
    <cellStyle name="Normal" xfId="0" builtinId="0"/>
  </cellStyles>
  <dxfs count="5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DE9E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DE9E9"/>
      <rgbColor rgb="FF878787"/>
      <rgbColor rgb="FF9999FF"/>
      <rgbColor rgb="FFC0504D"/>
      <rgbColor rgb="FFFFF2CC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1"/>
      <rgbColor rgb="FFC6EFCE"/>
      <rgbColor rgb="FFFFEB9C"/>
      <rgbColor rgb="FFF9F9F9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2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Doanh thu vs Lợi nhuận thực theo sản phẩm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ProductProfitability!$D$6</c:f>
              <c:strCache>
                <c:ptCount val="1"/>
                <c:pt idx="0">
                  <c:v>Doanh thu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ProductProfitability!$B$7:$B$14</c:f>
              <c:strCache>
                <c:ptCount val="8"/>
                <c:pt idx="0">
                  <c:v>Trà cà leo gai giảm cân</c:v>
                </c:pt>
                <c:pt idx="1">
                  <c:v>Trà diếp cá rau má</c:v>
                </c:pt>
                <c:pt idx="2">
                  <c:v>Trà hoa cúc an thần</c:v>
                </c:pt>
                <c:pt idx="3">
                  <c:v>Trà mâm xôi vitamin</c:v>
                </c:pt>
                <c:pt idx="4">
                  <c:v>Trà gừng mật ong</c:v>
                </c:pt>
                <c:pt idx="5">
                  <c:v>Trà atiso thanh lọc</c:v>
                </c:pt>
                <c:pt idx="6">
                  <c:v>Trà hoa đậu biếc</c:v>
                </c:pt>
                <c:pt idx="7">
                  <c:v>Trà lá nam sen ổi</c:v>
                </c:pt>
              </c:strCache>
            </c:strRef>
          </c:cat>
          <c:val>
            <c:numRef>
              <c:f>ProductProfitability!$D$7:$D$14</c:f>
              <c:numCache>
                <c:formatCode>#,##0</c:formatCode>
                <c:ptCount val="8"/>
                <c:pt idx="0">
                  <c:v>24059300</c:v>
                </c:pt>
                <c:pt idx="1">
                  <c:v>17615700</c:v>
                </c:pt>
                <c:pt idx="2">
                  <c:v>11218300</c:v>
                </c:pt>
                <c:pt idx="3">
                  <c:v>11175400</c:v>
                </c:pt>
                <c:pt idx="4">
                  <c:v>10753800</c:v>
                </c:pt>
                <c:pt idx="5">
                  <c:v>10263600</c:v>
                </c:pt>
                <c:pt idx="6">
                  <c:v>9952400</c:v>
                </c:pt>
                <c:pt idx="7">
                  <c:v>9694900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37-4E0D-ADA5-81C8557A07D7}"/>
            </c:ext>
          </c:extLst>
        </c:ser>
        <c:ser>
          <c:idx val="1"/>
          <c:order val="1"/>
          <c:tx>
            <c:strRef>
              <c:f>ProductProfitability!$G$6</c:f>
              <c:strCache>
                <c:ptCount val="1"/>
                <c:pt idx="0">
                  <c:v>Lợi nhuận thực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ProductProfitability!$B$7:$B$14</c:f>
              <c:strCache>
                <c:ptCount val="8"/>
                <c:pt idx="0">
                  <c:v>Trà cà leo gai giảm cân</c:v>
                </c:pt>
                <c:pt idx="1">
                  <c:v>Trà diếp cá rau má</c:v>
                </c:pt>
                <c:pt idx="2">
                  <c:v>Trà hoa cúc an thần</c:v>
                </c:pt>
                <c:pt idx="3">
                  <c:v>Trà mâm xôi vitamin</c:v>
                </c:pt>
                <c:pt idx="4">
                  <c:v>Trà gừng mật ong</c:v>
                </c:pt>
                <c:pt idx="5">
                  <c:v>Trà atiso thanh lọc</c:v>
                </c:pt>
                <c:pt idx="6">
                  <c:v>Trà hoa đậu biếc</c:v>
                </c:pt>
                <c:pt idx="7">
                  <c:v>Trà lá nam sen ổi</c:v>
                </c:pt>
              </c:strCache>
            </c:strRef>
          </c:cat>
          <c:val>
            <c:numRef>
              <c:f>ProductProfitability!$G$7:$G$14</c:f>
              <c:numCache>
                <c:formatCode>#,##0</c:formatCode>
                <c:ptCount val="8"/>
                <c:pt idx="0">
                  <c:v>14474622</c:v>
                </c:pt>
                <c:pt idx="1">
                  <c:v>10890874</c:v>
                </c:pt>
                <c:pt idx="2">
                  <c:v>7353857</c:v>
                </c:pt>
                <c:pt idx="3">
                  <c:v>6991808</c:v>
                </c:pt>
                <c:pt idx="4">
                  <c:v>6788712</c:v>
                </c:pt>
                <c:pt idx="5">
                  <c:v>6794900</c:v>
                </c:pt>
                <c:pt idx="6">
                  <c:v>6428971</c:v>
                </c:pt>
                <c:pt idx="7">
                  <c:v>6184137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37-4E0D-ADA5-81C8557A0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196590"/>
        <c:axId val="40786681"/>
      </c:barChart>
      <c:catAx>
        <c:axId val="951965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Sản phẩm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786681"/>
        <c:crosses val="autoZero"/>
        <c:auto val="1"/>
        <c:lblAlgn val="ctr"/>
        <c:lblOffset val="100"/>
        <c:noMultiLvlLbl val="0"/>
      </c:catAx>
      <c:valAx>
        <c:axId val="407866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VNĐ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1965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131040</xdr:rowOff>
    </xdr:from>
    <xdr:to>
      <xdr:col>7</xdr:col>
      <xdr:colOff>236880</xdr:colOff>
      <xdr:row>33</xdr:row>
      <xdr:rowOff>132120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DataTbl" displayName="RawDataTbl" ref="A1:N1587" totalsRowShown="0">
  <autoFilter ref="A1:N1587" xr:uid="{00000000-0009-0000-0100-000001000000}"/>
  <tableColumns count="14">
    <tableColumn id="1" xr3:uid="{00000000-0010-0000-0000-000001000000}" name="order_id"/>
    <tableColumn id="2" xr3:uid="{00000000-0010-0000-0000-000002000000}" name="order_date"/>
    <tableColumn id="3" xr3:uid="{00000000-0010-0000-0000-000003000000}" name="channel"/>
    <tableColumn id="4" xr3:uid="{00000000-0010-0000-0000-000004000000}" name="sku_id"/>
    <tableColumn id="5" xr3:uid="{00000000-0010-0000-0000-000005000000}" name="quantity"/>
    <tableColumn id="6" xr3:uid="{00000000-0010-0000-0000-000006000000}" name="revenue"/>
    <tableColumn id="7" xr3:uid="{00000000-0010-0000-0000-000007000000}" name="sku_name"/>
    <tableColumn id="8" xr3:uid="{00000000-0010-0000-0000-000008000000}" name="category"/>
    <tableColumn id="9" xr3:uid="{00000000-0010-0000-0000-000009000000}" name="cost_price"/>
    <tableColumn id="10" xr3:uid="{00000000-0010-0000-0000-00000A000000}" name="fee_rate"/>
    <tableColumn id="11" xr3:uid="{00000000-0010-0000-0000-00000B000000}" name="total_cost"/>
    <tableColumn id="12" xr3:uid="{00000000-0010-0000-0000-00000C000000}" name="platform_fee"/>
    <tableColumn id="13" xr3:uid="{00000000-0010-0000-0000-00000D000000}" name="net_profit"/>
    <tableColumn id="14" xr3:uid="{00000000-0010-0000-0000-00000E000000}" name="net_margin_pc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7"/>
  <sheetViews>
    <sheetView showGridLines="0" tabSelected="1" zoomScaleNormal="100" workbookViewId="0">
      <selection activeCell="F18" sqref="F18"/>
    </sheetView>
  </sheetViews>
  <sheetFormatPr defaultColWidth="8.6640625" defaultRowHeight="14.4" x14ac:dyDescent="0.3"/>
  <cols>
    <col min="2" max="3" width="16" customWidth="1"/>
    <col min="5" max="6" width="16" customWidth="1"/>
    <col min="8" max="9" width="16" customWidth="1"/>
    <col min="11" max="12" width="16" customWidth="1"/>
  </cols>
  <sheetData>
    <row r="2" spans="2:12" ht="21" x14ac:dyDescent="0.4">
      <c r="B2" s="4" t="s">
        <v>0</v>
      </c>
    </row>
    <row r="3" spans="2:12" x14ac:dyDescent="0.3">
      <c r="B3" s="5" t="s">
        <v>1</v>
      </c>
    </row>
    <row r="5" spans="2:12" x14ac:dyDescent="0.3">
      <c r="B5" s="3" t="s">
        <v>2</v>
      </c>
      <c r="C5" s="3"/>
      <c r="E5" s="3" t="s">
        <v>3</v>
      </c>
      <c r="F5" s="3"/>
      <c r="H5" s="3" t="s">
        <v>4</v>
      </c>
      <c r="I5" s="3"/>
      <c r="K5" s="3" t="s">
        <v>5</v>
      </c>
      <c r="L5" s="3"/>
    </row>
    <row r="6" spans="2:12" x14ac:dyDescent="0.3">
      <c r="B6" s="2">
        <f>ProductProfitability!D15</f>
        <v>104733400</v>
      </c>
      <c r="C6" s="2"/>
      <c r="E6" s="2">
        <f>ProductProfitability!E15</f>
        <v>10561319</v>
      </c>
      <c r="F6" s="2"/>
      <c r="H6" s="2">
        <f>ProductProfitability!G15</f>
        <v>65907881</v>
      </c>
      <c r="I6" s="2"/>
      <c r="K6" s="1">
        <f>ProductProfitability!H15</f>
        <v>0.62929190687975378</v>
      </c>
      <c r="L6" s="1"/>
    </row>
    <row r="7" spans="2:12" x14ac:dyDescent="0.3">
      <c r="B7" s="2"/>
      <c r="C7" s="2"/>
      <c r="E7" s="2"/>
      <c r="F7" s="2"/>
      <c r="H7" s="2"/>
      <c r="I7" s="2"/>
      <c r="K7" s="1"/>
      <c r="L7" s="1"/>
    </row>
    <row r="8" spans="2:12" x14ac:dyDescent="0.3">
      <c r="B8" s="2"/>
      <c r="C8" s="2"/>
      <c r="E8" s="2"/>
      <c r="F8" s="2"/>
      <c r="H8" s="2"/>
      <c r="I8" s="2"/>
      <c r="K8" s="1"/>
      <c r="L8" s="1"/>
    </row>
    <row r="11" spans="2:12" ht="15.6" x14ac:dyDescent="0.3">
      <c r="B11" s="6" t="s">
        <v>6</v>
      </c>
    </row>
    <row r="12" spans="2:12" x14ac:dyDescent="0.3">
      <c r="B12" s="7" t="str">
        <f>COUNTIFS(InventoryAlerts!$G$5:$G$37,"&gt;0",InventoryAlerts!$H$5:$H$37,"&lt;=15") &amp; " lô hàng cần xử lý ngay — xem chi tiết ở tab InventoryAlerts"</f>
        <v>1 lô hàng cần xử lý ngay — xem chi tiết ở tab InventoryAlerts</v>
      </c>
    </row>
    <row r="14" spans="2:12" ht="15.6" x14ac:dyDescent="0.3">
      <c r="B14" s="6" t="s">
        <v>7</v>
      </c>
    </row>
    <row r="15" spans="2:12" x14ac:dyDescent="0.3">
      <c r="B15" s="7" t="str">
        <f>INDEX(ProductProfitability!$B$7:$B$14,MATCH(MIN(ProductProfitability!$H$7:$H$14),ProductProfitability!$H$7:$H$14,0)) &amp; " — % biên LN thấp nhất: " &amp; TEXT(MIN(ProductProfitability!$H$7:$H$14),"0.0%")</f>
        <v>Trà cà leo gai giảm cân — % biên LN thấp nhất: 60.2%</v>
      </c>
    </row>
    <row r="17" spans="2:2" x14ac:dyDescent="0.3">
      <c r="B17" s="5"/>
    </row>
  </sheetData>
  <mergeCells count="8">
    <mergeCell ref="B5:C5"/>
    <mergeCell ref="E5:F5"/>
    <mergeCell ref="H5:I5"/>
    <mergeCell ref="K5:L5"/>
    <mergeCell ref="B6:C8"/>
    <mergeCell ref="E6:F8"/>
    <mergeCell ref="H6:I8"/>
    <mergeCell ref="K6:L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zoomScaleNormal="100" workbookViewId="0"/>
  </sheetViews>
  <sheetFormatPr defaultColWidth="8.6640625" defaultRowHeight="14.4" x14ac:dyDescent="0.3"/>
  <cols>
    <col min="1" max="1" width="10" customWidth="1"/>
    <col min="2" max="2" width="28" customWidth="1"/>
    <col min="3" max="3" width="20" customWidth="1"/>
    <col min="4" max="4" width="12" customWidth="1"/>
  </cols>
  <sheetData>
    <row r="1" spans="1:4" x14ac:dyDescent="0.3">
      <c r="A1" s="8" t="s">
        <v>8</v>
      </c>
      <c r="B1" s="8" t="s">
        <v>9</v>
      </c>
      <c r="C1" s="8" t="s">
        <v>10</v>
      </c>
      <c r="D1" s="8" t="s">
        <v>11</v>
      </c>
    </row>
    <row r="2" spans="1:4" x14ac:dyDescent="0.3">
      <c r="A2" s="9" t="s">
        <v>12</v>
      </c>
      <c r="B2" s="9" t="s">
        <v>13</v>
      </c>
      <c r="C2" s="9" t="s">
        <v>14</v>
      </c>
      <c r="D2" s="9">
        <v>9000</v>
      </c>
    </row>
    <row r="3" spans="1:4" x14ac:dyDescent="0.3">
      <c r="A3" s="9" t="s">
        <v>15</v>
      </c>
      <c r="B3" s="9" t="s">
        <v>16</v>
      </c>
      <c r="C3" s="9" t="s">
        <v>14</v>
      </c>
      <c r="D3" s="9">
        <v>8500</v>
      </c>
    </row>
    <row r="4" spans="1:4" x14ac:dyDescent="0.3">
      <c r="A4" s="9" t="s">
        <v>17</v>
      </c>
      <c r="B4" s="9" t="s">
        <v>18</v>
      </c>
      <c r="C4" s="9" t="s">
        <v>19</v>
      </c>
      <c r="D4" s="9">
        <v>10500</v>
      </c>
    </row>
    <row r="5" spans="1:4" x14ac:dyDescent="0.3">
      <c r="A5" s="9" t="s">
        <v>20</v>
      </c>
      <c r="B5" s="9" t="s">
        <v>21</v>
      </c>
      <c r="C5" s="9" t="s">
        <v>19</v>
      </c>
      <c r="D5" s="9">
        <v>15000</v>
      </c>
    </row>
    <row r="6" spans="1:4" x14ac:dyDescent="0.3">
      <c r="A6" s="9" t="s">
        <v>22</v>
      </c>
      <c r="B6" s="9" t="s">
        <v>23</v>
      </c>
      <c r="C6" s="9" t="s">
        <v>24</v>
      </c>
      <c r="D6" s="9">
        <v>9500</v>
      </c>
    </row>
    <row r="7" spans="1:4" x14ac:dyDescent="0.3">
      <c r="A7" s="9" t="s">
        <v>25</v>
      </c>
      <c r="B7" s="9" t="s">
        <v>26</v>
      </c>
      <c r="C7" s="9" t="s">
        <v>24</v>
      </c>
      <c r="D7" s="9">
        <v>8800</v>
      </c>
    </row>
    <row r="8" spans="1:4" x14ac:dyDescent="0.3">
      <c r="A8" s="9" t="s">
        <v>27</v>
      </c>
      <c r="B8" s="9" t="s">
        <v>28</v>
      </c>
      <c r="C8" s="9" t="s">
        <v>29</v>
      </c>
      <c r="D8" s="9">
        <v>11000</v>
      </c>
    </row>
    <row r="9" spans="1:4" x14ac:dyDescent="0.3">
      <c r="A9" s="9" t="s">
        <v>30</v>
      </c>
      <c r="B9" s="9" t="s">
        <v>31</v>
      </c>
      <c r="C9" s="9" t="s">
        <v>32</v>
      </c>
      <c r="D9" s="9">
        <v>9800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zoomScaleNormal="100" workbookViewId="0"/>
  </sheetViews>
  <sheetFormatPr defaultColWidth="8.6640625" defaultRowHeight="14.4" x14ac:dyDescent="0.3"/>
  <cols>
    <col min="1" max="1" width="16" customWidth="1"/>
    <col min="2" max="2" width="14" customWidth="1"/>
    <col min="3" max="3" width="12" customWidth="1"/>
  </cols>
  <sheetData>
    <row r="1" spans="1:3" x14ac:dyDescent="0.3">
      <c r="A1" s="8" t="s">
        <v>33</v>
      </c>
      <c r="B1" s="8" t="s">
        <v>34</v>
      </c>
      <c r="C1" s="8" t="s">
        <v>35</v>
      </c>
    </row>
    <row r="2" spans="1:3" x14ac:dyDescent="0.3">
      <c r="A2" s="9" t="s">
        <v>36</v>
      </c>
      <c r="B2" s="9" t="s">
        <v>37</v>
      </c>
      <c r="C2" s="10">
        <v>0.13</v>
      </c>
    </row>
    <row r="3" spans="1:3" x14ac:dyDescent="0.3">
      <c r="A3" s="9" t="s">
        <v>38</v>
      </c>
      <c r="B3" s="9" t="s">
        <v>37</v>
      </c>
      <c r="C3" s="10">
        <v>0.16</v>
      </c>
    </row>
    <row r="4" spans="1:3" x14ac:dyDescent="0.3">
      <c r="A4" s="9" t="s">
        <v>39</v>
      </c>
      <c r="B4" s="9" t="s">
        <v>37</v>
      </c>
      <c r="C4" s="10">
        <v>0</v>
      </c>
    </row>
    <row r="5" spans="1:3" x14ac:dyDescent="0.3">
      <c r="A5" s="9" t="s">
        <v>40</v>
      </c>
      <c r="B5" s="9" t="s">
        <v>37</v>
      </c>
      <c r="C5" s="10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58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1" customWidth="1"/>
    <col min="2" max="2" width="12" customWidth="1"/>
    <col min="3" max="3" width="13" customWidth="1"/>
    <col min="4" max="5" width="9" customWidth="1"/>
    <col min="6" max="6" width="11" customWidth="1"/>
    <col min="7" max="7" width="24" customWidth="1"/>
    <col min="8" max="8" width="16" customWidth="1"/>
    <col min="9" max="9" width="11" customWidth="1"/>
    <col min="10" max="10" width="9" customWidth="1"/>
    <col min="11" max="11" width="11" customWidth="1"/>
    <col min="12" max="13" width="12" customWidth="1"/>
    <col min="14" max="14" width="13" customWidth="1"/>
  </cols>
  <sheetData>
    <row r="1" spans="1:14" x14ac:dyDescent="0.3">
      <c r="A1" s="8" t="s">
        <v>41</v>
      </c>
      <c r="B1" s="8" t="s">
        <v>42</v>
      </c>
      <c r="C1" s="8" t="s">
        <v>33</v>
      </c>
      <c r="D1" s="8" t="s">
        <v>8</v>
      </c>
      <c r="E1" s="8" t="s">
        <v>43</v>
      </c>
      <c r="F1" s="8" t="s">
        <v>44</v>
      </c>
      <c r="G1" s="8" t="s">
        <v>9</v>
      </c>
      <c r="H1" s="8" t="s">
        <v>10</v>
      </c>
      <c r="I1" s="8" t="s">
        <v>11</v>
      </c>
      <c r="J1" s="8" t="s">
        <v>35</v>
      </c>
      <c r="K1" s="8" t="s">
        <v>45</v>
      </c>
      <c r="L1" s="8" t="s">
        <v>46</v>
      </c>
      <c r="M1" s="8" t="s">
        <v>47</v>
      </c>
      <c r="N1" s="8" t="s">
        <v>48</v>
      </c>
    </row>
    <row r="2" spans="1:14" x14ac:dyDescent="0.3">
      <c r="A2" s="9" t="s">
        <v>49</v>
      </c>
      <c r="B2" s="9" t="s">
        <v>50</v>
      </c>
      <c r="C2" s="9" t="s">
        <v>36</v>
      </c>
      <c r="D2" s="9" t="s">
        <v>25</v>
      </c>
      <c r="E2" s="9">
        <v>1</v>
      </c>
      <c r="F2" s="11">
        <v>32100</v>
      </c>
      <c r="G2" s="9" t="str">
        <f>INDEX(Products!$B$2:$B$9,MATCH(D2,Products!$A$2:$A$9,0))</f>
        <v>Trà hoa đậu biếc</v>
      </c>
      <c r="H2" s="9" t="str">
        <f>INDEX(Products!$C$2:$C$9,MATCH(D2,Products!$A$2:$A$9,0))</f>
        <v>An thần</v>
      </c>
      <c r="I2" s="11">
        <f>INDEX(Products!$D$2:$D$9,MATCH(D2,Products!$A$2:$A$9,0))</f>
        <v>8800</v>
      </c>
      <c r="J2" s="10">
        <f>IFERROR(INDEX(PlatformFees!$C$2:$C$5,MATCH(C2,PlatformFees!$A$2:$A$5,0)),0)</f>
        <v>0.13</v>
      </c>
      <c r="K2" s="11">
        <f t="shared" ref="K2:K65" si="0">E2*I2</f>
        <v>8800</v>
      </c>
      <c r="L2" s="11">
        <f t="shared" ref="L2:L65" si="1">F2*J2</f>
        <v>4173</v>
      </c>
      <c r="M2" s="11">
        <f t="shared" ref="M2:M65" si="2">F2-L2-K2</f>
        <v>19127</v>
      </c>
      <c r="N2" s="10">
        <f t="shared" ref="N2:N65" si="3">IFERROR(M2/F2,0)</f>
        <v>0.59585669781931461</v>
      </c>
    </row>
    <row r="3" spans="1:14" x14ac:dyDescent="0.3">
      <c r="A3" s="9" t="s">
        <v>51</v>
      </c>
      <c r="B3" s="9" t="s">
        <v>50</v>
      </c>
      <c r="C3" s="9" t="s">
        <v>39</v>
      </c>
      <c r="D3" s="9" t="s">
        <v>25</v>
      </c>
      <c r="E3" s="9">
        <v>2</v>
      </c>
      <c r="F3" s="11">
        <v>63200</v>
      </c>
      <c r="G3" s="9" t="str">
        <f>INDEX(Products!$B$2:$B$9,MATCH(D3,Products!$A$2:$A$9,0))</f>
        <v>Trà hoa đậu biếc</v>
      </c>
      <c r="H3" s="9" t="str">
        <f>INDEX(Products!$C$2:$C$9,MATCH(D3,Products!$A$2:$A$9,0))</f>
        <v>An thần</v>
      </c>
      <c r="I3" s="11">
        <f>INDEX(Products!$D$2:$D$9,MATCH(D3,Products!$A$2:$A$9,0))</f>
        <v>8800</v>
      </c>
      <c r="J3" s="10">
        <f>IFERROR(INDEX(PlatformFees!$C$2:$C$5,MATCH(C3,PlatformFees!$A$2:$A$5,0)),0)</f>
        <v>0</v>
      </c>
      <c r="K3" s="11">
        <f t="shared" si="0"/>
        <v>17600</v>
      </c>
      <c r="L3" s="11">
        <f t="shared" si="1"/>
        <v>0</v>
      </c>
      <c r="M3" s="11">
        <f t="shared" si="2"/>
        <v>45600</v>
      </c>
      <c r="N3" s="10">
        <f t="shared" si="3"/>
        <v>0.72151898734177211</v>
      </c>
    </row>
    <row r="4" spans="1:14" x14ac:dyDescent="0.3">
      <c r="A4" s="9" t="s">
        <v>52</v>
      </c>
      <c r="B4" s="9" t="s">
        <v>50</v>
      </c>
      <c r="C4" s="9" t="s">
        <v>36</v>
      </c>
      <c r="D4" s="9" t="s">
        <v>12</v>
      </c>
      <c r="E4" s="9">
        <v>1</v>
      </c>
      <c r="F4" s="11">
        <v>33100</v>
      </c>
      <c r="G4" s="9" t="str">
        <f>INDEX(Products!$B$2:$B$9,MATCH(D4,Products!$A$2:$A$9,0))</f>
        <v>Trà atiso thanh lọc</v>
      </c>
      <c r="H4" s="9" t="str">
        <f>INDEX(Products!$C$2:$C$9,MATCH(D4,Products!$A$2:$A$9,0))</f>
        <v>Thanh lọc</v>
      </c>
      <c r="I4" s="11">
        <f>INDEX(Products!$D$2:$D$9,MATCH(D4,Products!$A$2:$A$9,0))</f>
        <v>9000</v>
      </c>
      <c r="J4" s="10">
        <f>IFERROR(INDEX(PlatformFees!$C$2:$C$5,MATCH(C4,PlatformFees!$A$2:$A$5,0)),0)</f>
        <v>0.13</v>
      </c>
      <c r="K4" s="11">
        <f t="shared" si="0"/>
        <v>9000</v>
      </c>
      <c r="L4" s="11">
        <f t="shared" si="1"/>
        <v>4303</v>
      </c>
      <c r="M4" s="11">
        <f t="shared" si="2"/>
        <v>19797</v>
      </c>
      <c r="N4" s="10">
        <f t="shared" si="3"/>
        <v>0.59809667673716016</v>
      </c>
    </row>
    <row r="5" spans="1:14" x14ac:dyDescent="0.3">
      <c r="A5" s="9" t="s">
        <v>53</v>
      </c>
      <c r="B5" s="9" t="s">
        <v>50</v>
      </c>
      <c r="C5" s="9" t="s">
        <v>38</v>
      </c>
      <c r="D5" s="9" t="s">
        <v>20</v>
      </c>
      <c r="E5" s="9">
        <v>3</v>
      </c>
      <c r="F5" s="11">
        <v>163600</v>
      </c>
      <c r="G5" s="9" t="str">
        <f>INDEX(Products!$B$2:$B$9,MATCH(D5,Products!$A$2:$A$9,0))</f>
        <v>Trà cà leo gai giảm cân</v>
      </c>
      <c r="H5" s="9" t="str">
        <f>INDEX(Products!$C$2:$C$9,MATCH(D5,Products!$A$2:$A$9,0))</f>
        <v>Detox</v>
      </c>
      <c r="I5" s="11">
        <f>INDEX(Products!$D$2:$D$9,MATCH(D5,Products!$A$2:$A$9,0))</f>
        <v>15000</v>
      </c>
      <c r="J5" s="10">
        <f>IFERROR(INDEX(PlatformFees!$C$2:$C$5,MATCH(C5,PlatformFees!$A$2:$A$5,0)),0)</f>
        <v>0.16</v>
      </c>
      <c r="K5" s="11">
        <f t="shared" si="0"/>
        <v>45000</v>
      </c>
      <c r="L5" s="11">
        <f t="shared" si="1"/>
        <v>26176</v>
      </c>
      <c r="M5" s="11">
        <f t="shared" si="2"/>
        <v>92424</v>
      </c>
      <c r="N5" s="10">
        <f t="shared" si="3"/>
        <v>0.56493887530562348</v>
      </c>
    </row>
    <row r="6" spans="1:14" x14ac:dyDescent="0.3">
      <c r="A6" s="9" t="s">
        <v>54</v>
      </c>
      <c r="B6" s="9" t="s">
        <v>50</v>
      </c>
      <c r="C6" s="9" t="s">
        <v>38</v>
      </c>
      <c r="D6" s="9" t="s">
        <v>17</v>
      </c>
      <c r="E6" s="9">
        <v>2</v>
      </c>
      <c r="F6" s="11">
        <v>79900</v>
      </c>
      <c r="G6" s="9" t="str">
        <f>INDEX(Products!$B$2:$B$9,MATCH(D6,Products!$A$2:$A$9,0))</f>
        <v>Trà diếp cá rau má</v>
      </c>
      <c r="H6" s="9" t="str">
        <f>INDEX(Products!$C$2:$C$9,MATCH(D6,Products!$A$2:$A$9,0))</f>
        <v>Detox</v>
      </c>
      <c r="I6" s="11">
        <f>INDEX(Products!$D$2:$D$9,MATCH(D6,Products!$A$2:$A$9,0))</f>
        <v>10500</v>
      </c>
      <c r="J6" s="10">
        <f>IFERROR(INDEX(PlatformFees!$C$2:$C$5,MATCH(C6,PlatformFees!$A$2:$A$5,0)),0)</f>
        <v>0.16</v>
      </c>
      <c r="K6" s="11">
        <f t="shared" si="0"/>
        <v>21000</v>
      </c>
      <c r="L6" s="11">
        <f t="shared" si="1"/>
        <v>12784</v>
      </c>
      <c r="M6" s="11">
        <f t="shared" si="2"/>
        <v>46116</v>
      </c>
      <c r="N6" s="10">
        <f t="shared" si="3"/>
        <v>0.577171464330413</v>
      </c>
    </row>
    <row r="7" spans="1:14" x14ac:dyDescent="0.3">
      <c r="A7" s="9" t="s">
        <v>55</v>
      </c>
      <c r="B7" s="9" t="s">
        <v>50</v>
      </c>
      <c r="C7" s="9" t="s">
        <v>39</v>
      </c>
      <c r="D7" s="9" t="s">
        <v>27</v>
      </c>
      <c r="E7" s="9">
        <v>1</v>
      </c>
      <c r="F7" s="11">
        <v>39900</v>
      </c>
      <c r="G7" s="9" t="str">
        <f>INDEX(Products!$B$2:$B$9,MATCH(D7,Products!$A$2:$A$9,0))</f>
        <v>Trà gừng mật ong</v>
      </c>
      <c r="H7" s="9" t="str">
        <f>INDEX(Products!$C$2:$C$9,MATCH(D7,Products!$A$2:$A$9,0))</f>
        <v>Giữ ấm</v>
      </c>
      <c r="I7" s="11">
        <f>INDEX(Products!$D$2:$D$9,MATCH(D7,Products!$A$2:$A$9,0))</f>
        <v>11000</v>
      </c>
      <c r="J7" s="10">
        <f>IFERROR(INDEX(PlatformFees!$C$2:$C$5,MATCH(C7,PlatformFees!$A$2:$A$5,0)),0)</f>
        <v>0</v>
      </c>
      <c r="K7" s="11">
        <f t="shared" si="0"/>
        <v>11000</v>
      </c>
      <c r="L7" s="11">
        <f t="shared" si="1"/>
        <v>0</v>
      </c>
      <c r="M7" s="11">
        <f t="shared" si="2"/>
        <v>28900</v>
      </c>
      <c r="N7" s="10">
        <f t="shared" si="3"/>
        <v>0.72431077694235591</v>
      </c>
    </row>
    <row r="8" spans="1:14" x14ac:dyDescent="0.3">
      <c r="A8" s="9" t="s">
        <v>56</v>
      </c>
      <c r="B8" s="9" t="s">
        <v>50</v>
      </c>
      <c r="C8" s="9" t="s">
        <v>36</v>
      </c>
      <c r="D8" s="9" t="s">
        <v>15</v>
      </c>
      <c r="E8" s="9">
        <v>1</v>
      </c>
      <c r="F8" s="11">
        <v>29800</v>
      </c>
      <c r="G8" s="9" t="str">
        <f>INDEX(Products!$B$2:$B$9,MATCH(D8,Products!$A$2:$A$9,0))</f>
        <v>Trà lá nam sen ổi</v>
      </c>
      <c r="H8" s="9" t="str">
        <f>INDEX(Products!$C$2:$C$9,MATCH(D8,Products!$A$2:$A$9,0))</f>
        <v>Thanh lọc</v>
      </c>
      <c r="I8" s="11">
        <f>INDEX(Products!$D$2:$D$9,MATCH(D8,Products!$A$2:$A$9,0))</f>
        <v>8500</v>
      </c>
      <c r="J8" s="10">
        <f>IFERROR(INDEX(PlatformFees!$C$2:$C$5,MATCH(C8,PlatformFees!$A$2:$A$5,0)),0)</f>
        <v>0.13</v>
      </c>
      <c r="K8" s="11">
        <f t="shared" si="0"/>
        <v>8500</v>
      </c>
      <c r="L8" s="11">
        <f t="shared" si="1"/>
        <v>3874</v>
      </c>
      <c r="M8" s="11">
        <f t="shared" si="2"/>
        <v>17426</v>
      </c>
      <c r="N8" s="10">
        <f t="shared" si="3"/>
        <v>0.58476510067114096</v>
      </c>
    </row>
    <row r="9" spans="1:14" x14ac:dyDescent="0.3">
      <c r="A9" s="9" t="s">
        <v>57</v>
      </c>
      <c r="B9" s="9" t="s">
        <v>50</v>
      </c>
      <c r="C9" s="9" t="s">
        <v>36</v>
      </c>
      <c r="D9" s="9" t="s">
        <v>17</v>
      </c>
      <c r="E9" s="9">
        <v>1</v>
      </c>
      <c r="F9" s="11">
        <v>41400</v>
      </c>
      <c r="G9" s="9" t="str">
        <f>INDEX(Products!$B$2:$B$9,MATCH(D9,Products!$A$2:$A$9,0))</f>
        <v>Trà diếp cá rau má</v>
      </c>
      <c r="H9" s="9" t="str">
        <f>INDEX(Products!$C$2:$C$9,MATCH(D9,Products!$A$2:$A$9,0))</f>
        <v>Detox</v>
      </c>
      <c r="I9" s="11">
        <f>INDEX(Products!$D$2:$D$9,MATCH(D9,Products!$A$2:$A$9,0))</f>
        <v>10500</v>
      </c>
      <c r="J9" s="10">
        <f>IFERROR(INDEX(PlatformFees!$C$2:$C$5,MATCH(C9,PlatformFees!$A$2:$A$5,0)),0)</f>
        <v>0.13</v>
      </c>
      <c r="K9" s="11">
        <f t="shared" si="0"/>
        <v>10500</v>
      </c>
      <c r="L9" s="11">
        <f t="shared" si="1"/>
        <v>5382</v>
      </c>
      <c r="M9" s="11">
        <f t="shared" si="2"/>
        <v>25518</v>
      </c>
      <c r="N9" s="10">
        <f t="shared" si="3"/>
        <v>0.61637681159420288</v>
      </c>
    </row>
    <row r="10" spans="1:14" x14ac:dyDescent="0.3">
      <c r="A10" s="9" t="s">
        <v>58</v>
      </c>
      <c r="B10" s="9" t="s">
        <v>50</v>
      </c>
      <c r="C10" s="9" t="s">
        <v>39</v>
      </c>
      <c r="D10" s="9" t="s">
        <v>27</v>
      </c>
      <c r="E10" s="9">
        <v>2</v>
      </c>
      <c r="F10" s="11">
        <v>74700</v>
      </c>
      <c r="G10" s="9" t="str">
        <f>INDEX(Products!$B$2:$B$9,MATCH(D10,Products!$A$2:$A$9,0))</f>
        <v>Trà gừng mật ong</v>
      </c>
      <c r="H10" s="9" t="str">
        <f>INDEX(Products!$C$2:$C$9,MATCH(D10,Products!$A$2:$A$9,0))</f>
        <v>Giữ ấm</v>
      </c>
      <c r="I10" s="11">
        <f>INDEX(Products!$D$2:$D$9,MATCH(D10,Products!$A$2:$A$9,0))</f>
        <v>11000</v>
      </c>
      <c r="J10" s="10">
        <f>IFERROR(INDEX(PlatformFees!$C$2:$C$5,MATCH(C10,PlatformFees!$A$2:$A$5,0)),0)</f>
        <v>0</v>
      </c>
      <c r="K10" s="11">
        <f t="shared" si="0"/>
        <v>22000</v>
      </c>
      <c r="L10" s="11">
        <f t="shared" si="1"/>
        <v>0</v>
      </c>
      <c r="M10" s="11">
        <f t="shared" si="2"/>
        <v>52700</v>
      </c>
      <c r="N10" s="10">
        <f t="shared" si="3"/>
        <v>0.70548862115127176</v>
      </c>
    </row>
    <row r="11" spans="1:14" x14ac:dyDescent="0.3">
      <c r="A11" s="9" t="s">
        <v>59</v>
      </c>
      <c r="B11" s="9" t="s">
        <v>50</v>
      </c>
      <c r="C11" s="9" t="s">
        <v>40</v>
      </c>
      <c r="D11" s="9" t="s">
        <v>12</v>
      </c>
      <c r="E11" s="9">
        <v>1</v>
      </c>
      <c r="F11" s="11">
        <v>35400</v>
      </c>
      <c r="G11" s="9" t="str">
        <f>INDEX(Products!$B$2:$B$9,MATCH(D11,Products!$A$2:$A$9,0))</f>
        <v>Trà atiso thanh lọc</v>
      </c>
      <c r="H11" s="9" t="str">
        <f>INDEX(Products!$C$2:$C$9,MATCH(D11,Products!$A$2:$A$9,0))</f>
        <v>Thanh lọc</v>
      </c>
      <c r="I11" s="11">
        <f>INDEX(Products!$D$2:$D$9,MATCH(D11,Products!$A$2:$A$9,0))</f>
        <v>9000</v>
      </c>
      <c r="J11" s="10">
        <f>IFERROR(INDEX(PlatformFees!$C$2:$C$5,MATCH(C11,PlatformFees!$A$2:$A$5,0)),0)</f>
        <v>0</v>
      </c>
      <c r="K11" s="11">
        <f t="shared" si="0"/>
        <v>9000</v>
      </c>
      <c r="L11" s="11">
        <f t="shared" si="1"/>
        <v>0</v>
      </c>
      <c r="M11" s="11">
        <f t="shared" si="2"/>
        <v>26400</v>
      </c>
      <c r="N11" s="10">
        <f t="shared" si="3"/>
        <v>0.74576271186440679</v>
      </c>
    </row>
    <row r="12" spans="1:14" x14ac:dyDescent="0.3">
      <c r="A12" s="9" t="s">
        <v>60</v>
      </c>
      <c r="B12" s="9" t="s">
        <v>50</v>
      </c>
      <c r="C12" s="9" t="s">
        <v>38</v>
      </c>
      <c r="D12" s="9" t="s">
        <v>27</v>
      </c>
      <c r="E12" s="9">
        <v>2</v>
      </c>
      <c r="F12" s="11">
        <v>75300</v>
      </c>
      <c r="G12" s="9" t="str">
        <f>INDEX(Products!$B$2:$B$9,MATCH(D12,Products!$A$2:$A$9,0))</f>
        <v>Trà gừng mật ong</v>
      </c>
      <c r="H12" s="9" t="str">
        <f>INDEX(Products!$C$2:$C$9,MATCH(D12,Products!$A$2:$A$9,0))</f>
        <v>Giữ ấm</v>
      </c>
      <c r="I12" s="11">
        <f>INDEX(Products!$D$2:$D$9,MATCH(D12,Products!$A$2:$A$9,0))</f>
        <v>11000</v>
      </c>
      <c r="J12" s="10">
        <f>IFERROR(INDEX(PlatformFees!$C$2:$C$5,MATCH(C12,PlatformFees!$A$2:$A$5,0)),0)</f>
        <v>0.16</v>
      </c>
      <c r="K12" s="11">
        <f t="shared" si="0"/>
        <v>22000</v>
      </c>
      <c r="L12" s="11">
        <f t="shared" si="1"/>
        <v>12048</v>
      </c>
      <c r="M12" s="11">
        <f t="shared" si="2"/>
        <v>41252</v>
      </c>
      <c r="N12" s="10">
        <f t="shared" si="3"/>
        <v>0.54783532536520585</v>
      </c>
    </row>
    <row r="13" spans="1:14" x14ac:dyDescent="0.3">
      <c r="A13" s="9" t="s">
        <v>61</v>
      </c>
      <c r="B13" s="9" t="s">
        <v>50</v>
      </c>
      <c r="C13" s="9" t="s">
        <v>36</v>
      </c>
      <c r="D13" s="9" t="s">
        <v>22</v>
      </c>
      <c r="E13" s="9">
        <v>1</v>
      </c>
      <c r="F13" s="11">
        <v>39100</v>
      </c>
      <c r="G13" s="9" t="str">
        <f>INDEX(Products!$B$2:$B$9,MATCH(D13,Products!$A$2:$A$9,0))</f>
        <v>Trà hoa cúc an thần</v>
      </c>
      <c r="H13" s="9" t="str">
        <f>INDEX(Products!$C$2:$C$9,MATCH(D13,Products!$A$2:$A$9,0))</f>
        <v>An thần</v>
      </c>
      <c r="I13" s="11">
        <f>INDEX(Products!$D$2:$D$9,MATCH(D13,Products!$A$2:$A$9,0))</f>
        <v>9500</v>
      </c>
      <c r="J13" s="10">
        <f>IFERROR(INDEX(PlatformFees!$C$2:$C$5,MATCH(C13,PlatformFees!$A$2:$A$5,0)),0)</f>
        <v>0.13</v>
      </c>
      <c r="K13" s="11">
        <f t="shared" si="0"/>
        <v>9500</v>
      </c>
      <c r="L13" s="11">
        <f t="shared" si="1"/>
        <v>5083</v>
      </c>
      <c r="M13" s="11">
        <f t="shared" si="2"/>
        <v>24517</v>
      </c>
      <c r="N13" s="10">
        <f t="shared" si="3"/>
        <v>0.62703324808184147</v>
      </c>
    </row>
    <row r="14" spans="1:14" x14ac:dyDescent="0.3">
      <c r="A14" s="9" t="s">
        <v>62</v>
      </c>
      <c r="B14" s="9" t="s">
        <v>50</v>
      </c>
      <c r="C14" s="9" t="s">
        <v>39</v>
      </c>
      <c r="D14" s="9" t="s">
        <v>30</v>
      </c>
      <c r="E14" s="9">
        <v>2</v>
      </c>
      <c r="F14" s="11">
        <v>68400</v>
      </c>
      <c r="G14" s="9" t="str">
        <f>INDEX(Products!$B$2:$B$9,MATCH(D14,Products!$A$2:$A$9,0))</f>
        <v>Trà mâm xôi vitamin</v>
      </c>
      <c r="H14" s="9" t="str">
        <f>INDEX(Products!$C$2:$C$9,MATCH(D14,Products!$A$2:$A$9,0))</f>
        <v>Bổ sung dưỡng chất</v>
      </c>
      <c r="I14" s="11">
        <f>INDEX(Products!$D$2:$D$9,MATCH(D14,Products!$A$2:$A$9,0))</f>
        <v>9800</v>
      </c>
      <c r="J14" s="10">
        <f>IFERROR(INDEX(PlatformFees!$C$2:$C$5,MATCH(C14,PlatformFees!$A$2:$A$5,0)),0)</f>
        <v>0</v>
      </c>
      <c r="K14" s="11">
        <f t="shared" si="0"/>
        <v>19600</v>
      </c>
      <c r="L14" s="11">
        <f t="shared" si="1"/>
        <v>0</v>
      </c>
      <c r="M14" s="11">
        <f t="shared" si="2"/>
        <v>48800</v>
      </c>
      <c r="N14" s="10">
        <f t="shared" si="3"/>
        <v>0.71345029239766078</v>
      </c>
    </row>
    <row r="15" spans="1:14" x14ac:dyDescent="0.3">
      <c r="A15" s="9" t="s">
        <v>63</v>
      </c>
      <c r="B15" s="9" t="s">
        <v>50</v>
      </c>
      <c r="C15" s="9" t="s">
        <v>38</v>
      </c>
      <c r="D15" s="9" t="s">
        <v>17</v>
      </c>
      <c r="E15" s="9">
        <v>1</v>
      </c>
      <c r="F15" s="11">
        <v>40300</v>
      </c>
      <c r="G15" s="9" t="str">
        <f>INDEX(Products!$B$2:$B$9,MATCH(D15,Products!$A$2:$A$9,0))</f>
        <v>Trà diếp cá rau má</v>
      </c>
      <c r="H15" s="9" t="str">
        <f>INDEX(Products!$C$2:$C$9,MATCH(D15,Products!$A$2:$A$9,0))</f>
        <v>Detox</v>
      </c>
      <c r="I15" s="11">
        <f>INDEX(Products!$D$2:$D$9,MATCH(D15,Products!$A$2:$A$9,0))</f>
        <v>10500</v>
      </c>
      <c r="J15" s="10">
        <f>IFERROR(INDEX(PlatformFees!$C$2:$C$5,MATCH(C15,PlatformFees!$A$2:$A$5,0)),0)</f>
        <v>0.16</v>
      </c>
      <c r="K15" s="11">
        <f t="shared" si="0"/>
        <v>10500</v>
      </c>
      <c r="L15" s="11">
        <f t="shared" si="1"/>
        <v>6448</v>
      </c>
      <c r="M15" s="11">
        <f t="shared" si="2"/>
        <v>23352</v>
      </c>
      <c r="N15" s="10">
        <f t="shared" si="3"/>
        <v>0.57945409429280392</v>
      </c>
    </row>
    <row r="16" spans="1:14" x14ac:dyDescent="0.3">
      <c r="A16" s="9" t="s">
        <v>64</v>
      </c>
      <c r="B16" s="9" t="s">
        <v>50</v>
      </c>
      <c r="C16" s="9" t="s">
        <v>38</v>
      </c>
      <c r="D16" s="9" t="s">
        <v>25</v>
      </c>
      <c r="E16" s="9">
        <v>3</v>
      </c>
      <c r="F16" s="11">
        <v>101100</v>
      </c>
      <c r="G16" s="9" t="str">
        <f>INDEX(Products!$B$2:$B$9,MATCH(D16,Products!$A$2:$A$9,0))</f>
        <v>Trà hoa đậu biếc</v>
      </c>
      <c r="H16" s="9" t="str">
        <f>INDEX(Products!$C$2:$C$9,MATCH(D16,Products!$A$2:$A$9,0))</f>
        <v>An thần</v>
      </c>
      <c r="I16" s="11">
        <f>INDEX(Products!$D$2:$D$9,MATCH(D16,Products!$A$2:$A$9,0))</f>
        <v>8800</v>
      </c>
      <c r="J16" s="10">
        <f>IFERROR(INDEX(PlatformFees!$C$2:$C$5,MATCH(C16,PlatformFees!$A$2:$A$5,0)),0)</f>
        <v>0.16</v>
      </c>
      <c r="K16" s="11">
        <f t="shared" si="0"/>
        <v>26400</v>
      </c>
      <c r="L16" s="11">
        <f t="shared" si="1"/>
        <v>16176</v>
      </c>
      <c r="M16" s="11">
        <f t="shared" si="2"/>
        <v>58524</v>
      </c>
      <c r="N16" s="10">
        <f t="shared" si="3"/>
        <v>0.57887240356083081</v>
      </c>
    </row>
    <row r="17" spans="1:14" x14ac:dyDescent="0.3">
      <c r="A17" s="9" t="s">
        <v>65</v>
      </c>
      <c r="B17" s="9" t="s">
        <v>50</v>
      </c>
      <c r="C17" s="9" t="s">
        <v>38</v>
      </c>
      <c r="D17" s="9" t="s">
        <v>15</v>
      </c>
      <c r="E17" s="9">
        <v>3</v>
      </c>
      <c r="F17" s="11">
        <v>90900</v>
      </c>
      <c r="G17" s="9" t="str">
        <f>INDEX(Products!$B$2:$B$9,MATCH(D17,Products!$A$2:$A$9,0))</f>
        <v>Trà lá nam sen ổi</v>
      </c>
      <c r="H17" s="9" t="str">
        <f>INDEX(Products!$C$2:$C$9,MATCH(D17,Products!$A$2:$A$9,0))</f>
        <v>Thanh lọc</v>
      </c>
      <c r="I17" s="11">
        <f>INDEX(Products!$D$2:$D$9,MATCH(D17,Products!$A$2:$A$9,0))</f>
        <v>8500</v>
      </c>
      <c r="J17" s="10">
        <f>IFERROR(INDEX(PlatformFees!$C$2:$C$5,MATCH(C17,PlatformFees!$A$2:$A$5,0)),0)</f>
        <v>0.16</v>
      </c>
      <c r="K17" s="11">
        <f t="shared" si="0"/>
        <v>25500</v>
      </c>
      <c r="L17" s="11">
        <f t="shared" si="1"/>
        <v>14544</v>
      </c>
      <c r="M17" s="11">
        <f t="shared" si="2"/>
        <v>50856</v>
      </c>
      <c r="N17" s="10">
        <f t="shared" si="3"/>
        <v>0.55947194719471949</v>
      </c>
    </row>
    <row r="18" spans="1:14" x14ac:dyDescent="0.3">
      <c r="A18" s="9" t="s">
        <v>66</v>
      </c>
      <c r="B18" s="9" t="s">
        <v>50</v>
      </c>
      <c r="C18" s="9" t="s">
        <v>38</v>
      </c>
      <c r="D18" s="9" t="s">
        <v>17</v>
      </c>
      <c r="E18" s="9">
        <v>3</v>
      </c>
      <c r="F18" s="11">
        <v>125500</v>
      </c>
      <c r="G18" s="9" t="str">
        <f>INDEX(Products!$B$2:$B$9,MATCH(D18,Products!$A$2:$A$9,0))</f>
        <v>Trà diếp cá rau má</v>
      </c>
      <c r="H18" s="9" t="str">
        <f>INDEX(Products!$C$2:$C$9,MATCH(D18,Products!$A$2:$A$9,0))</f>
        <v>Detox</v>
      </c>
      <c r="I18" s="11">
        <f>INDEX(Products!$D$2:$D$9,MATCH(D18,Products!$A$2:$A$9,0))</f>
        <v>10500</v>
      </c>
      <c r="J18" s="10">
        <f>IFERROR(INDEX(PlatformFees!$C$2:$C$5,MATCH(C18,PlatformFees!$A$2:$A$5,0)),0)</f>
        <v>0.16</v>
      </c>
      <c r="K18" s="11">
        <f t="shared" si="0"/>
        <v>31500</v>
      </c>
      <c r="L18" s="11">
        <f t="shared" si="1"/>
        <v>20080</v>
      </c>
      <c r="M18" s="11">
        <f t="shared" si="2"/>
        <v>73920</v>
      </c>
      <c r="N18" s="10">
        <f t="shared" si="3"/>
        <v>0.58900398406374499</v>
      </c>
    </row>
    <row r="19" spans="1:14" x14ac:dyDescent="0.3">
      <c r="A19" s="9" t="s">
        <v>67</v>
      </c>
      <c r="B19" s="9" t="s">
        <v>50</v>
      </c>
      <c r="C19" s="9" t="s">
        <v>36</v>
      </c>
      <c r="D19" s="9" t="s">
        <v>17</v>
      </c>
      <c r="E19" s="9">
        <v>1</v>
      </c>
      <c r="F19" s="11">
        <v>39700</v>
      </c>
      <c r="G19" s="9" t="str">
        <f>INDEX(Products!$B$2:$B$9,MATCH(D19,Products!$A$2:$A$9,0))</f>
        <v>Trà diếp cá rau má</v>
      </c>
      <c r="H19" s="9" t="str">
        <f>INDEX(Products!$C$2:$C$9,MATCH(D19,Products!$A$2:$A$9,0))</f>
        <v>Detox</v>
      </c>
      <c r="I19" s="11">
        <f>INDEX(Products!$D$2:$D$9,MATCH(D19,Products!$A$2:$A$9,0))</f>
        <v>10500</v>
      </c>
      <c r="J19" s="10">
        <f>IFERROR(INDEX(PlatformFees!$C$2:$C$5,MATCH(C19,PlatformFees!$A$2:$A$5,0)),0)</f>
        <v>0.13</v>
      </c>
      <c r="K19" s="11">
        <f t="shared" si="0"/>
        <v>10500</v>
      </c>
      <c r="L19" s="11">
        <f t="shared" si="1"/>
        <v>5161</v>
      </c>
      <c r="M19" s="11">
        <f t="shared" si="2"/>
        <v>24039</v>
      </c>
      <c r="N19" s="10">
        <f t="shared" si="3"/>
        <v>0.60551637279596982</v>
      </c>
    </row>
    <row r="20" spans="1:14" x14ac:dyDescent="0.3">
      <c r="A20" s="9" t="s">
        <v>68</v>
      </c>
      <c r="B20" s="9" t="s">
        <v>50</v>
      </c>
      <c r="C20" s="9" t="s">
        <v>36</v>
      </c>
      <c r="D20" s="9" t="s">
        <v>17</v>
      </c>
      <c r="E20" s="9">
        <v>1</v>
      </c>
      <c r="F20" s="11">
        <v>38900</v>
      </c>
      <c r="G20" s="9" t="str">
        <f>INDEX(Products!$B$2:$B$9,MATCH(D20,Products!$A$2:$A$9,0))</f>
        <v>Trà diếp cá rau má</v>
      </c>
      <c r="H20" s="9" t="str">
        <f>INDEX(Products!$C$2:$C$9,MATCH(D20,Products!$A$2:$A$9,0))</f>
        <v>Detox</v>
      </c>
      <c r="I20" s="11">
        <f>INDEX(Products!$D$2:$D$9,MATCH(D20,Products!$A$2:$A$9,0))</f>
        <v>10500</v>
      </c>
      <c r="J20" s="10">
        <f>IFERROR(INDEX(PlatformFees!$C$2:$C$5,MATCH(C20,PlatformFees!$A$2:$A$5,0)),0)</f>
        <v>0.13</v>
      </c>
      <c r="K20" s="11">
        <f t="shared" si="0"/>
        <v>10500</v>
      </c>
      <c r="L20" s="11">
        <f t="shared" si="1"/>
        <v>5057</v>
      </c>
      <c r="M20" s="11">
        <f t="shared" si="2"/>
        <v>23343</v>
      </c>
      <c r="N20" s="10">
        <f t="shared" si="3"/>
        <v>0.6000771208226221</v>
      </c>
    </row>
    <row r="21" spans="1:14" x14ac:dyDescent="0.3">
      <c r="A21" s="9" t="s">
        <v>69</v>
      </c>
      <c r="B21" s="9" t="s">
        <v>50</v>
      </c>
      <c r="C21" s="9" t="s">
        <v>40</v>
      </c>
      <c r="D21" s="9" t="s">
        <v>22</v>
      </c>
      <c r="E21" s="9">
        <v>3</v>
      </c>
      <c r="F21" s="11">
        <v>108800</v>
      </c>
      <c r="G21" s="9" t="str">
        <f>INDEX(Products!$B$2:$B$9,MATCH(D21,Products!$A$2:$A$9,0))</f>
        <v>Trà hoa cúc an thần</v>
      </c>
      <c r="H21" s="9" t="str">
        <f>INDEX(Products!$C$2:$C$9,MATCH(D21,Products!$A$2:$A$9,0))</f>
        <v>An thần</v>
      </c>
      <c r="I21" s="11">
        <f>INDEX(Products!$D$2:$D$9,MATCH(D21,Products!$A$2:$A$9,0))</f>
        <v>9500</v>
      </c>
      <c r="J21" s="10">
        <f>IFERROR(INDEX(PlatformFees!$C$2:$C$5,MATCH(C21,PlatformFees!$A$2:$A$5,0)),0)</f>
        <v>0</v>
      </c>
      <c r="K21" s="11">
        <f t="shared" si="0"/>
        <v>28500</v>
      </c>
      <c r="L21" s="11">
        <f t="shared" si="1"/>
        <v>0</v>
      </c>
      <c r="M21" s="11">
        <f t="shared" si="2"/>
        <v>80300</v>
      </c>
      <c r="N21" s="10">
        <f t="shared" si="3"/>
        <v>0.73805147058823528</v>
      </c>
    </row>
    <row r="22" spans="1:14" x14ac:dyDescent="0.3">
      <c r="A22" s="9" t="s">
        <v>70</v>
      </c>
      <c r="B22" s="9" t="s">
        <v>71</v>
      </c>
      <c r="C22" s="9" t="s">
        <v>38</v>
      </c>
      <c r="D22" s="9" t="s">
        <v>27</v>
      </c>
      <c r="E22" s="9">
        <v>3</v>
      </c>
      <c r="F22" s="11">
        <v>116500</v>
      </c>
      <c r="G22" s="9" t="str">
        <f>INDEX(Products!$B$2:$B$9,MATCH(D22,Products!$A$2:$A$9,0))</f>
        <v>Trà gừng mật ong</v>
      </c>
      <c r="H22" s="9" t="str">
        <f>INDEX(Products!$C$2:$C$9,MATCH(D22,Products!$A$2:$A$9,0))</f>
        <v>Giữ ấm</v>
      </c>
      <c r="I22" s="11">
        <f>INDEX(Products!$D$2:$D$9,MATCH(D22,Products!$A$2:$A$9,0))</f>
        <v>11000</v>
      </c>
      <c r="J22" s="10">
        <f>IFERROR(INDEX(PlatformFees!$C$2:$C$5,MATCH(C22,PlatformFees!$A$2:$A$5,0)),0)</f>
        <v>0.16</v>
      </c>
      <c r="K22" s="11">
        <f t="shared" si="0"/>
        <v>33000</v>
      </c>
      <c r="L22" s="11">
        <f t="shared" si="1"/>
        <v>18640</v>
      </c>
      <c r="M22" s="11">
        <f t="shared" si="2"/>
        <v>64860</v>
      </c>
      <c r="N22" s="10">
        <f t="shared" si="3"/>
        <v>0.55673819742489272</v>
      </c>
    </row>
    <row r="23" spans="1:14" x14ac:dyDescent="0.3">
      <c r="A23" s="9" t="s">
        <v>72</v>
      </c>
      <c r="B23" s="9" t="s">
        <v>71</v>
      </c>
      <c r="C23" s="9" t="s">
        <v>36</v>
      </c>
      <c r="D23" s="9" t="s">
        <v>17</v>
      </c>
      <c r="E23" s="9">
        <v>2</v>
      </c>
      <c r="F23" s="11">
        <v>82300</v>
      </c>
      <c r="G23" s="9" t="str">
        <f>INDEX(Products!$B$2:$B$9,MATCH(D23,Products!$A$2:$A$9,0))</f>
        <v>Trà diếp cá rau má</v>
      </c>
      <c r="H23" s="9" t="str">
        <f>INDEX(Products!$C$2:$C$9,MATCH(D23,Products!$A$2:$A$9,0))</f>
        <v>Detox</v>
      </c>
      <c r="I23" s="11">
        <f>INDEX(Products!$D$2:$D$9,MATCH(D23,Products!$A$2:$A$9,0))</f>
        <v>10500</v>
      </c>
      <c r="J23" s="10">
        <f>IFERROR(INDEX(PlatformFees!$C$2:$C$5,MATCH(C23,PlatformFees!$A$2:$A$5,0)),0)</f>
        <v>0.13</v>
      </c>
      <c r="K23" s="11">
        <f t="shared" si="0"/>
        <v>21000</v>
      </c>
      <c r="L23" s="11">
        <f t="shared" si="1"/>
        <v>10699</v>
      </c>
      <c r="M23" s="11">
        <f t="shared" si="2"/>
        <v>50601</v>
      </c>
      <c r="N23" s="10">
        <f t="shared" si="3"/>
        <v>0.61483596597812884</v>
      </c>
    </row>
    <row r="24" spans="1:14" x14ac:dyDescent="0.3">
      <c r="A24" s="9" t="s">
        <v>73</v>
      </c>
      <c r="B24" s="9" t="s">
        <v>71</v>
      </c>
      <c r="C24" s="9" t="s">
        <v>39</v>
      </c>
      <c r="D24" s="9" t="s">
        <v>20</v>
      </c>
      <c r="E24" s="9">
        <v>2</v>
      </c>
      <c r="F24" s="11">
        <v>106000</v>
      </c>
      <c r="G24" s="9" t="str">
        <f>INDEX(Products!$B$2:$B$9,MATCH(D24,Products!$A$2:$A$9,0))</f>
        <v>Trà cà leo gai giảm cân</v>
      </c>
      <c r="H24" s="9" t="str">
        <f>INDEX(Products!$C$2:$C$9,MATCH(D24,Products!$A$2:$A$9,0))</f>
        <v>Detox</v>
      </c>
      <c r="I24" s="11">
        <f>INDEX(Products!$D$2:$D$9,MATCH(D24,Products!$A$2:$A$9,0))</f>
        <v>15000</v>
      </c>
      <c r="J24" s="10">
        <f>IFERROR(INDEX(PlatformFees!$C$2:$C$5,MATCH(C24,PlatformFees!$A$2:$A$5,0)),0)</f>
        <v>0</v>
      </c>
      <c r="K24" s="11">
        <f t="shared" si="0"/>
        <v>30000</v>
      </c>
      <c r="L24" s="11">
        <f t="shared" si="1"/>
        <v>0</v>
      </c>
      <c r="M24" s="11">
        <f t="shared" si="2"/>
        <v>76000</v>
      </c>
      <c r="N24" s="10">
        <f t="shared" si="3"/>
        <v>0.71698113207547165</v>
      </c>
    </row>
    <row r="25" spans="1:14" x14ac:dyDescent="0.3">
      <c r="A25" s="9" t="s">
        <v>74</v>
      </c>
      <c r="B25" s="9" t="s">
        <v>71</v>
      </c>
      <c r="C25" s="9" t="s">
        <v>36</v>
      </c>
      <c r="D25" s="9" t="s">
        <v>30</v>
      </c>
      <c r="E25" s="9">
        <v>2</v>
      </c>
      <c r="F25" s="11">
        <v>70100</v>
      </c>
      <c r="G25" s="9" t="str">
        <f>INDEX(Products!$B$2:$B$9,MATCH(D25,Products!$A$2:$A$9,0))</f>
        <v>Trà mâm xôi vitamin</v>
      </c>
      <c r="H25" s="9" t="str">
        <f>INDEX(Products!$C$2:$C$9,MATCH(D25,Products!$A$2:$A$9,0))</f>
        <v>Bổ sung dưỡng chất</v>
      </c>
      <c r="I25" s="11">
        <f>INDEX(Products!$D$2:$D$9,MATCH(D25,Products!$A$2:$A$9,0))</f>
        <v>9800</v>
      </c>
      <c r="J25" s="10">
        <f>IFERROR(INDEX(PlatformFees!$C$2:$C$5,MATCH(C25,PlatformFees!$A$2:$A$5,0)),0)</f>
        <v>0.13</v>
      </c>
      <c r="K25" s="11">
        <f t="shared" si="0"/>
        <v>19600</v>
      </c>
      <c r="L25" s="11">
        <f t="shared" si="1"/>
        <v>9113</v>
      </c>
      <c r="M25" s="11">
        <f t="shared" si="2"/>
        <v>41387</v>
      </c>
      <c r="N25" s="10">
        <f t="shared" si="3"/>
        <v>0.59039942938659062</v>
      </c>
    </row>
    <row r="26" spans="1:14" x14ac:dyDescent="0.3">
      <c r="A26" s="9" t="s">
        <v>75</v>
      </c>
      <c r="B26" s="9" t="s">
        <v>71</v>
      </c>
      <c r="C26" s="9" t="s">
        <v>39</v>
      </c>
      <c r="D26" s="9" t="s">
        <v>30</v>
      </c>
      <c r="E26" s="9">
        <v>1</v>
      </c>
      <c r="F26" s="11">
        <v>35600</v>
      </c>
      <c r="G26" s="9" t="str">
        <f>INDEX(Products!$B$2:$B$9,MATCH(D26,Products!$A$2:$A$9,0))</f>
        <v>Trà mâm xôi vitamin</v>
      </c>
      <c r="H26" s="9" t="str">
        <f>INDEX(Products!$C$2:$C$9,MATCH(D26,Products!$A$2:$A$9,0))</f>
        <v>Bổ sung dưỡng chất</v>
      </c>
      <c r="I26" s="11">
        <f>INDEX(Products!$D$2:$D$9,MATCH(D26,Products!$A$2:$A$9,0))</f>
        <v>9800</v>
      </c>
      <c r="J26" s="10">
        <f>IFERROR(INDEX(PlatformFees!$C$2:$C$5,MATCH(C26,PlatformFees!$A$2:$A$5,0)),0)</f>
        <v>0</v>
      </c>
      <c r="K26" s="11">
        <f t="shared" si="0"/>
        <v>9800</v>
      </c>
      <c r="L26" s="11">
        <f t="shared" si="1"/>
        <v>0</v>
      </c>
      <c r="M26" s="11">
        <f t="shared" si="2"/>
        <v>25800</v>
      </c>
      <c r="N26" s="10">
        <f t="shared" si="3"/>
        <v>0.7247191011235955</v>
      </c>
    </row>
    <row r="27" spans="1:14" x14ac:dyDescent="0.3">
      <c r="A27" s="9" t="s">
        <v>76</v>
      </c>
      <c r="B27" s="9" t="s">
        <v>71</v>
      </c>
      <c r="C27" s="9" t="s">
        <v>39</v>
      </c>
      <c r="D27" s="9" t="s">
        <v>20</v>
      </c>
      <c r="E27" s="9">
        <v>1</v>
      </c>
      <c r="F27" s="11">
        <v>52900</v>
      </c>
      <c r="G27" s="9" t="str">
        <f>INDEX(Products!$B$2:$B$9,MATCH(D27,Products!$A$2:$A$9,0))</f>
        <v>Trà cà leo gai giảm cân</v>
      </c>
      <c r="H27" s="9" t="str">
        <f>INDEX(Products!$C$2:$C$9,MATCH(D27,Products!$A$2:$A$9,0))</f>
        <v>Detox</v>
      </c>
      <c r="I27" s="11">
        <f>INDEX(Products!$D$2:$D$9,MATCH(D27,Products!$A$2:$A$9,0))</f>
        <v>15000</v>
      </c>
      <c r="J27" s="10">
        <f>IFERROR(INDEX(PlatformFees!$C$2:$C$5,MATCH(C27,PlatformFees!$A$2:$A$5,0)),0)</f>
        <v>0</v>
      </c>
      <c r="K27" s="11">
        <f t="shared" si="0"/>
        <v>15000</v>
      </c>
      <c r="L27" s="11">
        <f t="shared" si="1"/>
        <v>0</v>
      </c>
      <c r="M27" s="11">
        <f t="shared" si="2"/>
        <v>37900</v>
      </c>
      <c r="N27" s="10">
        <f t="shared" si="3"/>
        <v>0.71644612476370506</v>
      </c>
    </row>
    <row r="28" spans="1:14" x14ac:dyDescent="0.3">
      <c r="A28" s="9" t="s">
        <v>77</v>
      </c>
      <c r="B28" s="9" t="s">
        <v>71</v>
      </c>
      <c r="C28" s="9" t="s">
        <v>38</v>
      </c>
      <c r="D28" s="9" t="s">
        <v>20</v>
      </c>
      <c r="E28" s="9">
        <v>1</v>
      </c>
      <c r="F28" s="11">
        <v>56500</v>
      </c>
      <c r="G28" s="9" t="str">
        <f>INDEX(Products!$B$2:$B$9,MATCH(D28,Products!$A$2:$A$9,0))</f>
        <v>Trà cà leo gai giảm cân</v>
      </c>
      <c r="H28" s="9" t="str">
        <f>INDEX(Products!$C$2:$C$9,MATCH(D28,Products!$A$2:$A$9,0))</f>
        <v>Detox</v>
      </c>
      <c r="I28" s="11">
        <f>INDEX(Products!$D$2:$D$9,MATCH(D28,Products!$A$2:$A$9,0))</f>
        <v>15000</v>
      </c>
      <c r="J28" s="10">
        <f>IFERROR(INDEX(PlatformFees!$C$2:$C$5,MATCH(C28,PlatformFees!$A$2:$A$5,0)),0)</f>
        <v>0.16</v>
      </c>
      <c r="K28" s="11">
        <f t="shared" si="0"/>
        <v>15000</v>
      </c>
      <c r="L28" s="11">
        <f t="shared" si="1"/>
        <v>9040</v>
      </c>
      <c r="M28" s="11">
        <f t="shared" si="2"/>
        <v>32460</v>
      </c>
      <c r="N28" s="10">
        <f t="shared" si="3"/>
        <v>0.57451327433628319</v>
      </c>
    </row>
    <row r="29" spans="1:14" x14ac:dyDescent="0.3">
      <c r="A29" s="9" t="s">
        <v>78</v>
      </c>
      <c r="B29" s="9" t="s">
        <v>71</v>
      </c>
      <c r="C29" s="9" t="s">
        <v>39</v>
      </c>
      <c r="D29" s="9" t="s">
        <v>12</v>
      </c>
      <c r="E29" s="9">
        <v>3</v>
      </c>
      <c r="F29" s="11">
        <v>97900</v>
      </c>
      <c r="G29" s="9" t="str">
        <f>INDEX(Products!$B$2:$B$9,MATCH(D29,Products!$A$2:$A$9,0))</f>
        <v>Trà atiso thanh lọc</v>
      </c>
      <c r="H29" s="9" t="str">
        <f>INDEX(Products!$C$2:$C$9,MATCH(D29,Products!$A$2:$A$9,0))</f>
        <v>Thanh lọc</v>
      </c>
      <c r="I29" s="11">
        <f>INDEX(Products!$D$2:$D$9,MATCH(D29,Products!$A$2:$A$9,0))</f>
        <v>9000</v>
      </c>
      <c r="J29" s="10">
        <f>IFERROR(INDEX(PlatformFees!$C$2:$C$5,MATCH(C29,PlatformFees!$A$2:$A$5,0)),0)</f>
        <v>0</v>
      </c>
      <c r="K29" s="11">
        <f t="shared" si="0"/>
        <v>27000</v>
      </c>
      <c r="L29" s="11">
        <f t="shared" si="1"/>
        <v>0</v>
      </c>
      <c r="M29" s="11">
        <f t="shared" si="2"/>
        <v>70900</v>
      </c>
      <c r="N29" s="10">
        <f t="shared" si="3"/>
        <v>0.72420837589376919</v>
      </c>
    </row>
    <row r="30" spans="1:14" x14ac:dyDescent="0.3">
      <c r="A30" s="9" t="s">
        <v>79</v>
      </c>
      <c r="B30" s="9" t="s">
        <v>71</v>
      </c>
      <c r="C30" s="9" t="s">
        <v>39</v>
      </c>
      <c r="D30" s="9" t="s">
        <v>27</v>
      </c>
      <c r="E30" s="9">
        <v>3</v>
      </c>
      <c r="F30" s="11">
        <v>114900</v>
      </c>
      <c r="G30" s="9" t="str">
        <f>INDEX(Products!$B$2:$B$9,MATCH(D30,Products!$A$2:$A$9,0))</f>
        <v>Trà gừng mật ong</v>
      </c>
      <c r="H30" s="9" t="str">
        <f>INDEX(Products!$C$2:$C$9,MATCH(D30,Products!$A$2:$A$9,0))</f>
        <v>Giữ ấm</v>
      </c>
      <c r="I30" s="11">
        <f>INDEX(Products!$D$2:$D$9,MATCH(D30,Products!$A$2:$A$9,0))</f>
        <v>11000</v>
      </c>
      <c r="J30" s="10">
        <f>IFERROR(INDEX(PlatformFees!$C$2:$C$5,MATCH(C30,PlatformFees!$A$2:$A$5,0)),0)</f>
        <v>0</v>
      </c>
      <c r="K30" s="11">
        <f t="shared" si="0"/>
        <v>33000</v>
      </c>
      <c r="L30" s="11">
        <f t="shared" si="1"/>
        <v>0</v>
      </c>
      <c r="M30" s="11">
        <f t="shared" si="2"/>
        <v>81900</v>
      </c>
      <c r="N30" s="10">
        <f t="shared" si="3"/>
        <v>0.71279373368146215</v>
      </c>
    </row>
    <row r="31" spans="1:14" x14ac:dyDescent="0.3">
      <c r="A31" s="9" t="s">
        <v>80</v>
      </c>
      <c r="B31" s="9" t="s">
        <v>71</v>
      </c>
      <c r="C31" s="9" t="s">
        <v>36</v>
      </c>
      <c r="D31" s="9" t="s">
        <v>15</v>
      </c>
      <c r="E31" s="9">
        <v>1</v>
      </c>
      <c r="F31" s="11">
        <v>32800</v>
      </c>
      <c r="G31" s="9" t="str">
        <f>INDEX(Products!$B$2:$B$9,MATCH(D31,Products!$A$2:$A$9,0))</f>
        <v>Trà lá nam sen ổi</v>
      </c>
      <c r="H31" s="9" t="str">
        <f>INDEX(Products!$C$2:$C$9,MATCH(D31,Products!$A$2:$A$9,0))</f>
        <v>Thanh lọc</v>
      </c>
      <c r="I31" s="11">
        <f>INDEX(Products!$D$2:$D$9,MATCH(D31,Products!$A$2:$A$9,0))</f>
        <v>8500</v>
      </c>
      <c r="J31" s="10">
        <f>IFERROR(INDEX(PlatformFees!$C$2:$C$5,MATCH(C31,PlatformFees!$A$2:$A$5,0)),0)</f>
        <v>0.13</v>
      </c>
      <c r="K31" s="11">
        <f t="shared" si="0"/>
        <v>8500</v>
      </c>
      <c r="L31" s="11">
        <f t="shared" si="1"/>
        <v>4264</v>
      </c>
      <c r="M31" s="11">
        <f t="shared" si="2"/>
        <v>20036</v>
      </c>
      <c r="N31" s="10">
        <f t="shared" si="3"/>
        <v>0.61085365853658535</v>
      </c>
    </row>
    <row r="32" spans="1:14" x14ac:dyDescent="0.3">
      <c r="A32" s="9" t="s">
        <v>81</v>
      </c>
      <c r="B32" s="9" t="s">
        <v>71</v>
      </c>
      <c r="C32" s="9" t="s">
        <v>39</v>
      </c>
      <c r="D32" s="9" t="s">
        <v>15</v>
      </c>
      <c r="E32" s="9">
        <v>2</v>
      </c>
      <c r="F32" s="11">
        <v>64200</v>
      </c>
      <c r="G32" s="9" t="str">
        <f>INDEX(Products!$B$2:$B$9,MATCH(D32,Products!$A$2:$A$9,0))</f>
        <v>Trà lá nam sen ổi</v>
      </c>
      <c r="H32" s="9" t="str">
        <f>INDEX(Products!$C$2:$C$9,MATCH(D32,Products!$A$2:$A$9,0))</f>
        <v>Thanh lọc</v>
      </c>
      <c r="I32" s="11">
        <f>INDEX(Products!$D$2:$D$9,MATCH(D32,Products!$A$2:$A$9,0))</f>
        <v>8500</v>
      </c>
      <c r="J32" s="10">
        <f>IFERROR(INDEX(PlatformFees!$C$2:$C$5,MATCH(C32,PlatformFees!$A$2:$A$5,0)),0)</f>
        <v>0</v>
      </c>
      <c r="K32" s="11">
        <f t="shared" si="0"/>
        <v>17000</v>
      </c>
      <c r="L32" s="11">
        <f t="shared" si="1"/>
        <v>0</v>
      </c>
      <c r="M32" s="11">
        <f t="shared" si="2"/>
        <v>47200</v>
      </c>
      <c r="N32" s="10">
        <f t="shared" si="3"/>
        <v>0.73520249221183798</v>
      </c>
    </row>
    <row r="33" spans="1:14" x14ac:dyDescent="0.3">
      <c r="A33" s="9" t="s">
        <v>82</v>
      </c>
      <c r="B33" s="9" t="s">
        <v>71</v>
      </c>
      <c r="C33" s="9" t="s">
        <v>38</v>
      </c>
      <c r="D33" s="9" t="s">
        <v>15</v>
      </c>
      <c r="E33" s="9">
        <v>3</v>
      </c>
      <c r="F33" s="11">
        <v>91500</v>
      </c>
      <c r="G33" s="9" t="str">
        <f>INDEX(Products!$B$2:$B$9,MATCH(D33,Products!$A$2:$A$9,0))</f>
        <v>Trà lá nam sen ổi</v>
      </c>
      <c r="H33" s="9" t="str">
        <f>INDEX(Products!$C$2:$C$9,MATCH(D33,Products!$A$2:$A$9,0))</f>
        <v>Thanh lọc</v>
      </c>
      <c r="I33" s="11">
        <f>INDEX(Products!$D$2:$D$9,MATCH(D33,Products!$A$2:$A$9,0))</f>
        <v>8500</v>
      </c>
      <c r="J33" s="10">
        <f>IFERROR(INDEX(PlatformFees!$C$2:$C$5,MATCH(C33,PlatformFees!$A$2:$A$5,0)),0)</f>
        <v>0.16</v>
      </c>
      <c r="K33" s="11">
        <f t="shared" si="0"/>
        <v>25500</v>
      </c>
      <c r="L33" s="11">
        <f t="shared" si="1"/>
        <v>14640</v>
      </c>
      <c r="M33" s="11">
        <f t="shared" si="2"/>
        <v>51360</v>
      </c>
      <c r="N33" s="10">
        <f t="shared" si="3"/>
        <v>0.56131147540983606</v>
      </c>
    </row>
    <row r="34" spans="1:14" x14ac:dyDescent="0.3">
      <c r="A34" s="9" t="s">
        <v>83</v>
      </c>
      <c r="B34" s="9" t="s">
        <v>71</v>
      </c>
      <c r="C34" s="9" t="s">
        <v>38</v>
      </c>
      <c r="D34" s="9" t="s">
        <v>22</v>
      </c>
      <c r="E34" s="9">
        <v>1</v>
      </c>
      <c r="F34" s="11">
        <v>36500</v>
      </c>
      <c r="G34" s="9" t="str">
        <f>INDEX(Products!$B$2:$B$9,MATCH(D34,Products!$A$2:$A$9,0))</f>
        <v>Trà hoa cúc an thần</v>
      </c>
      <c r="H34" s="9" t="str">
        <f>INDEX(Products!$C$2:$C$9,MATCH(D34,Products!$A$2:$A$9,0))</f>
        <v>An thần</v>
      </c>
      <c r="I34" s="11">
        <f>INDEX(Products!$D$2:$D$9,MATCH(D34,Products!$A$2:$A$9,0))</f>
        <v>9500</v>
      </c>
      <c r="J34" s="10">
        <f>IFERROR(INDEX(PlatformFees!$C$2:$C$5,MATCH(C34,PlatformFees!$A$2:$A$5,0)),0)</f>
        <v>0.16</v>
      </c>
      <c r="K34" s="11">
        <f t="shared" si="0"/>
        <v>9500</v>
      </c>
      <c r="L34" s="11">
        <f t="shared" si="1"/>
        <v>5840</v>
      </c>
      <c r="M34" s="11">
        <f t="shared" si="2"/>
        <v>21160</v>
      </c>
      <c r="N34" s="10">
        <f t="shared" si="3"/>
        <v>0.57972602739726031</v>
      </c>
    </row>
    <row r="35" spans="1:14" x14ac:dyDescent="0.3">
      <c r="A35" s="9" t="s">
        <v>84</v>
      </c>
      <c r="B35" s="9" t="s">
        <v>71</v>
      </c>
      <c r="C35" s="9" t="s">
        <v>36</v>
      </c>
      <c r="D35" s="9" t="s">
        <v>30</v>
      </c>
      <c r="E35" s="9">
        <v>2</v>
      </c>
      <c r="F35" s="11">
        <v>73500</v>
      </c>
      <c r="G35" s="9" t="str">
        <f>INDEX(Products!$B$2:$B$9,MATCH(D35,Products!$A$2:$A$9,0))</f>
        <v>Trà mâm xôi vitamin</v>
      </c>
      <c r="H35" s="9" t="str">
        <f>INDEX(Products!$C$2:$C$9,MATCH(D35,Products!$A$2:$A$9,0))</f>
        <v>Bổ sung dưỡng chất</v>
      </c>
      <c r="I35" s="11">
        <f>INDEX(Products!$D$2:$D$9,MATCH(D35,Products!$A$2:$A$9,0))</f>
        <v>9800</v>
      </c>
      <c r="J35" s="10">
        <f>IFERROR(INDEX(PlatformFees!$C$2:$C$5,MATCH(C35,PlatformFees!$A$2:$A$5,0)),0)</f>
        <v>0.13</v>
      </c>
      <c r="K35" s="11">
        <f t="shared" si="0"/>
        <v>19600</v>
      </c>
      <c r="L35" s="11">
        <f t="shared" si="1"/>
        <v>9555</v>
      </c>
      <c r="M35" s="11">
        <f t="shared" si="2"/>
        <v>44345</v>
      </c>
      <c r="N35" s="10">
        <f t="shared" si="3"/>
        <v>0.60333333333333339</v>
      </c>
    </row>
    <row r="36" spans="1:14" x14ac:dyDescent="0.3">
      <c r="A36" s="9" t="s">
        <v>85</v>
      </c>
      <c r="B36" s="9" t="s">
        <v>71</v>
      </c>
      <c r="C36" s="9" t="s">
        <v>38</v>
      </c>
      <c r="D36" s="9" t="s">
        <v>20</v>
      </c>
      <c r="E36" s="9">
        <v>1</v>
      </c>
      <c r="F36" s="11">
        <v>56200</v>
      </c>
      <c r="G36" s="9" t="str">
        <f>INDEX(Products!$B$2:$B$9,MATCH(D36,Products!$A$2:$A$9,0))</f>
        <v>Trà cà leo gai giảm cân</v>
      </c>
      <c r="H36" s="9" t="str">
        <f>INDEX(Products!$C$2:$C$9,MATCH(D36,Products!$A$2:$A$9,0))</f>
        <v>Detox</v>
      </c>
      <c r="I36" s="11">
        <f>INDEX(Products!$D$2:$D$9,MATCH(D36,Products!$A$2:$A$9,0))</f>
        <v>15000</v>
      </c>
      <c r="J36" s="10">
        <f>IFERROR(INDEX(PlatformFees!$C$2:$C$5,MATCH(C36,PlatformFees!$A$2:$A$5,0)),0)</f>
        <v>0.16</v>
      </c>
      <c r="K36" s="11">
        <f t="shared" si="0"/>
        <v>15000</v>
      </c>
      <c r="L36" s="11">
        <f t="shared" si="1"/>
        <v>8992</v>
      </c>
      <c r="M36" s="11">
        <f t="shared" si="2"/>
        <v>32208</v>
      </c>
      <c r="N36" s="10">
        <f t="shared" si="3"/>
        <v>0.57309608540925272</v>
      </c>
    </row>
    <row r="37" spans="1:14" x14ac:dyDescent="0.3">
      <c r="A37" s="9" t="s">
        <v>86</v>
      </c>
      <c r="B37" s="9" t="s">
        <v>71</v>
      </c>
      <c r="C37" s="9" t="s">
        <v>39</v>
      </c>
      <c r="D37" s="9" t="s">
        <v>27</v>
      </c>
      <c r="E37" s="9">
        <v>1</v>
      </c>
      <c r="F37" s="11">
        <v>37900</v>
      </c>
      <c r="G37" s="9" t="str">
        <f>INDEX(Products!$B$2:$B$9,MATCH(D37,Products!$A$2:$A$9,0))</f>
        <v>Trà gừng mật ong</v>
      </c>
      <c r="H37" s="9" t="str">
        <f>INDEX(Products!$C$2:$C$9,MATCH(D37,Products!$A$2:$A$9,0))</f>
        <v>Giữ ấm</v>
      </c>
      <c r="I37" s="11">
        <f>INDEX(Products!$D$2:$D$9,MATCH(D37,Products!$A$2:$A$9,0))</f>
        <v>11000</v>
      </c>
      <c r="J37" s="10">
        <f>IFERROR(INDEX(PlatformFees!$C$2:$C$5,MATCH(C37,PlatformFees!$A$2:$A$5,0)),0)</f>
        <v>0</v>
      </c>
      <c r="K37" s="11">
        <f t="shared" si="0"/>
        <v>11000</v>
      </c>
      <c r="L37" s="11">
        <f t="shared" si="1"/>
        <v>0</v>
      </c>
      <c r="M37" s="11">
        <f t="shared" si="2"/>
        <v>26900</v>
      </c>
      <c r="N37" s="10">
        <f t="shared" si="3"/>
        <v>0.70976253298153036</v>
      </c>
    </row>
    <row r="38" spans="1:14" x14ac:dyDescent="0.3">
      <c r="A38" s="9" t="s">
        <v>87</v>
      </c>
      <c r="B38" s="9" t="s">
        <v>71</v>
      </c>
      <c r="C38" s="9" t="s">
        <v>36</v>
      </c>
      <c r="D38" s="9" t="s">
        <v>20</v>
      </c>
      <c r="E38" s="9">
        <v>1</v>
      </c>
      <c r="F38" s="11">
        <v>51100</v>
      </c>
      <c r="G38" s="9" t="str">
        <f>INDEX(Products!$B$2:$B$9,MATCH(D38,Products!$A$2:$A$9,0))</f>
        <v>Trà cà leo gai giảm cân</v>
      </c>
      <c r="H38" s="9" t="str">
        <f>INDEX(Products!$C$2:$C$9,MATCH(D38,Products!$A$2:$A$9,0))</f>
        <v>Detox</v>
      </c>
      <c r="I38" s="11">
        <f>INDEX(Products!$D$2:$D$9,MATCH(D38,Products!$A$2:$A$9,0))</f>
        <v>15000</v>
      </c>
      <c r="J38" s="10">
        <f>IFERROR(INDEX(PlatformFees!$C$2:$C$5,MATCH(C38,PlatformFees!$A$2:$A$5,0)),0)</f>
        <v>0.13</v>
      </c>
      <c r="K38" s="11">
        <f t="shared" si="0"/>
        <v>15000</v>
      </c>
      <c r="L38" s="11">
        <f t="shared" si="1"/>
        <v>6643</v>
      </c>
      <c r="M38" s="11">
        <f t="shared" si="2"/>
        <v>29457</v>
      </c>
      <c r="N38" s="10">
        <f t="shared" si="3"/>
        <v>0.57645792563600784</v>
      </c>
    </row>
    <row r="39" spans="1:14" x14ac:dyDescent="0.3">
      <c r="A39" s="9" t="s">
        <v>88</v>
      </c>
      <c r="B39" s="9" t="s">
        <v>71</v>
      </c>
      <c r="C39" s="9" t="s">
        <v>38</v>
      </c>
      <c r="D39" s="9" t="s">
        <v>12</v>
      </c>
      <c r="E39" s="9">
        <v>2</v>
      </c>
      <c r="F39" s="11">
        <v>70300</v>
      </c>
      <c r="G39" s="9" t="str">
        <f>INDEX(Products!$B$2:$B$9,MATCH(D39,Products!$A$2:$A$9,0))</f>
        <v>Trà atiso thanh lọc</v>
      </c>
      <c r="H39" s="9" t="str">
        <f>INDEX(Products!$C$2:$C$9,MATCH(D39,Products!$A$2:$A$9,0))</f>
        <v>Thanh lọc</v>
      </c>
      <c r="I39" s="11">
        <f>INDEX(Products!$D$2:$D$9,MATCH(D39,Products!$A$2:$A$9,0))</f>
        <v>9000</v>
      </c>
      <c r="J39" s="10">
        <f>IFERROR(INDEX(PlatformFees!$C$2:$C$5,MATCH(C39,PlatformFees!$A$2:$A$5,0)),0)</f>
        <v>0.16</v>
      </c>
      <c r="K39" s="11">
        <f t="shared" si="0"/>
        <v>18000</v>
      </c>
      <c r="L39" s="11">
        <f t="shared" si="1"/>
        <v>11248</v>
      </c>
      <c r="M39" s="11">
        <f t="shared" si="2"/>
        <v>41052</v>
      </c>
      <c r="N39" s="10">
        <f t="shared" si="3"/>
        <v>0.58395448079658607</v>
      </c>
    </row>
    <row r="40" spans="1:14" x14ac:dyDescent="0.3">
      <c r="A40" s="9" t="s">
        <v>89</v>
      </c>
      <c r="B40" s="9" t="s">
        <v>71</v>
      </c>
      <c r="C40" s="9" t="s">
        <v>36</v>
      </c>
      <c r="D40" s="9" t="s">
        <v>20</v>
      </c>
      <c r="E40" s="9">
        <v>2</v>
      </c>
      <c r="F40" s="11">
        <v>103200</v>
      </c>
      <c r="G40" s="9" t="str">
        <f>INDEX(Products!$B$2:$B$9,MATCH(D40,Products!$A$2:$A$9,0))</f>
        <v>Trà cà leo gai giảm cân</v>
      </c>
      <c r="H40" s="9" t="str">
        <f>INDEX(Products!$C$2:$C$9,MATCH(D40,Products!$A$2:$A$9,0))</f>
        <v>Detox</v>
      </c>
      <c r="I40" s="11">
        <f>INDEX(Products!$D$2:$D$9,MATCH(D40,Products!$A$2:$A$9,0))</f>
        <v>15000</v>
      </c>
      <c r="J40" s="10">
        <f>IFERROR(INDEX(PlatformFees!$C$2:$C$5,MATCH(C40,PlatformFees!$A$2:$A$5,0)),0)</f>
        <v>0.13</v>
      </c>
      <c r="K40" s="11">
        <f t="shared" si="0"/>
        <v>30000</v>
      </c>
      <c r="L40" s="11">
        <f t="shared" si="1"/>
        <v>13416</v>
      </c>
      <c r="M40" s="11">
        <f t="shared" si="2"/>
        <v>59784</v>
      </c>
      <c r="N40" s="10">
        <f t="shared" si="3"/>
        <v>0.57930232558139538</v>
      </c>
    </row>
    <row r="41" spans="1:14" x14ac:dyDescent="0.3">
      <c r="A41" s="9" t="s">
        <v>90</v>
      </c>
      <c r="B41" s="9" t="s">
        <v>71</v>
      </c>
      <c r="C41" s="9" t="s">
        <v>38</v>
      </c>
      <c r="D41" s="9" t="s">
        <v>22</v>
      </c>
      <c r="E41" s="9">
        <v>1</v>
      </c>
      <c r="F41" s="11">
        <v>38800</v>
      </c>
      <c r="G41" s="9" t="str">
        <f>INDEX(Products!$B$2:$B$9,MATCH(D41,Products!$A$2:$A$9,0))</f>
        <v>Trà hoa cúc an thần</v>
      </c>
      <c r="H41" s="9" t="str">
        <f>INDEX(Products!$C$2:$C$9,MATCH(D41,Products!$A$2:$A$9,0))</f>
        <v>An thần</v>
      </c>
      <c r="I41" s="11">
        <f>INDEX(Products!$D$2:$D$9,MATCH(D41,Products!$A$2:$A$9,0))</f>
        <v>9500</v>
      </c>
      <c r="J41" s="10">
        <f>IFERROR(INDEX(PlatformFees!$C$2:$C$5,MATCH(C41,PlatformFees!$A$2:$A$5,0)),0)</f>
        <v>0.16</v>
      </c>
      <c r="K41" s="11">
        <f t="shared" si="0"/>
        <v>9500</v>
      </c>
      <c r="L41" s="11">
        <f t="shared" si="1"/>
        <v>6208</v>
      </c>
      <c r="M41" s="11">
        <f t="shared" si="2"/>
        <v>23092</v>
      </c>
      <c r="N41" s="10">
        <f t="shared" si="3"/>
        <v>0.59515463917525768</v>
      </c>
    </row>
    <row r="42" spans="1:14" x14ac:dyDescent="0.3">
      <c r="A42" s="9" t="s">
        <v>91</v>
      </c>
      <c r="B42" s="9" t="s">
        <v>92</v>
      </c>
      <c r="C42" s="9" t="s">
        <v>39</v>
      </c>
      <c r="D42" s="9" t="s">
        <v>15</v>
      </c>
      <c r="E42" s="9">
        <v>1</v>
      </c>
      <c r="F42" s="11">
        <v>30800</v>
      </c>
      <c r="G42" s="9" t="str">
        <f>INDEX(Products!$B$2:$B$9,MATCH(D42,Products!$A$2:$A$9,0))</f>
        <v>Trà lá nam sen ổi</v>
      </c>
      <c r="H42" s="9" t="str">
        <f>INDEX(Products!$C$2:$C$9,MATCH(D42,Products!$A$2:$A$9,0))</f>
        <v>Thanh lọc</v>
      </c>
      <c r="I42" s="11">
        <f>INDEX(Products!$D$2:$D$9,MATCH(D42,Products!$A$2:$A$9,0))</f>
        <v>8500</v>
      </c>
      <c r="J42" s="10">
        <f>IFERROR(INDEX(PlatformFees!$C$2:$C$5,MATCH(C42,PlatformFees!$A$2:$A$5,0)),0)</f>
        <v>0</v>
      </c>
      <c r="K42" s="11">
        <f t="shared" si="0"/>
        <v>8500</v>
      </c>
      <c r="L42" s="11">
        <f t="shared" si="1"/>
        <v>0</v>
      </c>
      <c r="M42" s="11">
        <f t="shared" si="2"/>
        <v>22300</v>
      </c>
      <c r="N42" s="10">
        <f t="shared" si="3"/>
        <v>0.72402597402597402</v>
      </c>
    </row>
    <row r="43" spans="1:14" x14ac:dyDescent="0.3">
      <c r="A43" s="9" t="s">
        <v>93</v>
      </c>
      <c r="B43" s="9" t="s">
        <v>92</v>
      </c>
      <c r="C43" s="9" t="s">
        <v>38</v>
      </c>
      <c r="D43" s="9" t="s">
        <v>17</v>
      </c>
      <c r="E43" s="9">
        <v>2</v>
      </c>
      <c r="F43" s="11">
        <v>81500</v>
      </c>
      <c r="G43" s="9" t="str">
        <f>INDEX(Products!$B$2:$B$9,MATCH(D43,Products!$A$2:$A$9,0))</f>
        <v>Trà diếp cá rau má</v>
      </c>
      <c r="H43" s="9" t="str">
        <f>INDEX(Products!$C$2:$C$9,MATCH(D43,Products!$A$2:$A$9,0))</f>
        <v>Detox</v>
      </c>
      <c r="I43" s="11">
        <f>INDEX(Products!$D$2:$D$9,MATCH(D43,Products!$A$2:$A$9,0))</f>
        <v>10500</v>
      </c>
      <c r="J43" s="10">
        <f>IFERROR(INDEX(PlatformFees!$C$2:$C$5,MATCH(C43,PlatformFees!$A$2:$A$5,0)),0)</f>
        <v>0.16</v>
      </c>
      <c r="K43" s="11">
        <f t="shared" si="0"/>
        <v>21000</v>
      </c>
      <c r="L43" s="11">
        <f t="shared" si="1"/>
        <v>13040</v>
      </c>
      <c r="M43" s="11">
        <f t="shared" si="2"/>
        <v>47460</v>
      </c>
      <c r="N43" s="10">
        <f t="shared" si="3"/>
        <v>0.5823312883435583</v>
      </c>
    </row>
    <row r="44" spans="1:14" x14ac:dyDescent="0.3">
      <c r="A44" s="9" t="s">
        <v>94</v>
      </c>
      <c r="B44" s="9" t="s">
        <v>92</v>
      </c>
      <c r="C44" s="9" t="s">
        <v>36</v>
      </c>
      <c r="D44" s="9" t="s">
        <v>12</v>
      </c>
      <c r="E44" s="9">
        <v>1</v>
      </c>
      <c r="F44" s="11">
        <v>34500</v>
      </c>
      <c r="G44" s="9" t="str">
        <f>INDEX(Products!$B$2:$B$9,MATCH(D44,Products!$A$2:$A$9,0))</f>
        <v>Trà atiso thanh lọc</v>
      </c>
      <c r="H44" s="9" t="str">
        <f>INDEX(Products!$C$2:$C$9,MATCH(D44,Products!$A$2:$A$9,0))</f>
        <v>Thanh lọc</v>
      </c>
      <c r="I44" s="11">
        <f>INDEX(Products!$D$2:$D$9,MATCH(D44,Products!$A$2:$A$9,0))</f>
        <v>9000</v>
      </c>
      <c r="J44" s="10">
        <f>IFERROR(INDEX(PlatformFees!$C$2:$C$5,MATCH(C44,PlatformFees!$A$2:$A$5,0)),0)</f>
        <v>0.13</v>
      </c>
      <c r="K44" s="11">
        <f t="shared" si="0"/>
        <v>9000</v>
      </c>
      <c r="L44" s="11">
        <f t="shared" si="1"/>
        <v>4485</v>
      </c>
      <c r="M44" s="11">
        <f t="shared" si="2"/>
        <v>21015</v>
      </c>
      <c r="N44" s="10">
        <f t="shared" si="3"/>
        <v>0.60913043478260864</v>
      </c>
    </row>
    <row r="45" spans="1:14" x14ac:dyDescent="0.3">
      <c r="A45" s="9" t="s">
        <v>95</v>
      </c>
      <c r="B45" s="9" t="s">
        <v>92</v>
      </c>
      <c r="C45" s="9" t="s">
        <v>36</v>
      </c>
      <c r="D45" s="9" t="s">
        <v>17</v>
      </c>
      <c r="E45" s="9">
        <v>1</v>
      </c>
      <c r="F45" s="11">
        <v>41900</v>
      </c>
      <c r="G45" s="9" t="str">
        <f>INDEX(Products!$B$2:$B$9,MATCH(D45,Products!$A$2:$A$9,0))</f>
        <v>Trà diếp cá rau má</v>
      </c>
      <c r="H45" s="9" t="str">
        <f>INDEX(Products!$C$2:$C$9,MATCH(D45,Products!$A$2:$A$9,0))</f>
        <v>Detox</v>
      </c>
      <c r="I45" s="11">
        <f>INDEX(Products!$D$2:$D$9,MATCH(D45,Products!$A$2:$A$9,0))</f>
        <v>10500</v>
      </c>
      <c r="J45" s="10">
        <f>IFERROR(INDEX(PlatformFees!$C$2:$C$5,MATCH(C45,PlatformFees!$A$2:$A$5,0)),0)</f>
        <v>0.13</v>
      </c>
      <c r="K45" s="11">
        <f t="shared" si="0"/>
        <v>10500</v>
      </c>
      <c r="L45" s="11">
        <f t="shared" si="1"/>
        <v>5447</v>
      </c>
      <c r="M45" s="11">
        <f t="shared" si="2"/>
        <v>25953</v>
      </c>
      <c r="N45" s="10">
        <f t="shared" si="3"/>
        <v>0.61940334128878283</v>
      </c>
    </row>
    <row r="46" spans="1:14" x14ac:dyDescent="0.3">
      <c r="A46" s="9" t="s">
        <v>96</v>
      </c>
      <c r="B46" s="9" t="s">
        <v>92</v>
      </c>
      <c r="C46" s="9" t="s">
        <v>36</v>
      </c>
      <c r="D46" s="9" t="s">
        <v>12</v>
      </c>
      <c r="E46" s="9">
        <v>1</v>
      </c>
      <c r="F46" s="11">
        <v>35500</v>
      </c>
      <c r="G46" s="9" t="str">
        <f>INDEX(Products!$B$2:$B$9,MATCH(D46,Products!$A$2:$A$9,0))</f>
        <v>Trà atiso thanh lọc</v>
      </c>
      <c r="H46" s="9" t="str">
        <f>INDEX(Products!$C$2:$C$9,MATCH(D46,Products!$A$2:$A$9,0))</f>
        <v>Thanh lọc</v>
      </c>
      <c r="I46" s="11">
        <f>INDEX(Products!$D$2:$D$9,MATCH(D46,Products!$A$2:$A$9,0))</f>
        <v>9000</v>
      </c>
      <c r="J46" s="10">
        <f>IFERROR(INDEX(PlatformFees!$C$2:$C$5,MATCH(C46,PlatformFees!$A$2:$A$5,0)),0)</f>
        <v>0.13</v>
      </c>
      <c r="K46" s="11">
        <f t="shared" si="0"/>
        <v>9000</v>
      </c>
      <c r="L46" s="11">
        <f t="shared" si="1"/>
        <v>4615</v>
      </c>
      <c r="M46" s="11">
        <f t="shared" si="2"/>
        <v>21885</v>
      </c>
      <c r="N46" s="10">
        <f t="shared" si="3"/>
        <v>0.61647887323943662</v>
      </c>
    </row>
    <row r="47" spans="1:14" x14ac:dyDescent="0.3">
      <c r="A47" s="9" t="s">
        <v>97</v>
      </c>
      <c r="B47" s="9" t="s">
        <v>92</v>
      </c>
      <c r="C47" s="9" t="s">
        <v>36</v>
      </c>
      <c r="D47" s="9" t="s">
        <v>17</v>
      </c>
      <c r="E47" s="9">
        <v>3</v>
      </c>
      <c r="F47" s="11">
        <v>122600</v>
      </c>
      <c r="G47" s="9" t="str">
        <f>INDEX(Products!$B$2:$B$9,MATCH(D47,Products!$A$2:$A$9,0))</f>
        <v>Trà diếp cá rau má</v>
      </c>
      <c r="H47" s="9" t="str">
        <f>INDEX(Products!$C$2:$C$9,MATCH(D47,Products!$A$2:$A$9,0))</f>
        <v>Detox</v>
      </c>
      <c r="I47" s="11">
        <f>INDEX(Products!$D$2:$D$9,MATCH(D47,Products!$A$2:$A$9,0))</f>
        <v>10500</v>
      </c>
      <c r="J47" s="10">
        <f>IFERROR(INDEX(PlatformFees!$C$2:$C$5,MATCH(C47,PlatformFees!$A$2:$A$5,0)),0)</f>
        <v>0.13</v>
      </c>
      <c r="K47" s="11">
        <f t="shared" si="0"/>
        <v>31500</v>
      </c>
      <c r="L47" s="11">
        <f t="shared" si="1"/>
        <v>15938</v>
      </c>
      <c r="M47" s="11">
        <f t="shared" si="2"/>
        <v>75162</v>
      </c>
      <c r="N47" s="10">
        <f t="shared" si="3"/>
        <v>0.61306688417618271</v>
      </c>
    </row>
    <row r="48" spans="1:14" x14ac:dyDescent="0.3">
      <c r="A48" s="9" t="s">
        <v>98</v>
      </c>
      <c r="B48" s="9" t="s">
        <v>92</v>
      </c>
      <c r="C48" s="9" t="s">
        <v>38</v>
      </c>
      <c r="D48" s="9" t="s">
        <v>25</v>
      </c>
      <c r="E48" s="9">
        <v>2</v>
      </c>
      <c r="F48" s="11">
        <v>66900</v>
      </c>
      <c r="G48" s="9" t="str">
        <f>INDEX(Products!$B$2:$B$9,MATCH(D48,Products!$A$2:$A$9,0))</f>
        <v>Trà hoa đậu biếc</v>
      </c>
      <c r="H48" s="9" t="str">
        <f>INDEX(Products!$C$2:$C$9,MATCH(D48,Products!$A$2:$A$9,0))</f>
        <v>An thần</v>
      </c>
      <c r="I48" s="11">
        <f>INDEX(Products!$D$2:$D$9,MATCH(D48,Products!$A$2:$A$9,0))</f>
        <v>8800</v>
      </c>
      <c r="J48" s="10">
        <f>IFERROR(INDEX(PlatformFees!$C$2:$C$5,MATCH(C48,PlatformFees!$A$2:$A$5,0)),0)</f>
        <v>0.16</v>
      </c>
      <c r="K48" s="11">
        <f t="shared" si="0"/>
        <v>17600</v>
      </c>
      <c r="L48" s="11">
        <f t="shared" si="1"/>
        <v>10704</v>
      </c>
      <c r="M48" s="11">
        <f t="shared" si="2"/>
        <v>38596</v>
      </c>
      <c r="N48" s="10">
        <f t="shared" si="3"/>
        <v>0.57692077727952162</v>
      </c>
    </row>
    <row r="49" spans="1:14" x14ac:dyDescent="0.3">
      <c r="A49" s="9" t="s">
        <v>99</v>
      </c>
      <c r="B49" s="9" t="s">
        <v>92</v>
      </c>
      <c r="C49" s="9" t="s">
        <v>36</v>
      </c>
      <c r="D49" s="9" t="s">
        <v>20</v>
      </c>
      <c r="E49" s="9">
        <v>2</v>
      </c>
      <c r="F49" s="11">
        <v>103500</v>
      </c>
      <c r="G49" s="9" t="str">
        <f>INDEX(Products!$B$2:$B$9,MATCH(D49,Products!$A$2:$A$9,0))</f>
        <v>Trà cà leo gai giảm cân</v>
      </c>
      <c r="H49" s="9" t="str">
        <f>INDEX(Products!$C$2:$C$9,MATCH(D49,Products!$A$2:$A$9,0))</f>
        <v>Detox</v>
      </c>
      <c r="I49" s="11">
        <f>INDEX(Products!$D$2:$D$9,MATCH(D49,Products!$A$2:$A$9,0))</f>
        <v>15000</v>
      </c>
      <c r="J49" s="10">
        <f>IFERROR(INDEX(PlatformFees!$C$2:$C$5,MATCH(C49,PlatformFees!$A$2:$A$5,0)),0)</f>
        <v>0.13</v>
      </c>
      <c r="K49" s="11">
        <f t="shared" si="0"/>
        <v>30000</v>
      </c>
      <c r="L49" s="11">
        <f t="shared" si="1"/>
        <v>13455</v>
      </c>
      <c r="M49" s="11">
        <f t="shared" si="2"/>
        <v>60045</v>
      </c>
      <c r="N49" s="10">
        <f t="shared" si="3"/>
        <v>0.58014492753623192</v>
      </c>
    </row>
    <row r="50" spans="1:14" x14ac:dyDescent="0.3">
      <c r="A50" s="9" t="s">
        <v>100</v>
      </c>
      <c r="B50" s="9" t="s">
        <v>92</v>
      </c>
      <c r="C50" s="9" t="s">
        <v>36</v>
      </c>
      <c r="D50" s="9" t="s">
        <v>20</v>
      </c>
      <c r="E50" s="9">
        <v>2</v>
      </c>
      <c r="F50" s="11">
        <v>106200</v>
      </c>
      <c r="G50" s="9" t="str">
        <f>INDEX(Products!$B$2:$B$9,MATCH(D50,Products!$A$2:$A$9,0))</f>
        <v>Trà cà leo gai giảm cân</v>
      </c>
      <c r="H50" s="9" t="str">
        <f>INDEX(Products!$C$2:$C$9,MATCH(D50,Products!$A$2:$A$9,0))</f>
        <v>Detox</v>
      </c>
      <c r="I50" s="11">
        <f>INDEX(Products!$D$2:$D$9,MATCH(D50,Products!$A$2:$A$9,0))</f>
        <v>15000</v>
      </c>
      <c r="J50" s="10">
        <f>IFERROR(INDEX(PlatformFees!$C$2:$C$5,MATCH(C50,PlatformFees!$A$2:$A$5,0)),0)</f>
        <v>0.13</v>
      </c>
      <c r="K50" s="11">
        <f t="shared" si="0"/>
        <v>30000</v>
      </c>
      <c r="L50" s="11">
        <f t="shared" si="1"/>
        <v>13806</v>
      </c>
      <c r="M50" s="11">
        <f t="shared" si="2"/>
        <v>62394</v>
      </c>
      <c r="N50" s="10">
        <f t="shared" si="3"/>
        <v>0.58751412429378536</v>
      </c>
    </row>
    <row r="51" spans="1:14" x14ac:dyDescent="0.3">
      <c r="A51" s="9" t="s">
        <v>101</v>
      </c>
      <c r="B51" s="9" t="s">
        <v>92</v>
      </c>
      <c r="C51" s="9" t="s">
        <v>39</v>
      </c>
      <c r="D51" s="9" t="s">
        <v>12</v>
      </c>
      <c r="E51" s="9">
        <v>3</v>
      </c>
      <c r="F51" s="11">
        <v>108000</v>
      </c>
      <c r="G51" s="9" t="str">
        <f>INDEX(Products!$B$2:$B$9,MATCH(D51,Products!$A$2:$A$9,0))</f>
        <v>Trà atiso thanh lọc</v>
      </c>
      <c r="H51" s="9" t="str">
        <f>INDEX(Products!$C$2:$C$9,MATCH(D51,Products!$A$2:$A$9,0))</f>
        <v>Thanh lọc</v>
      </c>
      <c r="I51" s="11">
        <f>INDEX(Products!$D$2:$D$9,MATCH(D51,Products!$A$2:$A$9,0))</f>
        <v>9000</v>
      </c>
      <c r="J51" s="10">
        <f>IFERROR(INDEX(PlatformFees!$C$2:$C$5,MATCH(C51,PlatformFees!$A$2:$A$5,0)),0)</f>
        <v>0</v>
      </c>
      <c r="K51" s="11">
        <f t="shared" si="0"/>
        <v>27000</v>
      </c>
      <c r="L51" s="11">
        <f t="shared" si="1"/>
        <v>0</v>
      </c>
      <c r="M51" s="11">
        <f t="shared" si="2"/>
        <v>81000</v>
      </c>
      <c r="N51" s="10">
        <f t="shared" si="3"/>
        <v>0.75</v>
      </c>
    </row>
    <row r="52" spans="1:14" x14ac:dyDescent="0.3">
      <c r="A52" s="9" t="s">
        <v>102</v>
      </c>
      <c r="B52" s="9" t="s">
        <v>92</v>
      </c>
      <c r="C52" s="9" t="s">
        <v>36</v>
      </c>
      <c r="D52" s="9" t="s">
        <v>20</v>
      </c>
      <c r="E52" s="9">
        <v>1</v>
      </c>
      <c r="F52" s="11">
        <v>55400</v>
      </c>
      <c r="G52" s="9" t="str">
        <f>INDEX(Products!$B$2:$B$9,MATCH(D52,Products!$A$2:$A$9,0))</f>
        <v>Trà cà leo gai giảm cân</v>
      </c>
      <c r="H52" s="9" t="str">
        <f>INDEX(Products!$C$2:$C$9,MATCH(D52,Products!$A$2:$A$9,0))</f>
        <v>Detox</v>
      </c>
      <c r="I52" s="11">
        <f>INDEX(Products!$D$2:$D$9,MATCH(D52,Products!$A$2:$A$9,0))</f>
        <v>15000</v>
      </c>
      <c r="J52" s="10">
        <f>IFERROR(INDEX(PlatformFees!$C$2:$C$5,MATCH(C52,PlatformFees!$A$2:$A$5,0)),0)</f>
        <v>0.13</v>
      </c>
      <c r="K52" s="11">
        <f t="shared" si="0"/>
        <v>15000</v>
      </c>
      <c r="L52" s="11">
        <f t="shared" si="1"/>
        <v>7202</v>
      </c>
      <c r="M52" s="11">
        <f t="shared" si="2"/>
        <v>33198</v>
      </c>
      <c r="N52" s="10">
        <f t="shared" si="3"/>
        <v>0.59924187725631772</v>
      </c>
    </row>
    <row r="53" spans="1:14" x14ac:dyDescent="0.3">
      <c r="A53" s="9" t="s">
        <v>103</v>
      </c>
      <c r="B53" s="9" t="s">
        <v>92</v>
      </c>
      <c r="C53" s="9" t="s">
        <v>36</v>
      </c>
      <c r="D53" s="9" t="s">
        <v>15</v>
      </c>
      <c r="E53" s="9">
        <v>2</v>
      </c>
      <c r="F53" s="11">
        <v>62000</v>
      </c>
      <c r="G53" s="9" t="str">
        <f>INDEX(Products!$B$2:$B$9,MATCH(D53,Products!$A$2:$A$9,0))</f>
        <v>Trà lá nam sen ổi</v>
      </c>
      <c r="H53" s="9" t="str">
        <f>INDEX(Products!$C$2:$C$9,MATCH(D53,Products!$A$2:$A$9,0))</f>
        <v>Thanh lọc</v>
      </c>
      <c r="I53" s="11">
        <f>INDEX(Products!$D$2:$D$9,MATCH(D53,Products!$A$2:$A$9,0))</f>
        <v>8500</v>
      </c>
      <c r="J53" s="10">
        <f>IFERROR(INDEX(PlatformFees!$C$2:$C$5,MATCH(C53,PlatformFees!$A$2:$A$5,0)),0)</f>
        <v>0.13</v>
      </c>
      <c r="K53" s="11">
        <f t="shared" si="0"/>
        <v>17000</v>
      </c>
      <c r="L53" s="11">
        <f t="shared" si="1"/>
        <v>8060</v>
      </c>
      <c r="M53" s="11">
        <f t="shared" si="2"/>
        <v>36940</v>
      </c>
      <c r="N53" s="10">
        <f t="shared" si="3"/>
        <v>0.59580645161290324</v>
      </c>
    </row>
    <row r="54" spans="1:14" x14ac:dyDescent="0.3">
      <c r="A54" s="9" t="s">
        <v>104</v>
      </c>
      <c r="B54" s="9" t="s">
        <v>92</v>
      </c>
      <c r="C54" s="9" t="s">
        <v>36</v>
      </c>
      <c r="D54" s="9" t="s">
        <v>17</v>
      </c>
      <c r="E54" s="9">
        <v>1</v>
      </c>
      <c r="F54" s="11">
        <v>42700</v>
      </c>
      <c r="G54" s="9" t="str">
        <f>INDEX(Products!$B$2:$B$9,MATCH(D54,Products!$A$2:$A$9,0))</f>
        <v>Trà diếp cá rau má</v>
      </c>
      <c r="H54" s="9" t="str">
        <f>INDEX(Products!$C$2:$C$9,MATCH(D54,Products!$A$2:$A$9,0))</f>
        <v>Detox</v>
      </c>
      <c r="I54" s="11">
        <f>INDEX(Products!$D$2:$D$9,MATCH(D54,Products!$A$2:$A$9,0))</f>
        <v>10500</v>
      </c>
      <c r="J54" s="10">
        <f>IFERROR(INDEX(PlatformFees!$C$2:$C$5,MATCH(C54,PlatformFees!$A$2:$A$5,0)),0)</f>
        <v>0.13</v>
      </c>
      <c r="K54" s="11">
        <f t="shared" si="0"/>
        <v>10500</v>
      </c>
      <c r="L54" s="11">
        <f t="shared" si="1"/>
        <v>5551</v>
      </c>
      <c r="M54" s="11">
        <f t="shared" si="2"/>
        <v>26649</v>
      </c>
      <c r="N54" s="10">
        <f t="shared" si="3"/>
        <v>0.62409836065573765</v>
      </c>
    </row>
    <row r="55" spans="1:14" x14ac:dyDescent="0.3">
      <c r="A55" s="9" t="s">
        <v>105</v>
      </c>
      <c r="B55" s="9" t="s">
        <v>92</v>
      </c>
      <c r="C55" s="9" t="s">
        <v>36</v>
      </c>
      <c r="D55" s="9" t="s">
        <v>27</v>
      </c>
      <c r="E55" s="9">
        <v>2</v>
      </c>
      <c r="F55" s="11">
        <v>74500</v>
      </c>
      <c r="G55" s="9" t="str">
        <f>INDEX(Products!$B$2:$B$9,MATCH(D55,Products!$A$2:$A$9,0))</f>
        <v>Trà gừng mật ong</v>
      </c>
      <c r="H55" s="9" t="str">
        <f>INDEX(Products!$C$2:$C$9,MATCH(D55,Products!$A$2:$A$9,0))</f>
        <v>Giữ ấm</v>
      </c>
      <c r="I55" s="11">
        <f>INDEX(Products!$D$2:$D$9,MATCH(D55,Products!$A$2:$A$9,0))</f>
        <v>11000</v>
      </c>
      <c r="J55" s="10">
        <f>IFERROR(INDEX(PlatformFees!$C$2:$C$5,MATCH(C55,PlatformFees!$A$2:$A$5,0)),0)</f>
        <v>0.13</v>
      </c>
      <c r="K55" s="11">
        <f t="shared" si="0"/>
        <v>22000</v>
      </c>
      <c r="L55" s="11">
        <f t="shared" si="1"/>
        <v>9685</v>
      </c>
      <c r="M55" s="11">
        <f t="shared" si="2"/>
        <v>42815</v>
      </c>
      <c r="N55" s="10">
        <f t="shared" si="3"/>
        <v>0.57469798657718119</v>
      </c>
    </row>
    <row r="56" spans="1:14" x14ac:dyDescent="0.3">
      <c r="A56" s="9" t="s">
        <v>106</v>
      </c>
      <c r="B56" s="9" t="s">
        <v>92</v>
      </c>
      <c r="C56" s="9" t="s">
        <v>38</v>
      </c>
      <c r="D56" s="9" t="s">
        <v>20</v>
      </c>
      <c r="E56" s="9">
        <v>1</v>
      </c>
      <c r="F56" s="11">
        <v>56500</v>
      </c>
      <c r="G56" s="9" t="str">
        <f>INDEX(Products!$B$2:$B$9,MATCH(D56,Products!$A$2:$A$9,0))</f>
        <v>Trà cà leo gai giảm cân</v>
      </c>
      <c r="H56" s="9" t="str">
        <f>INDEX(Products!$C$2:$C$9,MATCH(D56,Products!$A$2:$A$9,0))</f>
        <v>Detox</v>
      </c>
      <c r="I56" s="11">
        <f>INDEX(Products!$D$2:$D$9,MATCH(D56,Products!$A$2:$A$9,0))</f>
        <v>15000</v>
      </c>
      <c r="J56" s="10">
        <f>IFERROR(INDEX(PlatformFees!$C$2:$C$5,MATCH(C56,PlatformFees!$A$2:$A$5,0)),0)</f>
        <v>0.16</v>
      </c>
      <c r="K56" s="11">
        <f t="shared" si="0"/>
        <v>15000</v>
      </c>
      <c r="L56" s="11">
        <f t="shared" si="1"/>
        <v>9040</v>
      </c>
      <c r="M56" s="11">
        <f t="shared" si="2"/>
        <v>32460</v>
      </c>
      <c r="N56" s="10">
        <f t="shared" si="3"/>
        <v>0.57451327433628319</v>
      </c>
    </row>
    <row r="57" spans="1:14" x14ac:dyDescent="0.3">
      <c r="A57" s="9" t="s">
        <v>107</v>
      </c>
      <c r="B57" s="9" t="s">
        <v>92</v>
      </c>
      <c r="C57" s="9" t="s">
        <v>40</v>
      </c>
      <c r="D57" s="9" t="s">
        <v>27</v>
      </c>
      <c r="E57" s="9">
        <v>1</v>
      </c>
      <c r="F57" s="11">
        <v>38600</v>
      </c>
      <c r="G57" s="9" t="str">
        <f>INDEX(Products!$B$2:$B$9,MATCH(D57,Products!$A$2:$A$9,0))</f>
        <v>Trà gừng mật ong</v>
      </c>
      <c r="H57" s="9" t="str">
        <f>INDEX(Products!$C$2:$C$9,MATCH(D57,Products!$A$2:$A$9,0))</f>
        <v>Giữ ấm</v>
      </c>
      <c r="I57" s="11">
        <f>INDEX(Products!$D$2:$D$9,MATCH(D57,Products!$A$2:$A$9,0))</f>
        <v>11000</v>
      </c>
      <c r="J57" s="10">
        <f>IFERROR(INDEX(PlatformFees!$C$2:$C$5,MATCH(C57,PlatformFees!$A$2:$A$5,0)),0)</f>
        <v>0</v>
      </c>
      <c r="K57" s="11">
        <f t="shared" si="0"/>
        <v>11000</v>
      </c>
      <c r="L57" s="11">
        <f t="shared" si="1"/>
        <v>0</v>
      </c>
      <c r="M57" s="11">
        <f t="shared" si="2"/>
        <v>27600</v>
      </c>
      <c r="N57" s="10">
        <f t="shared" si="3"/>
        <v>0.71502590673575128</v>
      </c>
    </row>
    <row r="58" spans="1:14" x14ac:dyDescent="0.3">
      <c r="A58" s="9" t="s">
        <v>108</v>
      </c>
      <c r="B58" s="9" t="s">
        <v>92</v>
      </c>
      <c r="C58" s="9" t="s">
        <v>38</v>
      </c>
      <c r="D58" s="9" t="s">
        <v>27</v>
      </c>
      <c r="E58" s="9">
        <v>1</v>
      </c>
      <c r="F58" s="11">
        <v>37500</v>
      </c>
      <c r="G58" s="9" t="str">
        <f>INDEX(Products!$B$2:$B$9,MATCH(D58,Products!$A$2:$A$9,0))</f>
        <v>Trà gừng mật ong</v>
      </c>
      <c r="H58" s="9" t="str">
        <f>INDEX(Products!$C$2:$C$9,MATCH(D58,Products!$A$2:$A$9,0))</f>
        <v>Giữ ấm</v>
      </c>
      <c r="I58" s="11">
        <f>INDEX(Products!$D$2:$D$9,MATCH(D58,Products!$A$2:$A$9,0))</f>
        <v>11000</v>
      </c>
      <c r="J58" s="10">
        <f>IFERROR(INDEX(PlatformFees!$C$2:$C$5,MATCH(C58,PlatformFees!$A$2:$A$5,0)),0)</f>
        <v>0.16</v>
      </c>
      <c r="K58" s="11">
        <f t="shared" si="0"/>
        <v>11000</v>
      </c>
      <c r="L58" s="11">
        <f t="shared" si="1"/>
        <v>6000</v>
      </c>
      <c r="M58" s="11">
        <f t="shared" si="2"/>
        <v>20500</v>
      </c>
      <c r="N58" s="10">
        <f t="shared" si="3"/>
        <v>0.54666666666666663</v>
      </c>
    </row>
    <row r="59" spans="1:14" x14ac:dyDescent="0.3">
      <c r="A59" s="9" t="s">
        <v>109</v>
      </c>
      <c r="B59" s="9" t="s">
        <v>92</v>
      </c>
      <c r="C59" s="9" t="s">
        <v>36</v>
      </c>
      <c r="D59" s="9" t="s">
        <v>17</v>
      </c>
      <c r="E59" s="9">
        <v>2</v>
      </c>
      <c r="F59" s="11">
        <v>79900</v>
      </c>
      <c r="G59" s="9" t="str">
        <f>INDEX(Products!$B$2:$B$9,MATCH(D59,Products!$A$2:$A$9,0))</f>
        <v>Trà diếp cá rau má</v>
      </c>
      <c r="H59" s="9" t="str">
        <f>INDEX(Products!$C$2:$C$9,MATCH(D59,Products!$A$2:$A$9,0))</f>
        <v>Detox</v>
      </c>
      <c r="I59" s="11">
        <f>INDEX(Products!$D$2:$D$9,MATCH(D59,Products!$A$2:$A$9,0))</f>
        <v>10500</v>
      </c>
      <c r="J59" s="10">
        <f>IFERROR(INDEX(PlatformFees!$C$2:$C$5,MATCH(C59,PlatformFees!$A$2:$A$5,0)),0)</f>
        <v>0.13</v>
      </c>
      <c r="K59" s="11">
        <f t="shared" si="0"/>
        <v>21000</v>
      </c>
      <c r="L59" s="11">
        <f t="shared" si="1"/>
        <v>10387</v>
      </c>
      <c r="M59" s="11">
        <f t="shared" si="2"/>
        <v>48513</v>
      </c>
      <c r="N59" s="10">
        <f t="shared" si="3"/>
        <v>0.60717146433041302</v>
      </c>
    </row>
    <row r="60" spans="1:14" x14ac:dyDescent="0.3">
      <c r="A60" s="9" t="s">
        <v>110</v>
      </c>
      <c r="B60" s="9" t="s">
        <v>92</v>
      </c>
      <c r="C60" s="9" t="s">
        <v>38</v>
      </c>
      <c r="D60" s="9" t="s">
        <v>25</v>
      </c>
      <c r="E60" s="9">
        <v>2</v>
      </c>
      <c r="F60" s="11">
        <v>67500</v>
      </c>
      <c r="G60" s="9" t="str">
        <f>INDEX(Products!$B$2:$B$9,MATCH(D60,Products!$A$2:$A$9,0))</f>
        <v>Trà hoa đậu biếc</v>
      </c>
      <c r="H60" s="9" t="str">
        <f>INDEX(Products!$C$2:$C$9,MATCH(D60,Products!$A$2:$A$9,0))</f>
        <v>An thần</v>
      </c>
      <c r="I60" s="11">
        <f>INDEX(Products!$D$2:$D$9,MATCH(D60,Products!$A$2:$A$9,0))</f>
        <v>8800</v>
      </c>
      <c r="J60" s="10">
        <f>IFERROR(INDEX(PlatformFees!$C$2:$C$5,MATCH(C60,PlatformFees!$A$2:$A$5,0)),0)</f>
        <v>0.16</v>
      </c>
      <c r="K60" s="11">
        <f t="shared" si="0"/>
        <v>17600</v>
      </c>
      <c r="L60" s="11">
        <f t="shared" si="1"/>
        <v>10800</v>
      </c>
      <c r="M60" s="11">
        <f t="shared" si="2"/>
        <v>39100</v>
      </c>
      <c r="N60" s="10">
        <f t="shared" si="3"/>
        <v>0.57925925925925925</v>
      </c>
    </row>
    <row r="61" spans="1:14" x14ac:dyDescent="0.3">
      <c r="A61" s="9" t="s">
        <v>111</v>
      </c>
      <c r="B61" s="9" t="s">
        <v>92</v>
      </c>
      <c r="C61" s="9" t="s">
        <v>38</v>
      </c>
      <c r="D61" s="9" t="s">
        <v>15</v>
      </c>
      <c r="E61" s="9">
        <v>1</v>
      </c>
      <c r="F61" s="11">
        <v>32800</v>
      </c>
      <c r="G61" s="9" t="str">
        <f>INDEX(Products!$B$2:$B$9,MATCH(D61,Products!$A$2:$A$9,0))</f>
        <v>Trà lá nam sen ổi</v>
      </c>
      <c r="H61" s="9" t="str">
        <f>INDEX(Products!$C$2:$C$9,MATCH(D61,Products!$A$2:$A$9,0))</f>
        <v>Thanh lọc</v>
      </c>
      <c r="I61" s="11">
        <f>INDEX(Products!$D$2:$D$9,MATCH(D61,Products!$A$2:$A$9,0))</f>
        <v>8500</v>
      </c>
      <c r="J61" s="10">
        <f>IFERROR(INDEX(PlatformFees!$C$2:$C$5,MATCH(C61,PlatformFees!$A$2:$A$5,0)),0)</f>
        <v>0.16</v>
      </c>
      <c r="K61" s="11">
        <f t="shared" si="0"/>
        <v>8500</v>
      </c>
      <c r="L61" s="11">
        <f t="shared" si="1"/>
        <v>5248</v>
      </c>
      <c r="M61" s="11">
        <f t="shared" si="2"/>
        <v>19052</v>
      </c>
      <c r="N61" s="10">
        <f t="shared" si="3"/>
        <v>0.58085365853658533</v>
      </c>
    </row>
    <row r="62" spans="1:14" x14ac:dyDescent="0.3">
      <c r="A62" s="9" t="s">
        <v>112</v>
      </c>
      <c r="B62" s="9" t="s">
        <v>92</v>
      </c>
      <c r="C62" s="9" t="s">
        <v>38</v>
      </c>
      <c r="D62" s="9" t="s">
        <v>20</v>
      </c>
      <c r="E62" s="9">
        <v>3</v>
      </c>
      <c r="F62" s="11">
        <v>157500</v>
      </c>
      <c r="G62" s="9" t="str">
        <f>INDEX(Products!$B$2:$B$9,MATCH(D62,Products!$A$2:$A$9,0))</f>
        <v>Trà cà leo gai giảm cân</v>
      </c>
      <c r="H62" s="9" t="str">
        <f>INDEX(Products!$C$2:$C$9,MATCH(D62,Products!$A$2:$A$9,0))</f>
        <v>Detox</v>
      </c>
      <c r="I62" s="11">
        <f>INDEX(Products!$D$2:$D$9,MATCH(D62,Products!$A$2:$A$9,0))</f>
        <v>15000</v>
      </c>
      <c r="J62" s="10">
        <f>IFERROR(INDEX(PlatformFees!$C$2:$C$5,MATCH(C62,PlatformFees!$A$2:$A$5,0)),0)</f>
        <v>0.16</v>
      </c>
      <c r="K62" s="11">
        <f t="shared" si="0"/>
        <v>45000</v>
      </c>
      <c r="L62" s="11">
        <f t="shared" si="1"/>
        <v>25200</v>
      </c>
      <c r="M62" s="11">
        <f t="shared" si="2"/>
        <v>87300</v>
      </c>
      <c r="N62" s="10">
        <f t="shared" si="3"/>
        <v>0.55428571428571427</v>
      </c>
    </row>
    <row r="63" spans="1:14" x14ac:dyDescent="0.3">
      <c r="A63" s="9" t="s">
        <v>113</v>
      </c>
      <c r="B63" s="9" t="s">
        <v>92</v>
      </c>
      <c r="C63" s="9" t="s">
        <v>36</v>
      </c>
      <c r="D63" s="9" t="s">
        <v>20</v>
      </c>
      <c r="E63" s="9">
        <v>2</v>
      </c>
      <c r="F63" s="11">
        <v>103100</v>
      </c>
      <c r="G63" s="9" t="str">
        <f>INDEX(Products!$B$2:$B$9,MATCH(D63,Products!$A$2:$A$9,0))</f>
        <v>Trà cà leo gai giảm cân</v>
      </c>
      <c r="H63" s="9" t="str">
        <f>INDEX(Products!$C$2:$C$9,MATCH(D63,Products!$A$2:$A$9,0))</f>
        <v>Detox</v>
      </c>
      <c r="I63" s="11">
        <f>INDEX(Products!$D$2:$D$9,MATCH(D63,Products!$A$2:$A$9,0))</f>
        <v>15000</v>
      </c>
      <c r="J63" s="10">
        <f>IFERROR(INDEX(PlatformFees!$C$2:$C$5,MATCH(C63,PlatformFees!$A$2:$A$5,0)),0)</f>
        <v>0.13</v>
      </c>
      <c r="K63" s="11">
        <f t="shared" si="0"/>
        <v>30000</v>
      </c>
      <c r="L63" s="11">
        <f t="shared" si="1"/>
        <v>13403</v>
      </c>
      <c r="M63" s="11">
        <f t="shared" si="2"/>
        <v>59697</v>
      </c>
      <c r="N63" s="10">
        <f t="shared" si="3"/>
        <v>0.57902036857419981</v>
      </c>
    </row>
    <row r="64" spans="1:14" x14ac:dyDescent="0.3">
      <c r="A64" s="9" t="s">
        <v>114</v>
      </c>
      <c r="B64" s="9" t="s">
        <v>115</v>
      </c>
      <c r="C64" s="9" t="s">
        <v>36</v>
      </c>
      <c r="D64" s="9" t="s">
        <v>15</v>
      </c>
      <c r="E64" s="9">
        <v>2</v>
      </c>
      <c r="F64" s="11">
        <v>59400</v>
      </c>
      <c r="G64" s="9" t="str">
        <f>INDEX(Products!$B$2:$B$9,MATCH(D64,Products!$A$2:$A$9,0))</f>
        <v>Trà lá nam sen ổi</v>
      </c>
      <c r="H64" s="9" t="str">
        <f>INDEX(Products!$C$2:$C$9,MATCH(D64,Products!$A$2:$A$9,0))</f>
        <v>Thanh lọc</v>
      </c>
      <c r="I64" s="11">
        <f>INDEX(Products!$D$2:$D$9,MATCH(D64,Products!$A$2:$A$9,0))</f>
        <v>8500</v>
      </c>
      <c r="J64" s="10">
        <f>IFERROR(INDEX(PlatformFees!$C$2:$C$5,MATCH(C64,PlatformFees!$A$2:$A$5,0)),0)</f>
        <v>0.13</v>
      </c>
      <c r="K64" s="11">
        <f t="shared" si="0"/>
        <v>17000</v>
      </c>
      <c r="L64" s="11">
        <f t="shared" si="1"/>
        <v>7722</v>
      </c>
      <c r="M64" s="11">
        <f t="shared" si="2"/>
        <v>34678</v>
      </c>
      <c r="N64" s="10">
        <f t="shared" si="3"/>
        <v>0.58380471380471377</v>
      </c>
    </row>
    <row r="65" spans="1:14" x14ac:dyDescent="0.3">
      <c r="A65" s="9" t="s">
        <v>116</v>
      </c>
      <c r="B65" s="9" t="s">
        <v>115</v>
      </c>
      <c r="C65" s="9" t="s">
        <v>39</v>
      </c>
      <c r="D65" s="9" t="s">
        <v>20</v>
      </c>
      <c r="E65" s="9">
        <v>2</v>
      </c>
      <c r="F65" s="11">
        <v>104200</v>
      </c>
      <c r="G65" s="9" t="str">
        <f>INDEX(Products!$B$2:$B$9,MATCH(D65,Products!$A$2:$A$9,0))</f>
        <v>Trà cà leo gai giảm cân</v>
      </c>
      <c r="H65" s="9" t="str">
        <f>INDEX(Products!$C$2:$C$9,MATCH(D65,Products!$A$2:$A$9,0))</f>
        <v>Detox</v>
      </c>
      <c r="I65" s="11">
        <f>INDEX(Products!$D$2:$D$9,MATCH(D65,Products!$A$2:$A$9,0))</f>
        <v>15000</v>
      </c>
      <c r="J65" s="10">
        <f>IFERROR(INDEX(PlatformFees!$C$2:$C$5,MATCH(C65,PlatformFees!$A$2:$A$5,0)),0)</f>
        <v>0</v>
      </c>
      <c r="K65" s="11">
        <f t="shared" si="0"/>
        <v>30000</v>
      </c>
      <c r="L65" s="11">
        <f t="shared" si="1"/>
        <v>0</v>
      </c>
      <c r="M65" s="11">
        <f t="shared" si="2"/>
        <v>74200</v>
      </c>
      <c r="N65" s="10">
        <f t="shared" si="3"/>
        <v>0.71209213051823417</v>
      </c>
    </row>
    <row r="66" spans="1:14" x14ac:dyDescent="0.3">
      <c r="A66" s="9" t="s">
        <v>117</v>
      </c>
      <c r="B66" s="9" t="s">
        <v>115</v>
      </c>
      <c r="C66" s="9" t="s">
        <v>38</v>
      </c>
      <c r="D66" s="9" t="s">
        <v>22</v>
      </c>
      <c r="E66" s="9">
        <v>2</v>
      </c>
      <c r="F66" s="11">
        <v>75400</v>
      </c>
      <c r="G66" s="9" t="str">
        <f>INDEX(Products!$B$2:$B$9,MATCH(D66,Products!$A$2:$A$9,0))</f>
        <v>Trà hoa cúc an thần</v>
      </c>
      <c r="H66" s="9" t="str">
        <f>INDEX(Products!$C$2:$C$9,MATCH(D66,Products!$A$2:$A$9,0))</f>
        <v>An thần</v>
      </c>
      <c r="I66" s="11">
        <f>INDEX(Products!$D$2:$D$9,MATCH(D66,Products!$A$2:$A$9,0))</f>
        <v>9500</v>
      </c>
      <c r="J66" s="10">
        <f>IFERROR(INDEX(PlatformFees!$C$2:$C$5,MATCH(C66,PlatformFees!$A$2:$A$5,0)),0)</f>
        <v>0.16</v>
      </c>
      <c r="K66" s="11">
        <f t="shared" ref="K66:K129" si="4">E66*I66</f>
        <v>19000</v>
      </c>
      <c r="L66" s="11">
        <f t="shared" ref="L66:L129" si="5">F66*J66</f>
        <v>12064</v>
      </c>
      <c r="M66" s="11">
        <f t="shared" ref="M66:M129" si="6">F66-L66-K66</f>
        <v>44336</v>
      </c>
      <c r="N66" s="10">
        <f t="shared" ref="N66:N129" si="7">IFERROR(M66/F66,0)</f>
        <v>0.58801061007957556</v>
      </c>
    </row>
    <row r="67" spans="1:14" x14ac:dyDescent="0.3">
      <c r="A67" s="9" t="s">
        <v>118</v>
      </c>
      <c r="B67" s="9" t="s">
        <v>115</v>
      </c>
      <c r="C67" s="9" t="s">
        <v>38</v>
      </c>
      <c r="D67" s="9" t="s">
        <v>17</v>
      </c>
      <c r="E67" s="9">
        <v>1</v>
      </c>
      <c r="F67" s="11">
        <v>39600</v>
      </c>
      <c r="G67" s="9" t="str">
        <f>INDEX(Products!$B$2:$B$9,MATCH(D67,Products!$A$2:$A$9,0))</f>
        <v>Trà diếp cá rau má</v>
      </c>
      <c r="H67" s="9" t="str">
        <f>INDEX(Products!$C$2:$C$9,MATCH(D67,Products!$A$2:$A$9,0))</f>
        <v>Detox</v>
      </c>
      <c r="I67" s="11">
        <f>INDEX(Products!$D$2:$D$9,MATCH(D67,Products!$A$2:$A$9,0))</f>
        <v>10500</v>
      </c>
      <c r="J67" s="10">
        <f>IFERROR(INDEX(PlatformFees!$C$2:$C$5,MATCH(C67,PlatformFees!$A$2:$A$5,0)),0)</f>
        <v>0.16</v>
      </c>
      <c r="K67" s="11">
        <f t="shared" si="4"/>
        <v>10500</v>
      </c>
      <c r="L67" s="11">
        <f t="shared" si="5"/>
        <v>6336</v>
      </c>
      <c r="M67" s="11">
        <f t="shared" si="6"/>
        <v>22764</v>
      </c>
      <c r="N67" s="10">
        <f t="shared" si="7"/>
        <v>0.57484848484848483</v>
      </c>
    </row>
    <row r="68" spans="1:14" x14ac:dyDescent="0.3">
      <c r="A68" s="9" t="s">
        <v>119</v>
      </c>
      <c r="B68" s="9" t="s">
        <v>115</v>
      </c>
      <c r="C68" s="9" t="s">
        <v>39</v>
      </c>
      <c r="D68" s="9" t="s">
        <v>15</v>
      </c>
      <c r="E68" s="9">
        <v>2</v>
      </c>
      <c r="F68" s="11">
        <v>59800</v>
      </c>
      <c r="G68" s="9" t="str">
        <f>INDEX(Products!$B$2:$B$9,MATCH(D68,Products!$A$2:$A$9,0))</f>
        <v>Trà lá nam sen ổi</v>
      </c>
      <c r="H68" s="9" t="str">
        <f>INDEX(Products!$C$2:$C$9,MATCH(D68,Products!$A$2:$A$9,0))</f>
        <v>Thanh lọc</v>
      </c>
      <c r="I68" s="11">
        <f>INDEX(Products!$D$2:$D$9,MATCH(D68,Products!$A$2:$A$9,0))</f>
        <v>8500</v>
      </c>
      <c r="J68" s="10">
        <f>IFERROR(INDEX(PlatformFees!$C$2:$C$5,MATCH(C68,PlatformFees!$A$2:$A$5,0)),0)</f>
        <v>0</v>
      </c>
      <c r="K68" s="11">
        <f t="shared" si="4"/>
        <v>17000</v>
      </c>
      <c r="L68" s="11">
        <f t="shared" si="5"/>
        <v>0</v>
      </c>
      <c r="M68" s="11">
        <f t="shared" si="6"/>
        <v>42800</v>
      </c>
      <c r="N68" s="10">
        <f t="shared" si="7"/>
        <v>0.71571906354515047</v>
      </c>
    </row>
    <row r="69" spans="1:14" x14ac:dyDescent="0.3">
      <c r="A69" s="9" t="s">
        <v>120</v>
      </c>
      <c r="B69" s="9" t="s">
        <v>115</v>
      </c>
      <c r="C69" s="9" t="s">
        <v>38</v>
      </c>
      <c r="D69" s="9" t="s">
        <v>20</v>
      </c>
      <c r="E69" s="9">
        <v>1</v>
      </c>
      <c r="F69" s="11">
        <v>50700</v>
      </c>
      <c r="G69" s="9" t="str">
        <f>INDEX(Products!$B$2:$B$9,MATCH(D69,Products!$A$2:$A$9,0))</f>
        <v>Trà cà leo gai giảm cân</v>
      </c>
      <c r="H69" s="9" t="str">
        <f>INDEX(Products!$C$2:$C$9,MATCH(D69,Products!$A$2:$A$9,0))</f>
        <v>Detox</v>
      </c>
      <c r="I69" s="11">
        <f>INDEX(Products!$D$2:$D$9,MATCH(D69,Products!$A$2:$A$9,0))</f>
        <v>15000</v>
      </c>
      <c r="J69" s="10">
        <f>IFERROR(INDEX(PlatformFees!$C$2:$C$5,MATCH(C69,PlatformFees!$A$2:$A$5,0)),0)</f>
        <v>0.16</v>
      </c>
      <c r="K69" s="11">
        <f t="shared" si="4"/>
        <v>15000</v>
      </c>
      <c r="L69" s="11">
        <f t="shared" si="5"/>
        <v>8112</v>
      </c>
      <c r="M69" s="11">
        <f t="shared" si="6"/>
        <v>27588</v>
      </c>
      <c r="N69" s="10">
        <f t="shared" si="7"/>
        <v>0.54414201183431954</v>
      </c>
    </row>
    <row r="70" spans="1:14" x14ac:dyDescent="0.3">
      <c r="A70" s="9" t="s">
        <v>121</v>
      </c>
      <c r="B70" s="9" t="s">
        <v>115</v>
      </c>
      <c r="C70" s="9" t="s">
        <v>38</v>
      </c>
      <c r="D70" s="9" t="s">
        <v>20</v>
      </c>
      <c r="E70" s="9">
        <v>1</v>
      </c>
      <c r="F70" s="11">
        <v>51000</v>
      </c>
      <c r="G70" s="9" t="str">
        <f>INDEX(Products!$B$2:$B$9,MATCH(D70,Products!$A$2:$A$9,0))</f>
        <v>Trà cà leo gai giảm cân</v>
      </c>
      <c r="H70" s="9" t="str">
        <f>INDEX(Products!$C$2:$C$9,MATCH(D70,Products!$A$2:$A$9,0))</f>
        <v>Detox</v>
      </c>
      <c r="I70" s="11">
        <f>INDEX(Products!$D$2:$D$9,MATCH(D70,Products!$A$2:$A$9,0))</f>
        <v>15000</v>
      </c>
      <c r="J70" s="10">
        <f>IFERROR(INDEX(PlatformFees!$C$2:$C$5,MATCH(C70,PlatformFees!$A$2:$A$5,0)),0)</f>
        <v>0.16</v>
      </c>
      <c r="K70" s="11">
        <f t="shared" si="4"/>
        <v>15000</v>
      </c>
      <c r="L70" s="11">
        <f t="shared" si="5"/>
        <v>8160</v>
      </c>
      <c r="M70" s="11">
        <f t="shared" si="6"/>
        <v>27840</v>
      </c>
      <c r="N70" s="10">
        <f t="shared" si="7"/>
        <v>0.54588235294117649</v>
      </c>
    </row>
    <row r="71" spans="1:14" x14ac:dyDescent="0.3">
      <c r="A71" s="9" t="s">
        <v>122</v>
      </c>
      <c r="B71" s="9" t="s">
        <v>115</v>
      </c>
      <c r="C71" s="9" t="s">
        <v>36</v>
      </c>
      <c r="D71" s="9" t="s">
        <v>17</v>
      </c>
      <c r="E71" s="9">
        <v>1</v>
      </c>
      <c r="F71" s="11">
        <v>42700</v>
      </c>
      <c r="G71" s="9" t="str">
        <f>INDEX(Products!$B$2:$B$9,MATCH(D71,Products!$A$2:$A$9,0))</f>
        <v>Trà diếp cá rau má</v>
      </c>
      <c r="H71" s="9" t="str">
        <f>INDEX(Products!$C$2:$C$9,MATCH(D71,Products!$A$2:$A$9,0))</f>
        <v>Detox</v>
      </c>
      <c r="I71" s="11">
        <f>INDEX(Products!$D$2:$D$9,MATCH(D71,Products!$A$2:$A$9,0))</f>
        <v>10500</v>
      </c>
      <c r="J71" s="10">
        <f>IFERROR(INDEX(PlatformFees!$C$2:$C$5,MATCH(C71,PlatformFees!$A$2:$A$5,0)),0)</f>
        <v>0.13</v>
      </c>
      <c r="K71" s="11">
        <f t="shared" si="4"/>
        <v>10500</v>
      </c>
      <c r="L71" s="11">
        <f t="shared" si="5"/>
        <v>5551</v>
      </c>
      <c r="M71" s="11">
        <f t="shared" si="6"/>
        <v>26649</v>
      </c>
      <c r="N71" s="10">
        <f t="shared" si="7"/>
        <v>0.62409836065573765</v>
      </c>
    </row>
    <row r="72" spans="1:14" x14ac:dyDescent="0.3">
      <c r="A72" s="9" t="s">
        <v>123</v>
      </c>
      <c r="B72" s="9" t="s">
        <v>115</v>
      </c>
      <c r="C72" s="9" t="s">
        <v>39</v>
      </c>
      <c r="D72" s="9" t="s">
        <v>20</v>
      </c>
      <c r="E72" s="9">
        <v>1</v>
      </c>
      <c r="F72" s="11">
        <v>53300</v>
      </c>
      <c r="G72" s="9" t="str">
        <f>INDEX(Products!$B$2:$B$9,MATCH(D72,Products!$A$2:$A$9,0))</f>
        <v>Trà cà leo gai giảm cân</v>
      </c>
      <c r="H72" s="9" t="str">
        <f>INDEX(Products!$C$2:$C$9,MATCH(D72,Products!$A$2:$A$9,0))</f>
        <v>Detox</v>
      </c>
      <c r="I72" s="11">
        <f>INDEX(Products!$D$2:$D$9,MATCH(D72,Products!$A$2:$A$9,0))</f>
        <v>15000</v>
      </c>
      <c r="J72" s="10">
        <f>IFERROR(INDEX(PlatformFees!$C$2:$C$5,MATCH(C72,PlatformFees!$A$2:$A$5,0)),0)</f>
        <v>0</v>
      </c>
      <c r="K72" s="11">
        <f t="shared" si="4"/>
        <v>15000</v>
      </c>
      <c r="L72" s="11">
        <f t="shared" si="5"/>
        <v>0</v>
      </c>
      <c r="M72" s="11">
        <f t="shared" si="6"/>
        <v>38300</v>
      </c>
      <c r="N72" s="10">
        <f t="shared" si="7"/>
        <v>0.7185741088180112</v>
      </c>
    </row>
    <row r="73" spans="1:14" x14ac:dyDescent="0.3">
      <c r="A73" s="9" t="s">
        <v>124</v>
      </c>
      <c r="B73" s="9" t="s">
        <v>115</v>
      </c>
      <c r="C73" s="9" t="s">
        <v>38</v>
      </c>
      <c r="D73" s="9" t="s">
        <v>17</v>
      </c>
      <c r="E73" s="9">
        <v>3</v>
      </c>
      <c r="F73" s="11">
        <v>123300</v>
      </c>
      <c r="G73" s="9" t="str">
        <f>INDEX(Products!$B$2:$B$9,MATCH(D73,Products!$A$2:$A$9,0))</f>
        <v>Trà diếp cá rau má</v>
      </c>
      <c r="H73" s="9" t="str">
        <f>INDEX(Products!$C$2:$C$9,MATCH(D73,Products!$A$2:$A$9,0))</f>
        <v>Detox</v>
      </c>
      <c r="I73" s="11">
        <f>INDEX(Products!$D$2:$D$9,MATCH(D73,Products!$A$2:$A$9,0))</f>
        <v>10500</v>
      </c>
      <c r="J73" s="10">
        <f>IFERROR(INDEX(PlatformFees!$C$2:$C$5,MATCH(C73,PlatformFees!$A$2:$A$5,0)),0)</f>
        <v>0.16</v>
      </c>
      <c r="K73" s="11">
        <f t="shared" si="4"/>
        <v>31500</v>
      </c>
      <c r="L73" s="11">
        <f t="shared" si="5"/>
        <v>19728</v>
      </c>
      <c r="M73" s="11">
        <f t="shared" si="6"/>
        <v>72072</v>
      </c>
      <c r="N73" s="10">
        <f t="shared" si="7"/>
        <v>0.58452554744525542</v>
      </c>
    </row>
    <row r="74" spans="1:14" x14ac:dyDescent="0.3">
      <c r="A74" s="9" t="s">
        <v>125</v>
      </c>
      <c r="B74" s="9" t="s">
        <v>115</v>
      </c>
      <c r="C74" s="9" t="s">
        <v>38</v>
      </c>
      <c r="D74" s="9" t="s">
        <v>20</v>
      </c>
      <c r="E74" s="9">
        <v>3</v>
      </c>
      <c r="F74" s="11">
        <v>153700</v>
      </c>
      <c r="G74" s="9" t="str">
        <f>INDEX(Products!$B$2:$B$9,MATCH(D74,Products!$A$2:$A$9,0))</f>
        <v>Trà cà leo gai giảm cân</v>
      </c>
      <c r="H74" s="9" t="str">
        <f>INDEX(Products!$C$2:$C$9,MATCH(D74,Products!$A$2:$A$9,0))</f>
        <v>Detox</v>
      </c>
      <c r="I74" s="11">
        <f>INDEX(Products!$D$2:$D$9,MATCH(D74,Products!$A$2:$A$9,0))</f>
        <v>15000</v>
      </c>
      <c r="J74" s="10">
        <f>IFERROR(INDEX(PlatformFees!$C$2:$C$5,MATCH(C74,PlatformFees!$A$2:$A$5,0)),0)</f>
        <v>0.16</v>
      </c>
      <c r="K74" s="11">
        <f t="shared" si="4"/>
        <v>45000</v>
      </c>
      <c r="L74" s="11">
        <f t="shared" si="5"/>
        <v>24592</v>
      </c>
      <c r="M74" s="11">
        <f t="shared" si="6"/>
        <v>84108</v>
      </c>
      <c r="N74" s="10">
        <f t="shared" si="7"/>
        <v>0.54722186076772938</v>
      </c>
    </row>
    <row r="75" spans="1:14" x14ac:dyDescent="0.3">
      <c r="A75" s="9" t="s">
        <v>126</v>
      </c>
      <c r="B75" s="9" t="s">
        <v>115</v>
      </c>
      <c r="C75" s="9" t="s">
        <v>39</v>
      </c>
      <c r="D75" s="9" t="s">
        <v>15</v>
      </c>
      <c r="E75" s="9">
        <v>1</v>
      </c>
      <c r="F75" s="11">
        <v>32100</v>
      </c>
      <c r="G75" s="9" t="str">
        <f>INDEX(Products!$B$2:$B$9,MATCH(D75,Products!$A$2:$A$9,0))</f>
        <v>Trà lá nam sen ổi</v>
      </c>
      <c r="H75" s="9" t="str">
        <f>INDEX(Products!$C$2:$C$9,MATCH(D75,Products!$A$2:$A$9,0))</f>
        <v>Thanh lọc</v>
      </c>
      <c r="I75" s="11">
        <f>INDEX(Products!$D$2:$D$9,MATCH(D75,Products!$A$2:$A$9,0))</f>
        <v>8500</v>
      </c>
      <c r="J75" s="10">
        <f>IFERROR(INDEX(PlatformFees!$C$2:$C$5,MATCH(C75,PlatformFees!$A$2:$A$5,0)),0)</f>
        <v>0</v>
      </c>
      <c r="K75" s="11">
        <f t="shared" si="4"/>
        <v>8500</v>
      </c>
      <c r="L75" s="11">
        <f t="shared" si="5"/>
        <v>0</v>
      </c>
      <c r="M75" s="11">
        <f t="shared" si="6"/>
        <v>23600</v>
      </c>
      <c r="N75" s="10">
        <f t="shared" si="7"/>
        <v>0.73520249221183798</v>
      </c>
    </row>
    <row r="76" spans="1:14" x14ac:dyDescent="0.3">
      <c r="A76" s="9" t="s">
        <v>127</v>
      </c>
      <c r="B76" s="9" t="s">
        <v>115</v>
      </c>
      <c r="C76" s="9" t="s">
        <v>36</v>
      </c>
      <c r="D76" s="9" t="s">
        <v>17</v>
      </c>
      <c r="E76" s="9">
        <v>1</v>
      </c>
      <c r="F76" s="11">
        <v>42000</v>
      </c>
      <c r="G76" s="9" t="str">
        <f>INDEX(Products!$B$2:$B$9,MATCH(D76,Products!$A$2:$A$9,0))</f>
        <v>Trà diếp cá rau má</v>
      </c>
      <c r="H76" s="9" t="str">
        <f>INDEX(Products!$C$2:$C$9,MATCH(D76,Products!$A$2:$A$9,0))</f>
        <v>Detox</v>
      </c>
      <c r="I76" s="11">
        <f>INDEX(Products!$D$2:$D$9,MATCH(D76,Products!$A$2:$A$9,0))</f>
        <v>10500</v>
      </c>
      <c r="J76" s="10">
        <f>IFERROR(INDEX(PlatformFees!$C$2:$C$5,MATCH(C76,PlatformFees!$A$2:$A$5,0)),0)</f>
        <v>0.13</v>
      </c>
      <c r="K76" s="11">
        <f t="shared" si="4"/>
        <v>10500</v>
      </c>
      <c r="L76" s="11">
        <f t="shared" si="5"/>
        <v>5460</v>
      </c>
      <c r="M76" s="11">
        <f t="shared" si="6"/>
        <v>26040</v>
      </c>
      <c r="N76" s="10">
        <f t="shared" si="7"/>
        <v>0.62</v>
      </c>
    </row>
    <row r="77" spans="1:14" x14ac:dyDescent="0.3">
      <c r="A77" s="9" t="s">
        <v>128</v>
      </c>
      <c r="B77" s="9" t="s">
        <v>115</v>
      </c>
      <c r="C77" s="9" t="s">
        <v>36</v>
      </c>
      <c r="D77" s="9" t="s">
        <v>22</v>
      </c>
      <c r="E77" s="9">
        <v>1</v>
      </c>
      <c r="F77" s="11">
        <v>37100</v>
      </c>
      <c r="G77" s="9" t="str">
        <f>INDEX(Products!$B$2:$B$9,MATCH(D77,Products!$A$2:$A$9,0))</f>
        <v>Trà hoa cúc an thần</v>
      </c>
      <c r="H77" s="9" t="str">
        <f>INDEX(Products!$C$2:$C$9,MATCH(D77,Products!$A$2:$A$9,0))</f>
        <v>An thần</v>
      </c>
      <c r="I77" s="11">
        <f>INDEX(Products!$D$2:$D$9,MATCH(D77,Products!$A$2:$A$9,0))</f>
        <v>9500</v>
      </c>
      <c r="J77" s="10">
        <f>IFERROR(INDEX(PlatformFees!$C$2:$C$5,MATCH(C77,PlatformFees!$A$2:$A$5,0)),0)</f>
        <v>0.13</v>
      </c>
      <c r="K77" s="11">
        <f t="shared" si="4"/>
        <v>9500</v>
      </c>
      <c r="L77" s="11">
        <f t="shared" si="5"/>
        <v>4823</v>
      </c>
      <c r="M77" s="11">
        <f t="shared" si="6"/>
        <v>22777</v>
      </c>
      <c r="N77" s="10">
        <f t="shared" si="7"/>
        <v>0.6139353099730458</v>
      </c>
    </row>
    <row r="78" spans="1:14" x14ac:dyDescent="0.3">
      <c r="A78" s="9" t="s">
        <v>129</v>
      </c>
      <c r="B78" s="9" t="s">
        <v>115</v>
      </c>
      <c r="C78" s="9" t="s">
        <v>36</v>
      </c>
      <c r="D78" s="9" t="s">
        <v>30</v>
      </c>
      <c r="E78" s="9">
        <v>1</v>
      </c>
      <c r="F78" s="11">
        <v>33500</v>
      </c>
      <c r="G78" s="9" t="str">
        <f>INDEX(Products!$B$2:$B$9,MATCH(D78,Products!$A$2:$A$9,0))</f>
        <v>Trà mâm xôi vitamin</v>
      </c>
      <c r="H78" s="9" t="str">
        <f>INDEX(Products!$C$2:$C$9,MATCH(D78,Products!$A$2:$A$9,0))</f>
        <v>Bổ sung dưỡng chất</v>
      </c>
      <c r="I78" s="11">
        <f>INDEX(Products!$D$2:$D$9,MATCH(D78,Products!$A$2:$A$9,0))</f>
        <v>9800</v>
      </c>
      <c r="J78" s="10">
        <f>IFERROR(INDEX(PlatformFees!$C$2:$C$5,MATCH(C78,PlatformFees!$A$2:$A$5,0)),0)</f>
        <v>0.13</v>
      </c>
      <c r="K78" s="11">
        <f t="shared" si="4"/>
        <v>9800</v>
      </c>
      <c r="L78" s="11">
        <f t="shared" si="5"/>
        <v>4355</v>
      </c>
      <c r="M78" s="11">
        <f t="shared" si="6"/>
        <v>19345</v>
      </c>
      <c r="N78" s="10">
        <f t="shared" si="7"/>
        <v>0.57746268656716415</v>
      </c>
    </row>
    <row r="79" spans="1:14" x14ac:dyDescent="0.3">
      <c r="A79" s="9" t="s">
        <v>130</v>
      </c>
      <c r="B79" s="9" t="s">
        <v>115</v>
      </c>
      <c r="C79" s="9" t="s">
        <v>36</v>
      </c>
      <c r="D79" s="9" t="s">
        <v>17</v>
      </c>
      <c r="E79" s="9">
        <v>1</v>
      </c>
      <c r="F79" s="11">
        <v>40200</v>
      </c>
      <c r="G79" s="9" t="str">
        <f>INDEX(Products!$B$2:$B$9,MATCH(D79,Products!$A$2:$A$9,0))</f>
        <v>Trà diếp cá rau má</v>
      </c>
      <c r="H79" s="9" t="str">
        <f>INDEX(Products!$C$2:$C$9,MATCH(D79,Products!$A$2:$A$9,0))</f>
        <v>Detox</v>
      </c>
      <c r="I79" s="11">
        <f>INDEX(Products!$D$2:$D$9,MATCH(D79,Products!$A$2:$A$9,0))</f>
        <v>10500</v>
      </c>
      <c r="J79" s="10">
        <f>IFERROR(INDEX(PlatformFees!$C$2:$C$5,MATCH(C79,PlatformFees!$A$2:$A$5,0)),0)</f>
        <v>0.13</v>
      </c>
      <c r="K79" s="11">
        <f t="shared" si="4"/>
        <v>10500</v>
      </c>
      <c r="L79" s="11">
        <f t="shared" si="5"/>
        <v>5226</v>
      </c>
      <c r="M79" s="11">
        <f t="shared" si="6"/>
        <v>24474</v>
      </c>
      <c r="N79" s="10">
        <f t="shared" si="7"/>
        <v>0.60880597014925375</v>
      </c>
    </row>
    <row r="80" spans="1:14" x14ac:dyDescent="0.3">
      <c r="A80" s="9" t="s">
        <v>131</v>
      </c>
      <c r="B80" s="9" t="s">
        <v>115</v>
      </c>
      <c r="C80" s="9" t="s">
        <v>36</v>
      </c>
      <c r="D80" s="9" t="s">
        <v>30</v>
      </c>
      <c r="E80" s="9">
        <v>1</v>
      </c>
      <c r="F80" s="11">
        <v>36100</v>
      </c>
      <c r="G80" s="9" t="str">
        <f>INDEX(Products!$B$2:$B$9,MATCH(D80,Products!$A$2:$A$9,0))</f>
        <v>Trà mâm xôi vitamin</v>
      </c>
      <c r="H80" s="9" t="str">
        <f>INDEX(Products!$C$2:$C$9,MATCH(D80,Products!$A$2:$A$9,0))</f>
        <v>Bổ sung dưỡng chất</v>
      </c>
      <c r="I80" s="11">
        <f>INDEX(Products!$D$2:$D$9,MATCH(D80,Products!$A$2:$A$9,0))</f>
        <v>9800</v>
      </c>
      <c r="J80" s="10">
        <f>IFERROR(INDEX(PlatformFees!$C$2:$C$5,MATCH(C80,PlatformFees!$A$2:$A$5,0)),0)</f>
        <v>0.13</v>
      </c>
      <c r="K80" s="11">
        <f t="shared" si="4"/>
        <v>9800</v>
      </c>
      <c r="L80" s="11">
        <f t="shared" si="5"/>
        <v>4693</v>
      </c>
      <c r="M80" s="11">
        <f t="shared" si="6"/>
        <v>21607</v>
      </c>
      <c r="N80" s="10">
        <f t="shared" si="7"/>
        <v>0.5985318559556787</v>
      </c>
    </row>
    <row r="81" spans="1:14" x14ac:dyDescent="0.3">
      <c r="A81" s="9" t="s">
        <v>132</v>
      </c>
      <c r="B81" s="9" t="s">
        <v>115</v>
      </c>
      <c r="C81" s="9" t="s">
        <v>38</v>
      </c>
      <c r="D81" s="9" t="s">
        <v>20</v>
      </c>
      <c r="E81" s="9">
        <v>1</v>
      </c>
      <c r="F81" s="11">
        <v>51300</v>
      </c>
      <c r="G81" s="9" t="str">
        <f>INDEX(Products!$B$2:$B$9,MATCH(D81,Products!$A$2:$A$9,0))</f>
        <v>Trà cà leo gai giảm cân</v>
      </c>
      <c r="H81" s="9" t="str">
        <f>INDEX(Products!$C$2:$C$9,MATCH(D81,Products!$A$2:$A$9,0))</f>
        <v>Detox</v>
      </c>
      <c r="I81" s="11">
        <f>INDEX(Products!$D$2:$D$9,MATCH(D81,Products!$A$2:$A$9,0))</f>
        <v>15000</v>
      </c>
      <c r="J81" s="10">
        <f>IFERROR(INDEX(PlatformFees!$C$2:$C$5,MATCH(C81,PlatformFees!$A$2:$A$5,0)),0)</f>
        <v>0.16</v>
      </c>
      <c r="K81" s="11">
        <f t="shared" si="4"/>
        <v>15000</v>
      </c>
      <c r="L81" s="11">
        <f t="shared" si="5"/>
        <v>8208</v>
      </c>
      <c r="M81" s="11">
        <f t="shared" si="6"/>
        <v>28092</v>
      </c>
      <c r="N81" s="10">
        <f t="shared" si="7"/>
        <v>0.54760233918128653</v>
      </c>
    </row>
    <row r="82" spans="1:14" x14ac:dyDescent="0.3">
      <c r="A82" s="9" t="s">
        <v>133</v>
      </c>
      <c r="B82" s="9" t="s">
        <v>134</v>
      </c>
      <c r="C82" s="9" t="s">
        <v>40</v>
      </c>
      <c r="D82" s="9" t="s">
        <v>22</v>
      </c>
      <c r="E82" s="9">
        <v>1</v>
      </c>
      <c r="F82" s="11">
        <v>37400</v>
      </c>
      <c r="G82" s="9" t="str">
        <f>INDEX(Products!$B$2:$B$9,MATCH(D82,Products!$A$2:$A$9,0))</f>
        <v>Trà hoa cúc an thần</v>
      </c>
      <c r="H82" s="9" t="str">
        <f>INDEX(Products!$C$2:$C$9,MATCH(D82,Products!$A$2:$A$9,0))</f>
        <v>An thần</v>
      </c>
      <c r="I82" s="11">
        <f>INDEX(Products!$D$2:$D$9,MATCH(D82,Products!$A$2:$A$9,0))</f>
        <v>9500</v>
      </c>
      <c r="J82" s="10">
        <f>IFERROR(INDEX(PlatformFees!$C$2:$C$5,MATCH(C82,PlatformFees!$A$2:$A$5,0)),0)</f>
        <v>0</v>
      </c>
      <c r="K82" s="11">
        <f t="shared" si="4"/>
        <v>9500</v>
      </c>
      <c r="L82" s="11">
        <f t="shared" si="5"/>
        <v>0</v>
      </c>
      <c r="M82" s="11">
        <f t="shared" si="6"/>
        <v>27900</v>
      </c>
      <c r="N82" s="10">
        <f t="shared" si="7"/>
        <v>0.74598930481283421</v>
      </c>
    </row>
    <row r="83" spans="1:14" x14ac:dyDescent="0.3">
      <c r="A83" s="9" t="s">
        <v>135</v>
      </c>
      <c r="B83" s="9" t="s">
        <v>134</v>
      </c>
      <c r="C83" s="9" t="s">
        <v>36</v>
      </c>
      <c r="D83" s="9" t="s">
        <v>15</v>
      </c>
      <c r="E83" s="9">
        <v>1</v>
      </c>
      <c r="F83" s="11">
        <v>30700</v>
      </c>
      <c r="G83" s="9" t="str">
        <f>INDEX(Products!$B$2:$B$9,MATCH(D83,Products!$A$2:$A$9,0))</f>
        <v>Trà lá nam sen ổi</v>
      </c>
      <c r="H83" s="9" t="str">
        <f>INDEX(Products!$C$2:$C$9,MATCH(D83,Products!$A$2:$A$9,0))</f>
        <v>Thanh lọc</v>
      </c>
      <c r="I83" s="11">
        <f>INDEX(Products!$D$2:$D$9,MATCH(D83,Products!$A$2:$A$9,0))</f>
        <v>8500</v>
      </c>
      <c r="J83" s="10">
        <f>IFERROR(INDEX(PlatformFees!$C$2:$C$5,MATCH(C83,PlatformFees!$A$2:$A$5,0)),0)</f>
        <v>0.13</v>
      </c>
      <c r="K83" s="11">
        <f t="shared" si="4"/>
        <v>8500</v>
      </c>
      <c r="L83" s="11">
        <f t="shared" si="5"/>
        <v>3991</v>
      </c>
      <c r="M83" s="11">
        <f t="shared" si="6"/>
        <v>18209</v>
      </c>
      <c r="N83" s="10">
        <f t="shared" si="7"/>
        <v>0.59312703583061888</v>
      </c>
    </row>
    <row r="84" spans="1:14" x14ac:dyDescent="0.3">
      <c r="A84" s="9" t="s">
        <v>136</v>
      </c>
      <c r="B84" s="9" t="s">
        <v>134</v>
      </c>
      <c r="C84" s="9" t="s">
        <v>40</v>
      </c>
      <c r="D84" s="9" t="s">
        <v>30</v>
      </c>
      <c r="E84" s="9">
        <v>1</v>
      </c>
      <c r="F84" s="11">
        <v>36700</v>
      </c>
      <c r="G84" s="9" t="str">
        <f>INDEX(Products!$B$2:$B$9,MATCH(D84,Products!$A$2:$A$9,0))</f>
        <v>Trà mâm xôi vitamin</v>
      </c>
      <c r="H84" s="9" t="str">
        <f>INDEX(Products!$C$2:$C$9,MATCH(D84,Products!$A$2:$A$9,0))</f>
        <v>Bổ sung dưỡng chất</v>
      </c>
      <c r="I84" s="11">
        <f>INDEX(Products!$D$2:$D$9,MATCH(D84,Products!$A$2:$A$9,0))</f>
        <v>9800</v>
      </c>
      <c r="J84" s="10">
        <f>IFERROR(INDEX(PlatformFees!$C$2:$C$5,MATCH(C84,PlatformFees!$A$2:$A$5,0)),0)</f>
        <v>0</v>
      </c>
      <c r="K84" s="11">
        <f t="shared" si="4"/>
        <v>9800</v>
      </c>
      <c r="L84" s="11">
        <f t="shared" si="5"/>
        <v>0</v>
      </c>
      <c r="M84" s="11">
        <f t="shared" si="6"/>
        <v>26900</v>
      </c>
      <c r="N84" s="10">
        <f t="shared" si="7"/>
        <v>0.73297002724795646</v>
      </c>
    </row>
    <row r="85" spans="1:14" x14ac:dyDescent="0.3">
      <c r="A85" s="9" t="s">
        <v>137</v>
      </c>
      <c r="B85" s="9" t="s">
        <v>134</v>
      </c>
      <c r="C85" s="9" t="s">
        <v>36</v>
      </c>
      <c r="D85" s="9" t="s">
        <v>17</v>
      </c>
      <c r="E85" s="9">
        <v>1</v>
      </c>
      <c r="F85" s="11">
        <v>40300</v>
      </c>
      <c r="G85" s="9" t="str">
        <f>INDEX(Products!$B$2:$B$9,MATCH(D85,Products!$A$2:$A$9,0))</f>
        <v>Trà diếp cá rau má</v>
      </c>
      <c r="H85" s="9" t="str">
        <f>INDEX(Products!$C$2:$C$9,MATCH(D85,Products!$A$2:$A$9,0))</f>
        <v>Detox</v>
      </c>
      <c r="I85" s="11">
        <f>INDEX(Products!$D$2:$D$9,MATCH(D85,Products!$A$2:$A$9,0))</f>
        <v>10500</v>
      </c>
      <c r="J85" s="10">
        <f>IFERROR(INDEX(PlatformFees!$C$2:$C$5,MATCH(C85,PlatformFees!$A$2:$A$5,0)),0)</f>
        <v>0.13</v>
      </c>
      <c r="K85" s="11">
        <f t="shared" si="4"/>
        <v>10500</v>
      </c>
      <c r="L85" s="11">
        <f t="shared" si="5"/>
        <v>5239</v>
      </c>
      <c r="M85" s="11">
        <f t="shared" si="6"/>
        <v>24561</v>
      </c>
      <c r="N85" s="10">
        <f t="shared" si="7"/>
        <v>0.60945409429280395</v>
      </c>
    </row>
    <row r="86" spans="1:14" x14ac:dyDescent="0.3">
      <c r="A86" s="9" t="s">
        <v>138</v>
      </c>
      <c r="B86" s="9" t="s">
        <v>134</v>
      </c>
      <c r="C86" s="9" t="s">
        <v>38</v>
      </c>
      <c r="D86" s="9" t="s">
        <v>27</v>
      </c>
      <c r="E86" s="9">
        <v>2</v>
      </c>
      <c r="F86" s="11">
        <v>80200</v>
      </c>
      <c r="G86" s="9" t="str">
        <f>INDEX(Products!$B$2:$B$9,MATCH(D86,Products!$A$2:$A$9,0))</f>
        <v>Trà gừng mật ong</v>
      </c>
      <c r="H86" s="9" t="str">
        <f>INDEX(Products!$C$2:$C$9,MATCH(D86,Products!$A$2:$A$9,0))</f>
        <v>Giữ ấm</v>
      </c>
      <c r="I86" s="11">
        <f>INDEX(Products!$D$2:$D$9,MATCH(D86,Products!$A$2:$A$9,0))</f>
        <v>11000</v>
      </c>
      <c r="J86" s="10">
        <f>IFERROR(INDEX(PlatformFees!$C$2:$C$5,MATCH(C86,PlatformFees!$A$2:$A$5,0)),0)</f>
        <v>0.16</v>
      </c>
      <c r="K86" s="11">
        <f t="shared" si="4"/>
        <v>22000</v>
      </c>
      <c r="L86" s="11">
        <f t="shared" si="5"/>
        <v>12832</v>
      </c>
      <c r="M86" s="11">
        <f t="shared" si="6"/>
        <v>45368</v>
      </c>
      <c r="N86" s="10">
        <f t="shared" si="7"/>
        <v>0.56568578553615956</v>
      </c>
    </row>
    <row r="87" spans="1:14" x14ac:dyDescent="0.3">
      <c r="A87" s="9" t="s">
        <v>139</v>
      </c>
      <c r="B87" s="9" t="s">
        <v>134</v>
      </c>
      <c r="C87" s="9" t="s">
        <v>40</v>
      </c>
      <c r="D87" s="9" t="s">
        <v>15</v>
      </c>
      <c r="E87" s="9">
        <v>1</v>
      </c>
      <c r="F87" s="11">
        <v>32900</v>
      </c>
      <c r="G87" s="9" t="str">
        <f>INDEX(Products!$B$2:$B$9,MATCH(D87,Products!$A$2:$A$9,0))</f>
        <v>Trà lá nam sen ổi</v>
      </c>
      <c r="H87" s="9" t="str">
        <f>INDEX(Products!$C$2:$C$9,MATCH(D87,Products!$A$2:$A$9,0))</f>
        <v>Thanh lọc</v>
      </c>
      <c r="I87" s="11">
        <f>INDEX(Products!$D$2:$D$9,MATCH(D87,Products!$A$2:$A$9,0))</f>
        <v>8500</v>
      </c>
      <c r="J87" s="10">
        <f>IFERROR(INDEX(PlatformFees!$C$2:$C$5,MATCH(C87,PlatformFees!$A$2:$A$5,0)),0)</f>
        <v>0</v>
      </c>
      <c r="K87" s="11">
        <f t="shared" si="4"/>
        <v>8500</v>
      </c>
      <c r="L87" s="11">
        <f t="shared" si="5"/>
        <v>0</v>
      </c>
      <c r="M87" s="11">
        <f t="shared" si="6"/>
        <v>24400</v>
      </c>
      <c r="N87" s="10">
        <f t="shared" si="7"/>
        <v>0.74164133738601823</v>
      </c>
    </row>
    <row r="88" spans="1:14" x14ac:dyDescent="0.3">
      <c r="A88" s="9" t="s">
        <v>140</v>
      </c>
      <c r="B88" s="9" t="s">
        <v>134</v>
      </c>
      <c r="C88" s="9" t="s">
        <v>39</v>
      </c>
      <c r="D88" s="9" t="s">
        <v>30</v>
      </c>
      <c r="E88" s="9">
        <v>1</v>
      </c>
      <c r="F88" s="11">
        <v>33800</v>
      </c>
      <c r="G88" s="9" t="str">
        <f>INDEX(Products!$B$2:$B$9,MATCH(D88,Products!$A$2:$A$9,0))</f>
        <v>Trà mâm xôi vitamin</v>
      </c>
      <c r="H88" s="9" t="str">
        <f>INDEX(Products!$C$2:$C$9,MATCH(D88,Products!$A$2:$A$9,0))</f>
        <v>Bổ sung dưỡng chất</v>
      </c>
      <c r="I88" s="11">
        <f>INDEX(Products!$D$2:$D$9,MATCH(D88,Products!$A$2:$A$9,0))</f>
        <v>9800</v>
      </c>
      <c r="J88" s="10">
        <f>IFERROR(INDEX(PlatformFees!$C$2:$C$5,MATCH(C88,PlatformFees!$A$2:$A$5,0)),0)</f>
        <v>0</v>
      </c>
      <c r="K88" s="11">
        <f t="shared" si="4"/>
        <v>9800</v>
      </c>
      <c r="L88" s="11">
        <f t="shared" si="5"/>
        <v>0</v>
      </c>
      <c r="M88" s="11">
        <f t="shared" si="6"/>
        <v>24000</v>
      </c>
      <c r="N88" s="10">
        <f t="shared" si="7"/>
        <v>0.7100591715976331</v>
      </c>
    </row>
    <row r="89" spans="1:14" x14ac:dyDescent="0.3">
      <c r="A89" s="9" t="s">
        <v>141</v>
      </c>
      <c r="B89" s="9" t="s">
        <v>134</v>
      </c>
      <c r="C89" s="9" t="s">
        <v>40</v>
      </c>
      <c r="D89" s="9" t="s">
        <v>27</v>
      </c>
      <c r="E89" s="9">
        <v>2</v>
      </c>
      <c r="F89" s="11">
        <v>80700</v>
      </c>
      <c r="G89" s="9" t="str">
        <f>INDEX(Products!$B$2:$B$9,MATCH(D89,Products!$A$2:$A$9,0))</f>
        <v>Trà gừng mật ong</v>
      </c>
      <c r="H89" s="9" t="str">
        <f>INDEX(Products!$C$2:$C$9,MATCH(D89,Products!$A$2:$A$9,0))</f>
        <v>Giữ ấm</v>
      </c>
      <c r="I89" s="11">
        <f>INDEX(Products!$D$2:$D$9,MATCH(D89,Products!$A$2:$A$9,0))</f>
        <v>11000</v>
      </c>
      <c r="J89" s="10">
        <f>IFERROR(INDEX(PlatformFees!$C$2:$C$5,MATCH(C89,PlatformFees!$A$2:$A$5,0)),0)</f>
        <v>0</v>
      </c>
      <c r="K89" s="11">
        <f t="shared" si="4"/>
        <v>22000</v>
      </c>
      <c r="L89" s="11">
        <f t="shared" si="5"/>
        <v>0</v>
      </c>
      <c r="M89" s="11">
        <f t="shared" si="6"/>
        <v>58700</v>
      </c>
      <c r="N89" s="10">
        <f t="shared" si="7"/>
        <v>0.72738537794299873</v>
      </c>
    </row>
    <row r="90" spans="1:14" x14ac:dyDescent="0.3">
      <c r="A90" s="9" t="s">
        <v>142</v>
      </c>
      <c r="B90" s="9" t="s">
        <v>134</v>
      </c>
      <c r="C90" s="9" t="s">
        <v>39</v>
      </c>
      <c r="D90" s="9" t="s">
        <v>27</v>
      </c>
      <c r="E90" s="9">
        <v>1</v>
      </c>
      <c r="F90" s="11">
        <v>37500</v>
      </c>
      <c r="G90" s="9" t="str">
        <f>INDEX(Products!$B$2:$B$9,MATCH(D90,Products!$A$2:$A$9,0))</f>
        <v>Trà gừng mật ong</v>
      </c>
      <c r="H90" s="9" t="str">
        <f>INDEX(Products!$C$2:$C$9,MATCH(D90,Products!$A$2:$A$9,0))</f>
        <v>Giữ ấm</v>
      </c>
      <c r="I90" s="11">
        <f>INDEX(Products!$D$2:$D$9,MATCH(D90,Products!$A$2:$A$9,0))</f>
        <v>11000</v>
      </c>
      <c r="J90" s="10">
        <f>IFERROR(INDEX(PlatformFees!$C$2:$C$5,MATCH(C90,PlatformFees!$A$2:$A$5,0)),0)</f>
        <v>0</v>
      </c>
      <c r="K90" s="11">
        <f t="shared" si="4"/>
        <v>11000</v>
      </c>
      <c r="L90" s="11">
        <f t="shared" si="5"/>
        <v>0</v>
      </c>
      <c r="M90" s="11">
        <f t="shared" si="6"/>
        <v>26500</v>
      </c>
      <c r="N90" s="10">
        <f t="shared" si="7"/>
        <v>0.70666666666666667</v>
      </c>
    </row>
    <row r="91" spans="1:14" x14ac:dyDescent="0.3">
      <c r="A91" s="9" t="s">
        <v>143</v>
      </c>
      <c r="B91" s="9" t="s">
        <v>134</v>
      </c>
      <c r="C91" s="9" t="s">
        <v>39</v>
      </c>
      <c r="D91" s="9" t="s">
        <v>20</v>
      </c>
      <c r="E91" s="9">
        <v>1</v>
      </c>
      <c r="F91" s="11">
        <v>55800</v>
      </c>
      <c r="G91" s="9" t="str">
        <f>INDEX(Products!$B$2:$B$9,MATCH(D91,Products!$A$2:$A$9,0))</f>
        <v>Trà cà leo gai giảm cân</v>
      </c>
      <c r="H91" s="9" t="str">
        <f>INDEX(Products!$C$2:$C$9,MATCH(D91,Products!$A$2:$A$9,0))</f>
        <v>Detox</v>
      </c>
      <c r="I91" s="11">
        <f>INDEX(Products!$D$2:$D$9,MATCH(D91,Products!$A$2:$A$9,0))</f>
        <v>15000</v>
      </c>
      <c r="J91" s="10">
        <f>IFERROR(INDEX(PlatformFees!$C$2:$C$5,MATCH(C91,PlatformFees!$A$2:$A$5,0)),0)</f>
        <v>0</v>
      </c>
      <c r="K91" s="11">
        <f t="shared" si="4"/>
        <v>15000</v>
      </c>
      <c r="L91" s="11">
        <f t="shared" si="5"/>
        <v>0</v>
      </c>
      <c r="M91" s="11">
        <f t="shared" si="6"/>
        <v>40800</v>
      </c>
      <c r="N91" s="10">
        <f t="shared" si="7"/>
        <v>0.73118279569892475</v>
      </c>
    </row>
    <row r="92" spans="1:14" x14ac:dyDescent="0.3">
      <c r="A92" s="9" t="s">
        <v>144</v>
      </c>
      <c r="B92" s="9" t="s">
        <v>134</v>
      </c>
      <c r="C92" s="9" t="s">
        <v>36</v>
      </c>
      <c r="D92" s="9" t="s">
        <v>27</v>
      </c>
      <c r="E92" s="9">
        <v>2</v>
      </c>
      <c r="F92" s="11">
        <v>76700</v>
      </c>
      <c r="G92" s="9" t="str">
        <f>INDEX(Products!$B$2:$B$9,MATCH(D92,Products!$A$2:$A$9,0))</f>
        <v>Trà gừng mật ong</v>
      </c>
      <c r="H92" s="9" t="str">
        <f>INDEX(Products!$C$2:$C$9,MATCH(D92,Products!$A$2:$A$9,0))</f>
        <v>Giữ ấm</v>
      </c>
      <c r="I92" s="11">
        <f>INDEX(Products!$D$2:$D$9,MATCH(D92,Products!$A$2:$A$9,0))</f>
        <v>11000</v>
      </c>
      <c r="J92" s="10">
        <f>IFERROR(INDEX(PlatformFees!$C$2:$C$5,MATCH(C92,PlatformFees!$A$2:$A$5,0)),0)</f>
        <v>0.13</v>
      </c>
      <c r="K92" s="11">
        <f t="shared" si="4"/>
        <v>22000</v>
      </c>
      <c r="L92" s="11">
        <f t="shared" si="5"/>
        <v>9971</v>
      </c>
      <c r="M92" s="11">
        <f t="shared" si="6"/>
        <v>44729</v>
      </c>
      <c r="N92" s="10">
        <f t="shared" si="7"/>
        <v>0.58316818774445889</v>
      </c>
    </row>
    <row r="93" spans="1:14" x14ac:dyDescent="0.3">
      <c r="A93" s="9" t="s">
        <v>145</v>
      </c>
      <c r="B93" s="9" t="s">
        <v>134</v>
      </c>
      <c r="C93" s="9" t="s">
        <v>39</v>
      </c>
      <c r="D93" s="9" t="s">
        <v>30</v>
      </c>
      <c r="E93" s="9">
        <v>1</v>
      </c>
      <c r="F93" s="11">
        <v>33200</v>
      </c>
      <c r="G93" s="9" t="str">
        <f>INDEX(Products!$B$2:$B$9,MATCH(D93,Products!$A$2:$A$9,0))</f>
        <v>Trà mâm xôi vitamin</v>
      </c>
      <c r="H93" s="9" t="str">
        <f>INDEX(Products!$C$2:$C$9,MATCH(D93,Products!$A$2:$A$9,0))</f>
        <v>Bổ sung dưỡng chất</v>
      </c>
      <c r="I93" s="11">
        <f>INDEX(Products!$D$2:$D$9,MATCH(D93,Products!$A$2:$A$9,0))</f>
        <v>9800</v>
      </c>
      <c r="J93" s="10">
        <f>IFERROR(INDEX(PlatformFees!$C$2:$C$5,MATCH(C93,PlatformFees!$A$2:$A$5,0)),0)</f>
        <v>0</v>
      </c>
      <c r="K93" s="11">
        <f t="shared" si="4"/>
        <v>9800</v>
      </c>
      <c r="L93" s="11">
        <f t="shared" si="5"/>
        <v>0</v>
      </c>
      <c r="M93" s="11">
        <f t="shared" si="6"/>
        <v>23400</v>
      </c>
      <c r="N93" s="10">
        <f t="shared" si="7"/>
        <v>0.70481927710843373</v>
      </c>
    </row>
    <row r="94" spans="1:14" x14ac:dyDescent="0.3">
      <c r="A94" s="9" t="s">
        <v>146</v>
      </c>
      <c r="B94" s="9" t="s">
        <v>134</v>
      </c>
      <c r="C94" s="9" t="s">
        <v>36</v>
      </c>
      <c r="D94" s="9" t="s">
        <v>17</v>
      </c>
      <c r="E94" s="9">
        <v>1</v>
      </c>
      <c r="F94" s="11">
        <v>43100</v>
      </c>
      <c r="G94" s="9" t="str">
        <f>INDEX(Products!$B$2:$B$9,MATCH(D94,Products!$A$2:$A$9,0))</f>
        <v>Trà diếp cá rau má</v>
      </c>
      <c r="H94" s="9" t="str">
        <f>INDEX(Products!$C$2:$C$9,MATCH(D94,Products!$A$2:$A$9,0))</f>
        <v>Detox</v>
      </c>
      <c r="I94" s="11">
        <f>INDEX(Products!$D$2:$D$9,MATCH(D94,Products!$A$2:$A$9,0))</f>
        <v>10500</v>
      </c>
      <c r="J94" s="10">
        <f>IFERROR(INDEX(PlatformFees!$C$2:$C$5,MATCH(C94,PlatformFees!$A$2:$A$5,0)),0)</f>
        <v>0.13</v>
      </c>
      <c r="K94" s="11">
        <f t="shared" si="4"/>
        <v>10500</v>
      </c>
      <c r="L94" s="11">
        <f t="shared" si="5"/>
        <v>5603</v>
      </c>
      <c r="M94" s="11">
        <f t="shared" si="6"/>
        <v>26997</v>
      </c>
      <c r="N94" s="10">
        <f t="shared" si="7"/>
        <v>0.62638051044083531</v>
      </c>
    </row>
    <row r="95" spans="1:14" x14ac:dyDescent="0.3">
      <c r="A95" s="9" t="s">
        <v>147</v>
      </c>
      <c r="B95" s="9" t="s">
        <v>134</v>
      </c>
      <c r="C95" s="9" t="s">
        <v>36</v>
      </c>
      <c r="D95" s="9" t="s">
        <v>22</v>
      </c>
      <c r="E95" s="9">
        <v>2</v>
      </c>
      <c r="F95" s="11">
        <v>75600</v>
      </c>
      <c r="G95" s="9" t="str">
        <f>INDEX(Products!$B$2:$B$9,MATCH(D95,Products!$A$2:$A$9,0))</f>
        <v>Trà hoa cúc an thần</v>
      </c>
      <c r="H95" s="9" t="str">
        <f>INDEX(Products!$C$2:$C$9,MATCH(D95,Products!$A$2:$A$9,0))</f>
        <v>An thần</v>
      </c>
      <c r="I95" s="11">
        <f>INDEX(Products!$D$2:$D$9,MATCH(D95,Products!$A$2:$A$9,0))</f>
        <v>9500</v>
      </c>
      <c r="J95" s="10">
        <f>IFERROR(INDEX(PlatformFees!$C$2:$C$5,MATCH(C95,PlatformFees!$A$2:$A$5,0)),0)</f>
        <v>0.13</v>
      </c>
      <c r="K95" s="11">
        <f t="shared" si="4"/>
        <v>19000</v>
      </c>
      <c r="L95" s="11">
        <f t="shared" si="5"/>
        <v>9828</v>
      </c>
      <c r="M95" s="11">
        <f t="shared" si="6"/>
        <v>46772</v>
      </c>
      <c r="N95" s="10">
        <f t="shared" si="7"/>
        <v>0.61867724867724871</v>
      </c>
    </row>
    <row r="96" spans="1:14" x14ac:dyDescent="0.3">
      <c r="A96" s="9" t="s">
        <v>148</v>
      </c>
      <c r="B96" s="9" t="s">
        <v>134</v>
      </c>
      <c r="C96" s="9" t="s">
        <v>39</v>
      </c>
      <c r="D96" s="9" t="s">
        <v>17</v>
      </c>
      <c r="E96" s="9">
        <v>1</v>
      </c>
      <c r="F96" s="11">
        <v>39200</v>
      </c>
      <c r="G96" s="9" t="str">
        <f>INDEX(Products!$B$2:$B$9,MATCH(D96,Products!$A$2:$A$9,0))</f>
        <v>Trà diếp cá rau má</v>
      </c>
      <c r="H96" s="9" t="str">
        <f>INDEX(Products!$C$2:$C$9,MATCH(D96,Products!$A$2:$A$9,0))</f>
        <v>Detox</v>
      </c>
      <c r="I96" s="11">
        <f>INDEX(Products!$D$2:$D$9,MATCH(D96,Products!$A$2:$A$9,0))</f>
        <v>10500</v>
      </c>
      <c r="J96" s="10">
        <f>IFERROR(INDEX(PlatformFees!$C$2:$C$5,MATCH(C96,PlatformFees!$A$2:$A$5,0)),0)</f>
        <v>0</v>
      </c>
      <c r="K96" s="11">
        <f t="shared" si="4"/>
        <v>10500</v>
      </c>
      <c r="L96" s="11">
        <f t="shared" si="5"/>
        <v>0</v>
      </c>
      <c r="M96" s="11">
        <f t="shared" si="6"/>
        <v>28700</v>
      </c>
      <c r="N96" s="10">
        <f t="shared" si="7"/>
        <v>0.7321428571428571</v>
      </c>
    </row>
    <row r="97" spans="1:14" x14ac:dyDescent="0.3">
      <c r="A97" s="9" t="s">
        <v>149</v>
      </c>
      <c r="B97" s="9" t="s">
        <v>134</v>
      </c>
      <c r="C97" s="9" t="s">
        <v>40</v>
      </c>
      <c r="D97" s="9" t="s">
        <v>15</v>
      </c>
      <c r="E97" s="9">
        <v>1</v>
      </c>
      <c r="F97" s="11">
        <v>29600</v>
      </c>
      <c r="G97" s="9" t="str">
        <f>INDEX(Products!$B$2:$B$9,MATCH(D97,Products!$A$2:$A$9,0))</f>
        <v>Trà lá nam sen ổi</v>
      </c>
      <c r="H97" s="9" t="str">
        <f>INDEX(Products!$C$2:$C$9,MATCH(D97,Products!$A$2:$A$9,0))</f>
        <v>Thanh lọc</v>
      </c>
      <c r="I97" s="11">
        <f>INDEX(Products!$D$2:$D$9,MATCH(D97,Products!$A$2:$A$9,0))</f>
        <v>8500</v>
      </c>
      <c r="J97" s="10">
        <f>IFERROR(INDEX(PlatformFees!$C$2:$C$5,MATCH(C97,PlatformFees!$A$2:$A$5,0)),0)</f>
        <v>0</v>
      </c>
      <c r="K97" s="11">
        <f t="shared" si="4"/>
        <v>8500</v>
      </c>
      <c r="L97" s="11">
        <f t="shared" si="5"/>
        <v>0</v>
      </c>
      <c r="M97" s="11">
        <f t="shared" si="6"/>
        <v>21100</v>
      </c>
      <c r="N97" s="10">
        <f t="shared" si="7"/>
        <v>0.71283783783783783</v>
      </c>
    </row>
    <row r="98" spans="1:14" x14ac:dyDescent="0.3">
      <c r="A98" s="9" t="s">
        <v>150</v>
      </c>
      <c r="B98" s="9" t="s">
        <v>134</v>
      </c>
      <c r="C98" s="9" t="s">
        <v>38</v>
      </c>
      <c r="D98" s="9" t="s">
        <v>17</v>
      </c>
      <c r="E98" s="9">
        <v>1</v>
      </c>
      <c r="F98" s="11">
        <v>40700</v>
      </c>
      <c r="G98" s="9" t="str">
        <f>INDEX(Products!$B$2:$B$9,MATCH(D98,Products!$A$2:$A$9,0))</f>
        <v>Trà diếp cá rau má</v>
      </c>
      <c r="H98" s="9" t="str">
        <f>INDEX(Products!$C$2:$C$9,MATCH(D98,Products!$A$2:$A$9,0))</f>
        <v>Detox</v>
      </c>
      <c r="I98" s="11">
        <f>INDEX(Products!$D$2:$D$9,MATCH(D98,Products!$A$2:$A$9,0))</f>
        <v>10500</v>
      </c>
      <c r="J98" s="10">
        <f>IFERROR(INDEX(PlatformFees!$C$2:$C$5,MATCH(C98,PlatformFees!$A$2:$A$5,0)),0)</f>
        <v>0.16</v>
      </c>
      <c r="K98" s="11">
        <f t="shared" si="4"/>
        <v>10500</v>
      </c>
      <c r="L98" s="11">
        <f t="shared" si="5"/>
        <v>6512</v>
      </c>
      <c r="M98" s="11">
        <f t="shared" si="6"/>
        <v>23688</v>
      </c>
      <c r="N98" s="10">
        <f t="shared" si="7"/>
        <v>0.58201474201474201</v>
      </c>
    </row>
    <row r="99" spans="1:14" x14ac:dyDescent="0.3">
      <c r="A99" s="9" t="s">
        <v>151</v>
      </c>
      <c r="B99" s="9" t="s">
        <v>134</v>
      </c>
      <c r="C99" s="9" t="s">
        <v>40</v>
      </c>
      <c r="D99" s="9" t="s">
        <v>12</v>
      </c>
      <c r="E99" s="9">
        <v>2</v>
      </c>
      <c r="F99" s="11">
        <v>65900</v>
      </c>
      <c r="G99" s="9" t="str">
        <f>INDEX(Products!$B$2:$B$9,MATCH(D99,Products!$A$2:$A$9,0))</f>
        <v>Trà atiso thanh lọc</v>
      </c>
      <c r="H99" s="9" t="str">
        <f>INDEX(Products!$C$2:$C$9,MATCH(D99,Products!$A$2:$A$9,0))</f>
        <v>Thanh lọc</v>
      </c>
      <c r="I99" s="11">
        <f>INDEX(Products!$D$2:$D$9,MATCH(D99,Products!$A$2:$A$9,0))</f>
        <v>9000</v>
      </c>
      <c r="J99" s="10">
        <f>IFERROR(INDEX(PlatformFees!$C$2:$C$5,MATCH(C99,PlatformFees!$A$2:$A$5,0)),0)</f>
        <v>0</v>
      </c>
      <c r="K99" s="11">
        <f t="shared" si="4"/>
        <v>18000</v>
      </c>
      <c r="L99" s="11">
        <f t="shared" si="5"/>
        <v>0</v>
      </c>
      <c r="M99" s="11">
        <f t="shared" si="6"/>
        <v>47900</v>
      </c>
      <c r="N99" s="10">
        <f t="shared" si="7"/>
        <v>0.72685887708649466</v>
      </c>
    </row>
    <row r="100" spans="1:14" x14ac:dyDescent="0.3">
      <c r="A100" s="9" t="s">
        <v>152</v>
      </c>
      <c r="B100" s="9" t="s">
        <v>134</v>
      </c>
      <c r="C100" s="9" t="s">
        <v>36</v>
      </c>
      <c r="D100" s="9" t="s">
        <v>20</v>
      </c>
      <c r="E100" s="9">
        <v>2</v>
      </c>
      <c r="F100" s="11">
        <v>112400</v>
      </c>
      <c r="G100" s="9" t="str">
        <f>INDEX(Products!$B$2:$B$9,MATCH(D100,Products!$A$2:$A$9,0))</f>
        <v>Trà cà leo gai giảm cân</v>
      </c>
      <c r="H100" s="9" t="str">
        <f>INDEX(Products!$C$2:$C$9,MATCH(D100,Products!$A$2:$A$9,0))</f>
        <v>Detox</v>
      </c>
      <c r="I100" s="11">
        <f>INDEX(Products!$D$2:$D$9,MATCH(D100,Products!$A$2:$A$9,0))</f>
        <v>15000</v>
      </c>
      <c r="J100" s="10">
        <f>IFERROR(INDEX(PlatformFees!$C$2:$C$5,MATCH(C100,PlatformFees!$A$2:$A$5,0)),0)</f>
        <v>0.13</v>
      </c>
      <c r="K100" s="11">
        <f t="shared" si="4"/>
        <v>30000</v>
      </c>
      <c r="L100" s="11">
        <f t="shared" si="5"/>
        <v>14612</v>
      </c>
      <c r="M100" s="11">
        <f t="shared" si="6"/>
        <v>67788</v>
      </c>
      <c r="N100" s="10">
        <f t="shared" si="7"/>
        <v>0.60309608540925264</v>
      </c>
    </row>
    <row r="101" spans="1:14" x14ac:dyDescent="0.3">
      <c r="A101" s="9" t="s">
        <v>153</v>
      </c>
      <c r="B101" s="9" t="s">
        <v>134</v>
      </c>
      <c r="C101" s="9" t="s">
        <v>38</v>
      </c>
      <c r="D101" s="9" t="s">
        <v>25</v>
      </c>
      <c r="E101" s="9">
        <v>3</v>
      </c>
      <c r="F101" s="11">
        <v>102100</v>
      </c>
      <c r="G101" s="9" t="str">
        <f>INDEX(Products!$B$2:$B$9,MATCH(D101,Products!$A$2:$A$9,0))</f>
        <v>Trà hoa đậu biếc</v>
      </c>
      <c r="H101" s="9" t="str">
        <f>INDEX(Products!$C$2:$C$9,MATCH(D101,Products!$A$2:$A$9,0))</f>
        <v>An thần</v>
      </c>
      <c r="I101" s="11">
        <f>INDEX(Products!$D$2:$D$9,MATCH(D101,Products!$A$2:$A$9,0))</f>
        <v>8800</v>
      </c>
      <c r="J101" s="10">
        <f>IFERROR(INDEX(PlatformFees!$C$2:$C$5,MATCH(C101,PlatformFees!$A$2:$A$5,0)),0)</f>
        <v>0.16</v>
      </c>
      <c r="K101" s="11">
        <f t="shared" si="4"/>
        <v>26400</v>
      </c>
      <c r="L101" s="11">
        <f t="shared" si="5"/>
        <v>16336</v>
      </c>
      <c r="M101" s="11">
        <f t="shared" si="6"/>
        <v>59364</v>
      </c>
      <c r="N101" s="10">
        <f t="shared" si="7"/>
        <v>0.58142997061704216</v>
      </c>
    </row>
    <row r="102" spans="1:14" x14ac:dyDescent="0.3">
      <c r="A102" s="9" t="s">
        <v>154</v>
      </c>
      <c r="B102" s="9" t="s">
        <v>134</v>
      </c>
      <c r="C102" s="9" t="s">
        <v>36</v>
      </c>
      <c r="D102" s="9" t="s">
        <v>20</v>
      </c>
      <c r="E102" s="9">
        <v>3</v>
      </c>
      <c r="F102" s="11">
        <v>168500</v>
      </c>
      <c r="G102" s="9" t="str">
        <f>INDEX(Products!$B$2:$B$9,MATCH(D102,Products!$A$2:$A$9,0))</f>
        <v>Trà cà leo gai giảm cân</v>
      </c>
      <c r="H102" s="9" t="str">
        <f>INDEX(Products!$C$2:$C$9,MATCH(D102,Products!$A$2:$A$9,0))</f>
        <v>Detox</v>
      </c>
      <c r="I102" s="11">
        <f>INDEX(Products!$D$2:$D$9,MATCH(D102,Products!$A$2:$A$9,0))</f>
        <v>15000</v>
      </c>
      <c r="J102" s="10">
        <f>IFERROR(INDEX(PlatformFees!$C$2:$C$5,MATCH(C102,PlatformFees!$A$2:$A$5,0)),0)</f>
        <v>0.13</v>
      </c>
      <c r="K102" s="11">
        <f t="shared" si="4"/>
        <v>45000</v>
      </c>
      <c r="L102" s="11">
        <f t="shared" si="5"/>
        <v>21905</v>
      </c>
      <c r="M102" s="11">
        <f t="shared" si="6"/>
        <v>101595</v>
      </c>
      <c r="N102" s="10">
        <f t="shared" si="7"/>
        <v>0.60293768545994064</v>
      </c>
    </row>
    <row r="103" spans="1:14" x14ac:dyDescent="0.3">
      <c r="A103" s="9" t="s">
        <v>155</v>
      </c>
      <c r="B103" s="9" t="s">
        <v>156</v>
      </c>
      <c r="C103" s="9" t="s">
        <v>36</v>
      </c>
      <c r="D103" s="9" t="s">
        <v>27</v>
      </c>
      <c r="E103" s="9">
        <v>3</v>
      </c>
      <c r="F103" s="11">
        <v>122300</v>
      </c>
      <c r="G103" s="9" t="str">
        <f>INDEX(Products!$B$2:$B$9,MATCH(D103,Products!$A$2:$A$9,0))</f>
        <v>Trà gừng mật ong</v>
      </c>
      <c r="H103" s="9" t="str">
        <f>INDEX(Products!$C$2:$C$9,MATCH(D103,Products!$A$2:$A$9,0))</f>
        <v>Giữ ấm</v>
      </c>
      <c r="I103" s="11">
        <f>INDEX(Products!$D$2:$D$9,MATCH(D103,Products!$A$2:$A$9,0))</f>
        <v>11000</v>
      </c>
      <c r="J103" s="10">
        <f>IFERROR(INDEX(PlatformFees!$C$2:$C$5,MATCH(C103,PlatformFees!$A$2:$A$5,0)),0)</f>
        <v>0.13</v>
      </c>
      <c r="K103" s="11">
        <f t="shared" si="4"/>
        <v>33000</v>
      </c>
      <c r="L103" s="11">
        <f t="shared" si="5"/>
        <v>15899</v>
      </c>
      <c r="M103" s="11">
        <f t="shared" si="6"/>
        <v>73401</v>
      </c>
      <c r="N103" s="10">
        <f t="shared" si="7"/>
        <v>0.60017170891251026</v>
      </c>
    </row>
    <row r="104" spans="1:14" x14ac:dyDescent="0.3">
      <c r="A104" s="9" t="s">
        <v>157</v>
      </c>
      <c r="B104" s="9" t="s">
        <v>156</v>
      </c>
      <c r="C104" s="9" t="s">
        <v>38</v>
      </c>
      <c r="D104" s="9" t="s">
        <v>22</v>
      </c>
      <c r="E104" s="9">
        <v>1</v>
      </c>
      <c r="F104" s="11">
        <v>36600</v>
      </c>
      <c r="G104" s="9" t="str">
        <f>INDEX(Products!$B$2:$B$9,MATCH(D104,Products!$A$2:$A$9,0))</f>
        <v>Trà hoa cúc an thần</v>
      </c>
      <c r="H104" s="9" t="str">
        <f>INDEX(Products!$C$2:$C$9,MATCH(D104,Products!$A$2:$A$9,0))</f>
        <v>An thần</v>
      </c>
      <c r="I104" s="11">
        <f>INDEX(Products!$D$2:$D$9,MATCH(D104,Products!$A$2:$A$9,0))</f>
        <v>9500</v>
      </c>
      <c r="J104" s="10">
        <f>IFERROR(INDEX(PlatformFees!$C$2:$C$5,MATCH(C104,PlatformFees!$A$2:$A$5,0)),0)</f>
        <v>0.16</v>
      </c>
      <c r="K104" s="11">
        <f t="shared" si="4"/>
        <v>9500</v>
      </c>
      <c r="L104" s="11">
        <f t="shared" si="5"/>
        <v>5856</v>
      </c>
      <c r="M104" s="11">
        <f t="shared" si="6"/>
        <v>21244</v>
      </c>
      <c r="N104" s="10">
        <f t="shared" si="7"/>
        <v>0.58043715846994537</v>
      </c>
    </row>
    <row r="105" spans="1:14" x14ac:dyDescent="0.3">
      <c r="A105" s="9" t="s">
        <v>158</v>
      </c>
      <c r="B105" s="9" t="s">
        <v>156</v>
      </c>
      <c r="C105" s="9" t="s">
        <v>36</v>
      </c>
      <c r="D105" s="9" t="s">
        <v>15</v>
      </c>
      <c r="E105" s="9">
        <v>2</v>
      </c>
      <c r="F105" s="11">
        <v>63600</v>
      </c>
      <c r="G105" s="9" t="str">
        <f>INDEX(Products!$B$2:$B$9,MATCH(D105,Products!$A$2:$A$9,0))</f>
        <v>Trà lá nam sen ổi</v>
      </c>
      <c r="H105" s="9" t="str">
        <f>INDEX(Products!$C$2:$C$9,MATCH(D105,Products!$A$2:$A$9,0))</f>
        <v>Thanh lọc</v>
      </c>
      <c r="I105" s="11">
        <f>INDEX(Products!$D$2:$D$9,MATCH(D105,Products!$A$2:$A$9,0))</f>
        <v>8500</v>
      </c>
      <c r="J105" s="10">
        <f>IFERROR(INDEX(PlatformFees!$C$2:$C$5,MATCH(C105,PlatformFees!$A$2:$A$5,0)),0)</f>
        <v>0.13</v>
      </c>
      <c r="K105" s="11">
        <f t="shared" si="4"/>
        <v>17000</v>
      </c>
      <c r="L105" s="11">
        <f t="shared" si="5"/>
        <v>8268</v>
      </c>
      <c r="M105" s="11">
        <f t="shared" si="6"/>
        <v>38332</v>
      </c>
      <c r="N105" s="10">
        <f t="shared" si="7"/>
        <v>0.60270440251572333</v>
      </c>
    </row>
    <row r="106" spans="1:14" x14ac:dyDescent="0.3">
      <c r="A106" s="9" t="s">
        <v>159</v>
      </c>
      <c r="B106" s="9" t="s">
        <v>156</v>
      </c>
      <c r="C106" s="9" t="s">
        <v>36</v>
      </c>
      <c r="D106" s="9" t="s">
        <v>25</v>
      </c>
      <c r="E106" s="9">
        <v>1</v>
      </c>
      <c r="F106" s="11">
        <v>33600</v>
      </c>
      <c r="G106" s="9" t="str">
        <f>INDEX(Products!$B$2:$B$9,MATCH(D106,Products!$A$2:$A$9,0))</f>
        <v>Trà hoa đậu biếc</v>
      </c>
      <c r="H106" s="9" t="str">
        <f>INDEX(Products!$C$2:$C$9,MATCH(D106,Products!$A$2:$A$9,0))</f>
        <v>An thần</v>
      </c>
      <c r="I106" s="11">
        <f>INDEX(Products!$D$2:$D$9,MATCH(D106,Products!$A$2:$A$9,0))</f>
        <v>8800</v>
      </c>
      <c r="J106" s="10">
        <f>IFERROR(INDEX(PlatformFees!$C$2:$C$5,MATCH(C106,PlatformFees!$A$2:$A$5,0)),0)</f>
        <v>0.13</v>
      </c>
      <c r="K106" s="11">
        <f t="shared" si="4"/>
        <v>8800</v>
      </c>
      <c r="L106" s="11">
        <f t="shared" si="5"/>
        <v>4368</v>
      </c>
      <c r="M106" s="11">
        <f t="shared" si="6"/>
        <v>20432</v>
      </c>
      <c r="N106" s="10">
        <f t="shared" si="7"/>
        <v>0.60809523809523813</v>
      </c>
    </row>
    <row r="107" spans="1:14" x14ac:dyDescent="0.3">
      <c r="A107" s="9" t="s">
        <v>160</v>
      </c>
      <c r="B107" s="9" t="s">
        <v>156</v>
      </c>
      <c r="C107" s="9" t="s">
        <v>36</v>
      </c>
      <c r="D107" s="9" t="s">
        <v>20</v>
      </c>
      <c r="E107" s="9">
        <v>1</v>
      </c>
      <c r="F107" s="11">
        <v>52400</v>
      </c>
      <c r="G107" s="9" t="str">
        <f>INDEX(Products!$B$2:$B$9,MATCH(D107,Products!$A$2:$A$9,0))</f>
        <v>Trà cà leo gai giảm cân</v>
      </c>
      <c r="H107" s="9" t="str">
        <f>INDEX(Products!$C$2:$C$9,MATCH(D107,Products!$A$2:$A$9,0))</f>
        <v>Detox</v>
      </c>
      <c r="I107" s="11">
        <f>INDEX(Products!$D$2:$D$9,MATCH(D107,Products!$A$2:$A$9,0))</f>
        <v>15000</v>
      </c>
      <c r="J107" s="10">
        <f>IFERROR(INDEX(PlatformFees!$C$2:$C$5,MATCH(C107,PlatformFees!$A$2:$A$5,0)),0)</f>
        <v>0.13</v>
      </c>
      <c r="K107" s="11">
        <f t="shared" si="4"/>
        <v>15000</v>
      </c>
      <c r="L107" s="11">
        <f t="shared" si="5"/>
        <v>6812</v>
      </c>
      <c r="M107" s="11">
        <f t="shared" si="6"/>
        <v>30588</v>
      </c>
      <c r="N107" s="10">
        <f t="shared" si="7"/>
        <v>0.58374045801526719</v>
      </c>
    </row>
    <row r="108" spans="1:14" x14ac:dyDescent="0.3">
      <c r="A108" s="9" t="s">
        <v>161</v>
      </c>
      <c r="B108" s="9" t="s">
        <v>156</v>
      </c>
      <c r="C108" s="9" t="s">
        <v>36</v>
      </c>
      <c r="D108" s="9" t="s">
        <v>25</v>
      </c>
      <c r="E108" s="9">
        <v>2</v>
      </c>
      <c r="F108" s="11">
        <v>67500</v>
      </c>
      <c r="G108" s="9" t="str">
        <f>INDEX(Products!$B$2:$B$9,MATCH(D108,Products!$A$2:$A$9,0))</f>
        <v>Trà hoa đậu biếc</v>
      </c>
      <c r="H108" s="9" t="str">
        <f>INDEX(Products!$C$2:$C$9,MATCH(D108,Products!$A$2:$A$9,0))</f>
        <v>An thần</v>
      </c>
      <c r="I108" s="11">
        <f>INDEX(Products!$D$2:$D$9,MATCH(D108,Products!$A$2:$A$9,0))</f>
        <v>8800</v>
      </c>
      <c r="J108" s="10">
        <f>IFERROR(INDEX(PlatformFees!$C$2:$C$5,MATCH(C108,PlatformFees!$A$2:$A$5,0)),0)</f>
        <v>0.13</v>
      </c>
      <c r="K108" s="11">
        <f t="shared" si="4"/>
        <v>17600</v>
      </c>
      <c r="L108" s="11">
        <f t="shared" si="5"/>
        <v>8775</v>
      </c>
      <c r="M108" s="11">
        <f t="shared" si="6"/>
        <v>41125</v>
      </c>
      <c r="N108" s="10">
        <f t="shared" si="7"/>
        <v>0.60925925925925928</v>
      </c>
    </row>
    <row r="109" spans="1:14" x14ac:dyDescent="0.3">
      <c r="A109" s="9" t="s">
        <v>162</v>
      </c>
      <c r="B109" s="9" t="s">
        <v>156</v>
      </c>
      <c r="C109" s="9" t="s">
        <v>38</v>
      </c>
      <c r="D109" s="9" t="s">
        <v>20</v>
      </c>
      <c r="E109" s="9">
        <v>1</v>
      </c>
      <c r="F109" s="11">
        <v>53700</v>
      </c>
      <c r="G109" s="9" t="str">
        <f>INDEX(Products!$B$2:$B$9,MATCH(D109,Products!$A$2:$A$9,0))</f>
        <v>Trà cà leo gai giảm cân</v>
      </c>
      <c r="H109" s="9" t="str">
        <f>INDEX(Products!$C$2:$C$9,MATCH(D109,Products!$A$2:$A$9,0))</f>
        <v>Detox</v>
      </c>
      <c r="I109" s="11">
        <f>INDEX(Products!$D$2:$D$9,MATCH(D109,Products!$A$2:$A$9,0))</f>
        <v>15000</v>
      </c>
      <c r="J109" s="10">
        <f>IFERROR(INDEX(PlatformFees!$C$2:$C$5,MATCH(C109,PlatformFees!$A$2:$A$5,0)),0)</f>
        <v>0.16</v>
      </c>
      <c r="K109" s="11">
        <f t="shared" si="4"/>
        <v>15000</v>
      </c>
      <c r="L109" s="11">
        <f t="shared" si="5"/>
        <v>8592</v>
      </c>
      <c r="M109" s="11">
        <f t="shared" si="6"/>
        <v>30108</v>
      </c>
      <c r="N109" s="10">
        <f t="shared" si="7"/>
        <v>0.56067039106145256</v>
      </c>
    </row>
    <row r="110" spans="1:14" x14ac:dyDescent="0.3">
      <c r="A110" s="9" t="s">
        <v>163</v>
      </c>
      <c r="B110" s="9" t="s">
        <v>156</v>
      </c>
      <c r="C110" s="9" t="s">
        <v>39</v>
      </c>
      <c r="D110" s="9" t="s">
        <v>30</v>
      </c>
      <c r="E110" s="9">
        <v>3</v>
      </c>
      <c r="F110" s="11">
        <v>101400</v>
      </c>
      <c r="G110" s="9" t="str">
        <f>INDEX(Products!$B$2:$B$9,MATCH(D110,Products!$A$2:$A$9,0))</f>
        <v>Trà mâm xôi vitamin</v>
      </c>
      <c r="H110" s="9" t="str">
        <f>INDEX(Products!$C$2:$C$9,MATCH(D110,Products!$A$2:$A$9,0))</f>
        <v>Bổ sung dưỡng chất</v>
      </c>
      <c r="I110" s="11">
        <f>INDEX(Products!$D$2:$D$9,MATCH(D110,Products!$A$2:$A$9,0))</f>
        <v>9800</v>
      </c>
      <c r="J110" s="10">
        <f>IFERROR(INDEX(PlatformFees!$C$2:$C$5,MATCH(C110,PlatformFees!$A$2:$A$5,0)),0)</f>
        <v>0</v>
      </c>
      <c r="K110" s="11">
        <f t="shared" si="4"/>
        <v>29400</v>
      </c>
      <c r="L110" s="11">
        <f t="shared" si="5"/>
        <v>0</v>
      </c>
      <c r="M110" s="11">
        <f t="shared" si="6"/>
        <v>72000</v>
      </c>
      <c r="N110" s="10">
        <f t="shared" si="7"/>
        <v>0.7100591715976331</v>
      </c>
    </row>
    <row r="111" spans="1:14" x14ac:dyDescent="0.3">
      <c r="A111" s="9" t="s">
        <v>164</v>
      </c>
      <c r="B111" s="9" t="s">
        <v>156</v>
      </c>
      <c r="C111" s="9" t="s">
        <v>36</v>
      </c>
      <c r="D111" s="9" t="s">
        <v>20</v>
      </c>
      <c r="E111" s="9">
        <v>3</v>
      </c>
      <c r="F111" s="11">
        <v>163000</v>
      </c>
      <c r="G111" s="9" t="str">
        <f>INDEX(Products!$B$2:$B$9,MATCH(D111,Products!$A$2:$A$9,0))</f>
        <v>Trà cà leo gai giảm cân</v>
      </c>
      <c r="H111" s="9" t="str">
        <f>INDEX(Products!$C$2:$C$9,MATCH(D111,Products!$A$2:$A$9,0))</f>
        <v>Detox</v>
      </c>
      <c r="I111" s="11">
        <f>INDEX(Products!$D$2:$D$9,MATCH(D111,Products!$A$2:$A$9,0))</f>
        <v>15000</v>
      </c>
      <c r="J111" s="10">
        <f>IFERROR(INDEX(PlatformFees!$C$2:$C$5,MATCH(C111,PlatformFees!$A$2:$A$5,0)),0)</f>
        <v>0.13</v>
      </c>
      <c r="K111" s="11">
        <f t="shared" si="4"/>
        <v>45000</v>
      </c>
      <c r="L111" s="11">
        <f t="shared" si="5"/>
        <v>21190</v>
      </c>
      <c r="M111" s="11">
        <f t="shared" si="6"/>
        <v>96810</v>
      </c>
      <c r="N111" s="10">
        <f t="shared" si="7"/>
        <v>0.59392638036809819</v>
      </c>
    </row>
    <row r="112" spans="1:14" x14ac:dyDescent="0.3">
      <c r="A112" s="9" t="s">
        <v>165</v>
      </c>
      <c r="B112" s="9" t="s">
        <v>156</v>
      </c>
      <c r="C112" s="9" t="s">
        <v>36</v>
      </c>
      <c r="D112" s="9" t="s">
        <v>30</v>
      </c>
      <c r="E112" s="9">
        <v>1</v>
      </c>
      <c r="F112" s="11">
        <v>35800</v>
      </c>
      <c r="G112" s="9" t="str">
        <f>INDEX(Products!$B$2:$B$9,MATCH(D112,Products!$A$2:$A$9,0))</f>
        <v>Trà mâm xôi vitamin</v>
      </c>
      <c r="H112" s="9" t="str">
        <f>INDEX(Products!$C$2:$C$9,MATCH(D112,Products!$A$2:$A$9,0))</f>
        <v>Bổ sung dưỡng chất</v>
      </c>
      <c r="I112" s="11">
        <f>INDEX(Products!$D$2:$D$9,MATCH(D112,Products!$A$2:$A$9,0))</f>
        <v>9800</v>
      </c>
      <c r="J112" s="10">
        <f>IFERROR(INDEX(PlatformFees!$C$2:$C$5,MATCH(C112,PlatformFees!$A$2:$A$5,0)),0)</f>
        <v>0.13</v>
      </c>
      <c r="K112" s="11">
        <f t="shared" si="4"/>
        <v>9800</v>
      </c>
      <c r="L112" s="11">
        <f t="shared" si="5"/>
        <v>4654</v>
      </c>
      <c r="M112" s="11">
        <f t="shared" si="6"/>
        <v>21346</v>
      </c>
      <c r="N112" s="10">
        <f t="shared" si="7"/>
        <v>0.59625698324022347</v>
      </c>
    </row>
    <row r="113" spans="1:14" x14ac:dyDescent="0.3">
      <c r="A113" s="9" t="s">
        <v>166</v>
      </c>
      <c r="B113" s="9" t="s">
        <v>156</v>
      </c>
      <c r="C113" s="9" t="s">
        <v>36</v>
      </c>
      <c r="D113" s="9" t="s">
        <v>15</v>
      </c>
      <c r="E113" s="9">
        <v>1</v>
      </c>
      <c r="F113" s="11">
        <v>29600</v>
      </c>
      <c r="G113" s="9" t="str">
        <f>INDEX(Products!$B$2:$B$9,MATCH(D113,Products!$A$2:$A$9,0))</f>
        <v>Trà lá nam sen ổi</v>
      </c>
      <c r="H113" s="9" t="str">
        <f>INDEX(Products!$C$2:$C$9,MATCH(D113,Products!$A$2:$A$9,0))</f>
        <v>Thanh lọc</v>
      </c>
      <c r="I113" s="11">
        <f>INDEX(Products!$D$2:$D$9,MATCH(D113,Products!$A$2:$A$9,0))</f>
        <v>8500</v>
      </c>
      <c r="J113" s="10">
        <f>IFERROR(INDEX(PlatformFees!$C$2:$C$5,MATCH(C113,PlatformFees!$A$2:$A$5,0)),0)</f>
        <v>0.13</v>
      </c>
      <c r="K113" s="11">
        <f t="shared" si="4"/>
        <v>8500</v>
      </c>
      <c r="L113" s="11">
        <f t="shared" si="5"/>
        <v>3848</v>
      </c>
      <c r="M113" s="11">
        <f t="shared" si="6"/>
        <v>17252</v>
      </c>
      <c r="N113" s="10">
        <f t="shared" si="7"/>
        <v>0.58283783783783782</v>
      </c>
    </row>
    <row r="114" spans="1:14" x14ac:dyDescent="0.3">
      <c r="A114" s="9" t="s">
        <v>167</v>
      </c>
      <c r="B114" s="9" t="s">
        <v>156</v>
      </c>
      <c r="C114" s="9" t="s">
        <v>40</v>
      </c>
      <c r="D114" s="9" t="s">
        <v>25</v>
      </c>
      <c r="E114" s="9">
        <v>1</v>
      </c>
      <c r="F114" s="11">
        <v>33000</v>
      </c>
      <c r="G114" s="9" t="str">
        <f>INDEX(Products!$B$2:$B$9,MATCH(D114,Products!$A$2:$A$9,0))</f>
        <v>Trà hoa đậu biếc</v>
      </c>
      <c r="H114" s="9" t="str">
        <f>INDEX(Products!$C$2:$C$9,MATCH(D114,Products!$A$2:$A$9,0))</f>
        <v>An thần</v>
      </c>
      <c r="I114" s="11">
        <f>INDEX(Products!$D$2:$D$9,MATCH(D114,Products!$A$2:$A$9,0))</f>
        <v>8800</v>
      </c>
      <c r="J114" s="10">
        <f>IFERROR(INDEX(PlatformFees!$C$2:$C$5,MATCH(C114,PlatformFees!$A$2:$A$5,0)),0)</f>
        <v>0</v>
      </c>
      <c r="K114" s="11">
        <f t="shared" si="4"/>
        <v>8800</v>
      </c>
      <c r="L114" s="11">
        <f t="shared" si="5"/>
        <v>0</v>
      </c>
      <c r="M114" s="11">
        <f t="shared" si="6"/>
        <v>24200</v>
      </c>
      <c r="N114" s="10">
        <f t="shared" si="7"/>
        <v>0.73333333333333328</v>
      </c>
    </row>
    <row r="115" spans="1:14" x14ac:dyDescent="0.3">
      <c r="A115" s="9" t="s">
        <v>168</v>
      </c>
      <c r="B115" s="9" t="s">
        <v>156</v>
      </c>
      <c r="C115" s="9" t="s">
        <v>39</v>
      </c>
      <c r="D115" s="9" t="s">
        <v>25</v>
      </c>
      <c r="E115" s="9">
        <v>3</v>
      </c>
      <c r="F115" s="11">
        <v>101700</v>
      </c>
      <c r="G115" s="9" t="str">
        <f>INDEX(Products!$B$2:$B$9,MATCH(D115,Products!$A$2:$A$9,0))</f>
        <v>Trà hoa đậu biếc</v>
      </c>
      <c r="H115" s="9" t="str">
        <f>INDEX(Products!$C$2:$C$9,MATCH(D115,Products!$A$2:$A$9,0))</f>
        <v>An thần</v>
      </c>
      <c r="I115" s="11">
        <f>INDEX(Products!$D$2:$D$9,MATCH(D115,Products!$A$2:$A$9,0))</f>
        <v>8800</v>
      </c>
      <c r="J115" s="10">
        <f>IFERROR(INDEX(PlatformFees!$C$2:$C$5,MATCH(C115,PlatformFees!$A$2:$A$5,0)),0)</f>
        <v>0</v>
      </c>
      <c r="K115" s="11">
        <f t="shared" si="4"/>
        <v>26400</v>
      </c>
      <c r="L115" s="11">
        <f t="shared" si="5"/>
        <v>0</v>
      </c>
      <c r="M115" s="11">
        <f t="shared" si="6"/>
        <v>75300</v>
      </c>
      <c r="N115" s="10">
        <f t="shared" si="7"/>
        <v>0.74041297935103245</v>
      </c>
    </row>
    <row r="116" spans="1:14" x14ac:dyDescent="0.3">
      <c r="A116" s="9" t="s">
        <v>169</v>
      </c>
      <c r="B116" s="9" t="s">
        <v>156</v>
      </c>
      <c r="C116" s="9" t="s">
        <v>38</v>
      </c>
      <c r="D116" s="9" t="s">
        <v>17</v>
      </c>
      <c r="E116" s="9">
        <v>3</v>
      </c>
      <c r="F116" s="11">
        <v>125500</v>
      </c>
      <c r="G116" s="9" t="str">
        <f>INDEX(Products!$B$2:$B$9,MATCH(D116,Products!$A$2:$A$9,0))</f>
        <v>Trà diếp cá rau má</v>
      </c>
      <c r="H116" s="9" t="str">
        <f>INDEX(Products!$C$2:$C$9,MATCH(D116,Products!$A$2:$A$9,0))</f>
        <v>Detox</v>
      </c>
      <c r="I116" s="11">
        <f>INDEX(Products!$D$2:$D$9,MATCH(D116,Products!$A$2:$A$9,0))</f>
        <v>10500</v>
      </c>
      <c r="J116" s="10">
        <f>IFERROR(INDEX(PlatformFees!$C$2:$C$5,MATCH(C116,PlatformFees!$A$2:$A$5,0)),0)</f>
        <v>0.16</v>
      </c>
      <c r="K116" s="11">
        <f t="shared" si="4"/>
        <v>31500</v>
      </c>
      <c r="L116" s="11">
        <f t="shared" si="5"/>
        <v>20080</v>
      </c>
      <c r="M116" s="11">
        <f t="shared" si="6"/>
        <v>73920</v>
      </c>
      <c r="N116" s="10">
        <f t="shared" si="7"/>
        <v>0.58900398406374499</v>
      </c>
    </row>
    <row r="117" spans="1:14" x14ac:dyDescent="0.3">
      <c r="A117" s="9" t="s">
        <v>170</v>
      </c>
      <c r="B117" s="9" t="s">
        <v>156</v>
      </c>
      <c r="C117" s="9" t="s">
        <v>39</v>
      </c>
      <c r="D117" s="9" t="s">
        <v>30</v>
      </c>
      <c r="E117" s="9">
        <v>1</v>
      </c>
      <c r="F117" s="11">
        <v>36200</v>
      </c>
      <c r="G117" s="9" t="str">
        <f>INDEX(Products!$B$2:$B$9,MATCH(D117,Products!$A$2:$A$9,0))</f>
        <v>Trà mâm xôi vitamin</v>
      </c>
      <c r="H117" s="9" t="str">
        <f>INDEX(Products!$C$2:$C$9,MATCH(D117,Products!$A$2:$A$9,0))</f>
        <v>Bổ sung dưỡng chất</v>
      </c>
      <c r="I117" s="11">
        <f>INDEX(Products!$D$2:$D$9,MATCH(D117,Products!$A$2:$A$9,0))</f>
        <v>9800</v>
      </c>
      <c r="J117" s="10">
        <f>IFERROR(INDEX(PlatformFees!$C$2:$C$5,MATCH(C117,PlatformFees!$A$2:$A$5,0)),0)</f>
        <v>0</v>
      </c>
      <c r="K117" s="11">
        <f t="shared" si="4"/>
        <v>9800</v>
      </c>
      <c r="L117" s="11">
        <f t="shared" si="5"/>
        <v>0</v>
      </c>
      <c r="M117" s="11">
        <f t="shared" si="6"/>
        <v>26400</v>
      </c>
      <c r="N117" s="10">
        <f t="shared" si="7"/>
        <v>0.72928176795580113</v>
      </c>
    </row>
    <row r="118" spans="1:14" x14ac:dyDescent="0.3">
      <c r="A118" s="9" t="s">
        <v>171</v>
      </c>
      <c r="B118" s="9" t="s">
        <v>156</v>
      </c>
      <c r="C118" s="9" t="s">
        <v>36</v>
      </c>
      <c r="D118" s="9" t="s">
        <v>27</v>
      </c>
      <c r="E118" s="9">
        <v>3</v>
      </c>
      <c r="F118" s="11">
        <v>117200</v>
      </c>
      <c r="G118" s="9" t="str">
        <f>INDEX(Products!$B$2:$B$9,MATCH(D118,Products!$A$2:$A$9,0))</f>
        <v>Trà gừng mật ong</v>
      </c>
      <c r="H118" s="9" t="str">
        <f>INDEX(Products!$C$2:$C$9,MATCH(D118,Products!$A$2:$A$9,0))</f>
        <v>Giữ ấm</v>
      </c>
      <c r="I118" s="11">
        <f>INDEX(Products!$D$2:$D$9,MATCH(D118,Products!$A$2:$A$9,0))</f>
        <v>11000</v>
      </c>
      <c r="J118" s="10">
        <f>IFERROR(INDEX(PlatformFees!$C$2:$C$5,MATCH(C118,PlatformFees!$A$2:$A$5,0)),0)</f>
        <v>0.13</v>
      </c>
      <c r="K118" s="11">
        <f t="shared" si="4"/>
        <v>33000</v>
      </c>
      <c r="L118" s="11">
        <f t="shared" si="5"/>
        <v>15236</v>
      </c>
      <c r="M118" s="11">
        <f t="shared" si="6"/>
        <v>68964</v>
      </c>
      <c r="N118" s="10">
        <f t="shared" si="7"/>
        <v>0.58843003412969286</v>
      </c>
    </row>
    <row r="119" spans="1:14" x14ac:dyDescent="0.3">
      <c r="A119" s="9" t="s">
        <v>172</v>
      </c>
      <c r="B119" s="9" t="s">
        <v>156</v>
      </c>
      <c r="C119" s="9" t="s">
        <v>36</v>
      </c>
      <c r="D119" s="9" t="s">
        <v>17</v>
      </c>
      <c r="E119" s="9">
        <v>1</v>
      </c>
      <c r="F119" s="11">
        <v>40700</v>
      </c>
      <c r="G119" s="9" t="str">
        <f>INDEX(Products!$B$2:$B$9,MATCH(D119,Products!$A$2:$A$9,0))</f>
        <v>Trà diếp cá rau má</v>
      </c>
      <c r="H119" s="9" t="str">
        <f>INDEX(Products!$C$2:$C$9,MATCH(D119,Products!$A$2:$A$9,0))</f>
        <v>Detox</v>
      </c>
      <c r="I119" s="11">
        <f>INDEX(Products!$D$2:$D$9,MATCH(D119,Products!$A$2:$A$9,0))</f>
        <v>10500</v>
      </c>
      <c r="J119" s="10">
        <f>IFERROR(INDEX(PlatformFees!$C$2:$C$5,MATCH(C119,PlatformFees!$A$2:$A$5,0)),0)</f>
        <v>0.13</v>
      </c>
      <c r="K119" s="11">
        <f t="shared" si="4"/>
        <v>10500</v>
      </c>
      <c r="L119" s="11">
        <f t="shared" si="5"/>
        <v>5291</v>
      </c>
      <c r="M119" s="11">
        <f t="shared" si="6"/>
        <v>24909</v>
      </c>
      <c r="N119" s="10">
        <f t="shared" si="7"/>
        <v>0.61201474201474204</v>
      </c>
    </row>
    <row r="120" spans="1:14" x14ac:dyDescent="0.3">
      <c r="A120" s="9" t="s">
        <v>173</v>
      </c>
      <c r="B120" s="9" t="s">
        <v>156</v>
      </c>
      <c r="C120" s="9" t="s">
        <v>39</v>
      </c>
      <c r="D120" s="9" t="s">
        <v>25</v>
      </c>
      <c r="E120" s="9">
        <v>2</v>
      </c>
      <c r="F120" s="11">
        <v>67000</v>
      </c>
      <c r="G120" s="9" t="str">
        <f>INDEX(Products!$B$2:$B$9,MATCH(D120,Products!$A$2:$A$9,0))</f>
        <v>Trà hoa đậu biếc</v>
      </c>
      <c r="H120" s="9" t="str">
        <f>INDEX(Products!$C$2:$C$9,MATCH(D120,Products!$A$2:$A$9,0))</f>
        <v>An thần</v>
      </c>
      <c r="I120" s="11">
        <f>INDEX(Products!$D$2:$D$9,MATCH(D120,Products!$A$2:$A$9,0))</f>
        <v>8800</v>
      </c>
      <c r="J120" s="10">
        <f>IFERROR(INDEX(PlatformFees!$C$2:$C$5,MATCH(C120,PlatformFees!$A$2:$A$5,0)),0)</f>
        <v>0</v>
      </c>
      <c r="K120" s="11">
        <f t="shared" si="4"/>
        <v>17600</v>
      </c>
      <c r="L120" s="11">
        <f t="shared" si="5"/>
        <v>0</v>
      </c>
      <c r="M120" s="11">
        <f t="shared" si="6"/>
        <v>49400</v>
      </c>
      <c r="N120" s="10">
        <f t="shared" si="7"/>
        <v>0.73731343283582085</v>
      </c>
    </row>
    <row r="121" spans="1:14" x14ac:dyDescent="0.3">
      <c r="A121" s="9" t="s">
        <v>174</v>
      </c>
      <c r="B121" s="9" t="s">
        <v>156</v>
      </c>
      <c r="C121" s="9" t="s">
        <v>40</v>
      </c>
      <c r="D121" s="9" t="s">
        <v>30</v>
      </c>
      <c r="E121" s="9">
        <v>2</v>
      </c>
      <c r="F121" s="11">
        <v>72700</v>
      </c>
      <c r="G121" s="9" t="str">
        <f>INDEX(Products!$B$2:$B$9,MATCH(D121,Products!$A$2:$A$9,0))</f>
        <v>Trà mâm xôi vitamin</v>
      </c>
      <c r="H121" s="9" t="str">
        <f>INDEX(Products!$C$2:$C$9,MATCH(D121,Products!$A$2:$A$9,0))</f>
        <v>Bổ sung dưỡng chất</v>
      </c>
      <c r="I121" s="11">
        <f>INDEX(Products!$D$2:$D$9,MATCH(D121,Products!$A$2:$A$9,0))</f>
        <v>9800</v>
      </c>
      <c r="J121" s="10">
        <f>IFERROR(INDEX(PlatformFees!$C$2:$C$5,MATCH(C121,PlatformFees!$A$2:$A$5,0)),0)</f>
        <v>0</v>
      </c>
      <c r="K121" s="11">
        <f t="shared" si="4"/>
        <v>19600</v>
      </c>
      <c r="L121" s="11">
        <f t="shared" si="5"/>
        <v>0</v>
      </c>
      <c r="M121" s="11">
        <f t="shared" si="6"/>
        <v>53100</v>
      </c>
      <c r="N121" s="10">
        <f t="shared" si="7"/>
        <v>0.73039889958734527</v>
      </c>
    </row>
    <row r="122" spans="1:14" x14ac:dyDescent="0.3">
      <c r="A122" s="9" t="s">
        <v>175</v>
      </c>
      <c r="B122" s="9" t="s">
        <v>156</v>
      </c>
      <c r="C122" s="9" t="s">
        <v>39</v>
      </c>
      <c r="D122" s="9" t="s">
        <v>20</v>
      </c>
      <c r="E122" s="9">
        <v>2</v>
      </c>
      <c r="F122" s="11">
        <v>106600</v>
      </c>
      <c r="G122" s="9" t="str">
        <f>INDEX(Products!$B$2:$B$9,MATCH(D122,Products!$A$2:$A$9,0))</f>
        <v>Trà cà leo gai giảm cân</v>
      </c>
      <c r="H122" s="9" t="str">
        <f>INDEX(Products!$C$2:$C$9,MATCH(D122,Products!$A$2:$A$9,0))</f>
        <v>Detox</v>
      </c>
      <c r="I122" s="11">
        <f>INDEX(Products!$D$2:$D$9,MATCH(D122,Products!$A$2:$A$9,0))</f>
        <v>15000</v>
      </c>
      <c r="J122" s="10">
        <f>IFERROR(INDEX(PlatformFees!$C$2:$C$5,MATCH(C122,PlatformFees!$A$2:$A$5,0)),0)</f>
        <v>0</v>
      </c>
      <c r="K122" s="11">
        <f t="shared" si="4"/>
        <v>30000</v>
      </c>
      <c r="L122" s="11">
        <f t="shared" si="5"/>
        <v>0</v>
      </c>
      <c r="M122" s="11">
        <f t="shared" si="6"/>
        <v>76600</v>
      </c>
      <c r="N122" s="10">
        <f t="shared" si="7"/>
        <v>0.7185741088180112</v>
      </c>
    </row>
    <row r="123" spans="1:14" x14ac:dyDescent="0.3">
      <c r="A123" s="9" t="s">
        <v>176</v>
      </c>
      <c r="B123" s="9" t="s">
        <v>156</v>
      </c>
      <c r="C123" s="9" t="s">
        <v>36</v>
      </c>
      <c r="D123" s="9" t="s">
        <v>27</v>
      </c>
      <c r="E123" s="9">
        <v>2</v>
      </c>
      <c r="F123" s="11">
        <v>75900</v>
      </c>
      <c r="G123" s="9" t="str">
        <f>INDEX(Products!$B$2:$B$9,MATCH(D123,Products!$A$2:$A$9,0))</f>
        <v>Trà gừng mật ong</v>
      </c>
      <c r="H123" s="9" t="str">
        <f>INDEX(Products!$C$2:$C$9,MATCH(D123,Products!$A$2:$A$9,0))</f>
        <v>Giữ ấm</v>
      </c>
      <c r="I123" s="11">
        <f>INDEX(Products!$D$2:$D$9,MATCH(D123,Products!$A$2:$A$9,0))</f>
        <v>11000</v>
      </c>
      <c r="J123" s="10">
        <f>IFERROR(INDEX(PlatformFees!$C$2:$C$5,MATCH(C123,PlatformFees!$A$2:$A$5,0)),0)</f>
        <v>0.13</v>
      </c>
      <c r="K123" s="11">
        <f t="shared" si="4"/>
        <v>22000</v>
      </c>
      <c r="L123" s="11">
        <f t="shared" si="5"/>
        <v>9867</v>
      </c>
      <c r="M123" s="11">
        <f t="shared" si="6"/>
        <v>44033</v>
      </c>
      <c r="N123" s="10">
        <f t="shared" si="7"/>
        <v>0.58014492753623192</v>
      </c>
    </row>
    <row r="124" spans="1:14" x14ac:dyDescent="0.3">
      <c r="A124" s="9" t="s">
        <v>177</v>
      </c>
      <c r="B124" s="9" t="s">
        <v>156</v>
      </c>
      <c r="C124" s="9" t="s">
        <v>36</v>
      </c>
      <c r="D124" s="9" t="s">
        <v>22</v>
      </c>
      <c r="E124" s="9">
        <v>2</v>
      </c>
      <c r="F124" s="11">
        <v>74000</v>
      </c>
      <c r="G124" s="9" t="str">
        <f>INDEX(Products!$B$2:$B$9,MATCH(D124,Products!$A$2:$A$9,0))</f>
        <v>Trà hoa cúc an thần</v>
      </c>
      <c r="H124" s="9" t="str">
        <f>INDEX(Products!$C$2:$C$9,MATCH(D124,Products!$A$2:$A$9,0))</f>
        <v>An thần</v>
      </c>
      <c r="I124" s="11">
        <f>INDEX(Products!$D$2:$D$9,MATCH(D124,Products!$A$2:$A$9,0))</f>
        <v>9500</v>
      </c>
      <c r="J124" s="10">
        <f>IFERROR(INDEX(PlatformFees!$C$2:$C$5,MATCH(C124,PlatformFees!$A$2:$A$5,0)),0)</f>
        <v>0.13</v>
      </c>
      <c r="K124" s="11">
        <f t="shared" si="4"/>
        <v>19000</v>
      </c>
      <c r="L124" s="11">
        <f t="shared" si="5"/>
        <v>9620</v>
      </c>
      <c r="M124" s="11">
        <f t="shared" si="6"/>
        <v>45380</v>
      </c>
      <c r="N124" s="10">
        <f t="shared" si="7"/>
        <v>0.6132432432432432</v>
      </c>
    </row>
    <row r="125" spans="1:14" x14ac:dyDescent="0.3">
      <c r="A125" s="9" t="s">
        <v>178</v>
      </c>
      <c r="B125" s="9" t="s">
        <v>156</v>
      </c>
      <c r="C125" s="9" t="s">
        <v>36</v>
      </c>
      <c r="D125" s="9" t="s">
        <v>20</v>
      </c>
      <c r="E125" s="9">
        <v>3</v>
      </c>
      <c r="F125" s="11">
        <v>157000</v>
      </c>
      <c r="G125" s="9" t="str">
        <f>INDEX(Products!$B$2:$B$9,MATCH(D125,Products!$A$2:$A$9,0))</f>
        <v>Trà cà leo gai giảm cân</v>
      </c>
      <c r="H125" s="9" t="str">
        <f>INDEX(Products!$C$2:$C$9,MATCH(D125,Products!$A$2:$A$9,0))</f>
        <v>Detox</v>
      </c>
      <c r="I125" s="11">
        <f>INDEX(Products!$D$2:$D$9,MATCH(D125,Products!$A$2:$A$9,0))</f>
        <v>15000</v>
      </c>
      <c r="J125" s="10">
        <f>IFERROR(INDEX(PlatformFees!$C$2:$C$5,MATCH(C125,PlatformFees!$A$2:$A$5,0)),0)</f>
        <v>0.13</v>
      </c>
      <c r="K125" s="11">
        <f t="shared" si="4"/>
        <v>45000</v>
      </c>
      <c r="L125" s="11">
        <f t="shared" si="5"/>
        <v>20410</v>
      </c>
      <c r="M125" s="11">
        <f t="shared" si="6"/>
        <v>91590</v>
      </c>
      <c r="N125" s="10">
        <f t="shared" si="7"/>
        <v>0.5833757961783439</v>
      </c>
    </row>
    <row r="126" spans="1:14" x14ac:dyDescent="0.3">
      <c r="A126" s="9" t="s">
        <v>179</v>
      </c>
      <c r="B126" s="9" t="s">
        <v>156</v>
      </c>
      <c r="C126" s="9" t="s">
        <v>36</v>
      </c>
      <c r="D126" s="9" t="s">
        <v>17</v>
      </c>
      <c r="E126" s="9">
        <v>2</v>
      </c>
      <c r="F126" s="11">
        <v>78000</v>
      </c>
      <c r="G126" s="9" t="str">
        <f>INDEX(Products!$B$2:$B$9,MATCH(D126,Products!$A$2:$A$9,0))</f>
        <v>Trà diếp cá rau má</v>
      </c>
      <c r="H126" s="9" t="str">
        <f>INDEX(Products!$C$2:$C$9,MATCH(D126,Products!$A$2:$A$9,0))</f>
        <v>Detox</v>
      </c>
      <c r="I126" s="11">
        <f>INDEX(Products!$D$2:$D$9,MATCH(D126,Products!$A$2:$A$9,0))</f>
        <v>10500</v>
      </c>
      <c r="J126" s="10">
        <f>IFERROR(INDEX(PlatformFees!$C$2:$C$5,MATCH(C126,PlatformFees!$A$2:$A$5,0)),0)</f>
        <v>0.13</v>
      </c>
      <c r="K126" s="11">
        <f t="shared" si="4"/>
        <v>21000</v>
      </c>
      <c r="L126" s="11">
        <f t="shared" si="5"/>
        <v>10140</v>
      </c>
      <c r="M126" s="11">
        <f t="shared" si="6"/>
        <v>46860</v>
      </c>
      <c r="N126" s="10">
        <f t="shared" si="7"/>
        <v>0.60076923076923072</v>
      </c>
    </row>
    <row r="127" spans="1:14" x14ac:dyDescent="0.3">
      <c r="A127" s="9" t="s">
        <v>180</v>
      </c>
      <c r="B127" s="9" t="s">
        <v>181</v>
      </c>
      <c r="C127" s="9" t="s">
        <v>36</v>
      </c>
      <c r="D127" s="9" t="s">
        <v>22</v>
      </c>
      <c r="E127" s="9">
        <v>3</v>
      </c>
      <c r="F127" s="11">
        <v>107600</v>
      </c>
      <c r="G127" s="9" t="str">
        <f>INDEX(Products!$B$2:$B$9,MATCH(D127,Products!$A$2:$A$9,0))</f>
        <v>Trà hoa cúc an thần</v>
      </c>
      <c r="H127" s="9" t="str">
        <f>INDEX(Products!$C$2:$C$9,MATCH(D127,Products!$A$2:$A$9,0))</f>
        <v>An thần</v>
      </c>
      <c r="I127" s="11">
        <f>INDEX(Products!$D$2:$D$9,MATCH(D127,Products!$A$2:$A$9,0))</f>
        <v>9500</v>
      </c>
      <c r="J127" s="10">
        <f>IFERROR(INDEX(PlatformFees!$C$2:$C$5,MATCH(C127,PlatformFees!$A$2:$A$5,0)),0)</f>
        <v>0.13</v>
      </c>
      <c r="K127" s="11">
        <f t="shared" si="4"/>
        <v>28500</v>
      </c>
      <c r="L127" s="11">
        <f t="shared" si="5"/>
        <v>13988</v>
      </c>
      <c r="M127" s="11">
        <f t="shared" si="6"/>
        <v>65112</v>
      </c>
      <c r="N127" s="10">
        <f t="shared" si="7"/>
        <v>0.60513011152416352</v>
      </c>
    </row>
    <row r="128" spans="1:14" x14ac:dyDescent="0.3">
      <c r="A128" s="9" t="s">
        <v>182</v>
      </c>
      <c r="B128" s="9" t="s">
        <v>181</v>
      </c>
      <c r="C128" s="9" t="s">
        <v>36</v>
      </c>
      <c r="D128" s="9" t="s">
        <v>17</v>
      </c>
      <c r="E128" s="9">
        <v>2</v>
      </c>
      <c r="F128" s="11">
        <v>81100</v>
      </c>
      <c r="G128" s="9" t="str">
        <f>INDEX(Products!$B$2:$B$9,MATCH(D128,Products!$A$2:$A$9,0))</f>
        <v>Trà diếp cá rau má</v>
      </c>
      <c r="H128" s="9" t="str">
        <f>INDEX(Products!$C$2:$C$9,MATCH(D128,Products!$A$2:$A$9,0))</f>
        <v>Detox</v>
      </c>
      <c r="I128" s="11">
        <f>INDEX(Products!$D$2:$D$9,MATCH(D128,Products!$A$2:$A$9,0))</f>
        <v>10500</v>
      </c>
      <c r="J128" s="10">
        <f>IFERROR(INDEX(PlatformFees!$C$2:$C$5,MATCH(C128,PlatformFees!$A$2:$A$5,0)),0)</f>
        <v>0.13</v>
      </c>
      <c r="K128" s="11">
        <f t="shared" si="4"/>
        <v>21000</v>
      </c>
      <c r="L128" s="11">
        <f t="shared" si="5"/>
        <v>10543</v>
      </c>
      <c r="M128" s="11">
        <f t="shared" si="6"/>
        <v>49557</v>
      </c>
      <c r="N128" s="10">
        <f t="shared" si="7"/>
        <v>0.61106041923551169</v>
      </c>
    </row>
    <row r="129" spans="1:14" x14ac:dyDescent="0.3">
      <c r="A129" s="9" t="s">
        <v>183</v>
      </c>
      <c r="B129" s="9" t="s">
        <v>181</v>
      </c>
      <c r="C129" s="9" t="s">
        <v>36</v>
      </c>
      <c r="D129" s="9" t="s">
        <v>20</v>
      </c>
      <c r="E129" s="9">
        <v>2</v>
      </c>
      <c r="F129" s="11">
        <v>112600</v>
      </c>
      <c r="G129" s="9" t="str">
        <f>INDEX(Products!$B$2:$B$9,MATCH(D129,Products!$A$2:$A$9,0))</f>
        <v>Trà cà leo gai giảm cân</v>
      </c>
      <c r="H129" s="9" t="str">
        <f>INDEX(Products!$C$2:$C$9,MATCH(D129,Products!$A$2:$A$9,0))</f>
        <v>Detox</v>
      </c>
      <c r="I129" s="11">
        <f>INDEX(Products!$D$2:$D$9,MATCH(D129,Products!$A$2:$A$9,0))</f>
        <v>15000</v>
      </c>
      <c r="J129" s="10">
        <f>IFERROR(INDEX(PlatformFees!$C$2:$C$5,MATCH(C129,PlatformFees!$A$2:$A$5,0)),0)</f>
        <v>0.13</v>
      </c>
      <c r="K129" s="11">
        <f t="shared" si="4"/>
        <v>30000</v>
      </c>
      <c r="L129" s="11">
        <f t="shared" si="5"/>
        <v>14638</v>
      </c>
      <c r="M129" s="11">
        <f t="shared" si="6"/>
        <v>67962</v>
      </c>
      <c r="N129" s="10">
        <f t="shared" si="7"/>
        <v>0.60357015985790408</v>
      </c>
    </row>
    <row r="130" spans="1:14" x14ac:dyDescent="0.3">
      <c r="A130" s="9" t="s">
        <v>184</v>
      </c>
      <c r="B130" s="9" t="s">
        <v>181</v>
      </c>
      <c r="C130" s="9" t="s">
        <v>36</v>
      </c>
      <c r="D130" s="9" t="s">
        <v>27</v>
      </c>
      <c r="E130" s="9">
        <v>2</v>
      </c>
      <c r="F130" s="11">
        <v>76900</v>
      </c>
      <c r="G130" s="9" t="str">
        <f>INDEX(Products!$B$2:$B$9,MATCH(D130,Products!$A$2:$A$9,0))</f>
        <v>Trà gừng mật ong</v>
      </c>
      <c r="H130" s="9" t="str">
        <f>INDEX(Products!$C$2:$C$9,MATCH(D130,Products!$A$2:$A$9,0))</f>
        <v>Giữ ấm</v>
      </c>
      <c r="I130" s="11">
        <f>INDEX(Products!$D$2:$D$9,MATCH(D130,Products!$A$2:$A$9,0))</f>
        <v>11000</v>
      </c>
      <c r="J130" s="10">
        <f>IFERROR(INDEX(PlatformFees!$C$2:$C$5,MATCH(C130,PlatformFees!$A$2:$A$5,0)),0)</f>
        <v>0.13</v>
      </c>
      <c r="K130" s="11">
        <f t="shared" ref="K130:K193" si="8">E130*I130</f>
        <v>22000</v>
      </c>
      <c r="L130" s="11">
        <f t="shared" ref="L130:L193" si="9">F130*J130</f>
        <v>9997</v>
      </c>
      <c r="M130" s="11">
        <f t="shared" ref="M130:M193" si="10">F130-L130-K130</f>
        <v>44903</v>
      </c>
      <c r="N130" s="10">
        <f t="shared" ref="N130:N193" si="11">IFERROR(M130/F130,0)</f>
        <v>0.58391417425227565</v>
      </c>
    </row>
    <row r="131" spans="1:14" x14ac:dyDescent="0.3">
      <c r="A131" s="9" t="s">
        <v>185</v>
      </c>
      <c r="B131" s="9" t="s">
        <v>181</v>
      </c>
      <c r="C131" s="9" t="s">
        <v>36</v>
      </c>
      <c r="D131" s="9" t="s">
        <v>17</v>
      </c>
      <c r="E131" s="9">
        <v>2</v>
      </c>
      <c r="F131" s="11">
        <v>85200</v>
      </c>
      <c r="G131" s="9" t="str">
        <f>INDEX(Products!$B$2:$B$9,MATCH(D131,Products!$A$2:$A$9,0))</f>
        <v>Trà diếp cá rau má</v>
      </c>
      <c r="H131" s="9" t="str">
        <f>INDEX(Products!$C$2:$C$9,MATCH(D131,Products!$A$2:$A$9,0))</f>
        <v>Detox</v>
      </c>
      <c r="I131" s="11">
        <f>INDEX(Products!$D$2:$D$9,MATCH(D131,Products!$A$2:$A$9,0))</f>
        <v>10500</v>
      </c>
      <c r="J131" s="10">
        <f>IFERROR(INDEX(PlatformFees!$C$2:$C$5,MATCH(C131,PlatformFees!$A$2:$A$5,0)),0)</f>
        <v>0.13</v>
      </c>
      <c r="K131" s="11">
        <f t="shared" si="8"/>
        <v>21000</v>
      </c>
      <c r="L131" s="11">
        <f t="shared" si="9"/>
        <v>11076</v>
      </c>
      <c r="M131" s="11">
        <f t="shared" si="10"/>
        <v>53124</v>
      </c>
      <c r="N131" s="10">
        <f t="shared" si="11"/>
        <v>0.62352112676056337</v>
      </c>
    </row>
    <row r="132" spans="1:14" x14ac:dyDescent="0.3">
      <c r="A132" s="9" t="s">
        <v>186</v>
      </c>
      <c r="B132" s="9" t="s">
        <v>181</v>
      </c>
      <c r="C132" s="9" t="s">
        <v>40</v>
      </c>
      <c r="D132" s="9" t="s">
        <v>20</v>
      </c>
      <c r="E132" s="9">
        <v>3</v>
      </c>
      <c r="F132" s="11">
        <v>165100</v>
      </c>
      <c r="G132" s="9" t="str">
        <f>INDEX(Products!$B$2:$B$9,MATCH(D132,Products!$A$2:$A$9,0))</f>
        <v>Trà cà leo gai giảm cân</v>
      </c>
      <c r="H132" s="9" t="str">
        <f>INDEX(Products!$C$2:$C$9,MATCH(D132,Products!$A$2:$A$9,0))</f>
        <v>Detox</v>
      </c>
      <c r="I132" s="11">
        <f>INDEX(Products!$D$2:$D$9,MATCH(D132,Products!$A$2:$A$9,0))</f>
        <v>15000</v>
      </c>
      <c r="J132" s="10">
        <f>IFERROR(INDEX(PlatformFees!$C$2:$C$5,MATCH(C132,PlatformFees!$A$2:$A$5,0)),0)</f>
        <v>0</v>
      </c>
      <c r="K132" s="11">
        <f t="shared" si="8"/>
        <v>45000</v>
      </c>
      <c r="L132" s="11">
        <f t="shared" si="9"/>
        <v>0</v>
      </c>
      <c r="M132" s="11">
        <f t="shared" si="10"/>
        <v>120100</v>
      </c>
      <c r="N132" s="10">
        <f t="shared" si="11"/>
        <v>0.72743791641429434</v>
      </c>
    </row>
    <row r="133" spans="1:14" x14ac:dyDescent="0.3">
      <c r="A133" s="9" t="s">
        <v>187</v>
      </c>
      <c r="B133" s="9" t="s">
        <v>181</v>
      </c>
      <c r="C133" s="9" t="s">
        <v>39</v>
      </c>
      <c r="D133" s="9" t="s">
        <v>30</v>
      </c>
      <c r="E133" s="9">
        <v>2</v>
      </c>
      <c r="F133" s="11">
        <v>68000</v>
      </c>
      <c r="G133" s="9" t="str">
        <f>INDEX(Products!$B$2:$B$9,MATCH(D133,Products!$A$2:$A$9,0))</f>
        <v>Trà mâm xôi vitamin</v>
      </c>
      <c r="H133" s="9" t="str">
        <f>INDEX(Products!$C$2:$C$9,MATCH(D133,Products!$A$2:$A$9,0))</f>
        <v>Bổ sung dưỡng chất</v>
      </c>
      <c r="I133" s="11">
        <f>INDEX(Products!$D$2:$D$9,MATCH(D133,Products!$A$2:$A$9,0))</f>
        <v>9800</v>
      </c>
      <c r="J133" s="10">
        <f>IFERROR(INDEX(PlatformFees!$C$2:$C$5,MATCH(C133,PlatformFees!$A$2:$A$5,0)),0)</f>
        <v>0</v>
      </c>
      <c r="K133" s="11">
        <f t="shared" si="8"/>
        <v>19600</v>
      </c>
      <c r="L133" s="11">
        <f t="shared" si="9"/>
        <v>0</v>
      </c>
      <c r="M133" s="11">
        <f t="shared" si="10"/>
        <v>48400</v>
      </c>
      <c r="N133" s="10">
        <f t="shared" si="11"/>
        <v>0.71176470588235297</v>
      </c>
    </row>
    <row r="134" spans="1:14" x14ac:dyDescent="0.3">
      <c r="A134" s="9" t="s">
        <v>188</v>
      </c>
      <c r="B134" s="9" t="s">
        <v>181</v>
      </c>
      <c r="C134" s="9" t="s">
        <v>36</v>
      </c>
      <c r="D134" s="9" t="s">
        <v>12</v>
      </c>
      <c r="E134" s="9">
        <v>1</v>
      </c>
      <c r="F134" s="11">
        <v>34800</v>
      </c>
      <c r="G134" s="9" t="str">
        <f>INDEX(Products!$B$2:$B$9,MATCH(D134,Products!$A$2:$A$9,0))</f>
        <v>Trà atiso thanh lọc</v>
      </c>
      <c r="H134" s="9" t="str">
        <f>INDEX(Products!$C$2:$C$9,MATCH(D134,Products!$A$2:$A$9,0))</f>
        <v>Thanh lọc</v>
      </c>
      <c r="I134" s="11">
        <f>INDEX(Products!$D$2:$D$9,MATCH(D134,Products!$A$2:$A$9,0))</f>
        <v>9000</v>
      </c>
      <c r="J134" s="10">
        <f>IFERROR(INDEX(PlatformFees!$C$2:$C$5,MATCH(C134,PlatformFees!$A$2:$A$5,0)),0)</f>
        <v>0.13</v>
      </c>
      <c r="K134" s="11">
        <f t="shared" si="8"/>
        <v>9000</v>
      </c>
      <c r="L134" s="11">
        <f t="shared" si="9"/>
        <v>4524</v>
      </c>
      <c r="M134" s="11">
        <f t="shared" si="10"/>
        <v>21276</v>
      </c>
      <c r="N134" s="10">
        <f t="shared" si="11"/>
        <v>0.61137931034482762</v>
      </c>
    </row>
    <row r="135" spans="1:14" x14ac:dyDescent="0.3">
      <c r="A135" s="9" t="s">
        <v>189</v>
      </c>
      <c r="B135" s="9" t="s">
        <v>181</v>
      </c>
      <c r="C135" s="9" t="s">
        <v>39</v>
      </c>
      <c r="D135" s="9" t="s">
        <v>27</v>
      </c>
      <c r="E135" s="9">
        <v>2</v>
      </c>
      <c r="F135" s="11">
        <v>81700</v>
      </c>
      <c r="G135" s="9" t="str">
        <f>INDEX(Products!$B$2:$B$9,MATCH(D135,Products!$A$2:$A$9,0))</f>
        <v>Trà gừng mật ong</v>
      </c>
      <c r="H135" s="9" t="str">
        <f>INDEX(Products!$C$2:$C$9,MATCH(D135,Products!$A$2:$A$9,0))</f>
        <v>Giữ ấm</v>
      </c>
      <c r="I135" s="11">
        <f>INDEX(Products!$D$2:$D$9,MATCH(D135,Products!$A$2:$A$9,0))</f>
        <v>11000</v>
      </c>
      <c r="J135" s="10">
        <f>IFERROR(INDEX(PlatformFees!$C$2:$C$5,MATCH(C135,PlatformFees!$A$2:$A$5,0)),0)</f>
        <v>0</v>
      </c>
      <c r="K135" s="11">
        <f t="shared" si="8"/>
        <v>22000</v>
      </c>
      <c r="L135" s="11">
        <f t="shared" si="9"/>
        <v>0</v>
      </c>
      <c r="M135" s="11">
        <f t="shared" si="10"/>
        <v>59700</v>
      </c>
      <c r="N135" s="10">
        <f t="shared" si="11"/>
        <v>0.73072215422276621</v>
      </c>
    </row>
    <row r="136" spans="1:14" x14ac:dyDescent="0.3">
      <c r="A136" s="9" t="s">
        <v>190</v>
      </c>
      <c r="B136" s="9" t="s">
        <v>181</v>
      </c>
      <c r="C136" s="9" t="s">
        <v>40</v>
      </c>
      <c r="D136" s="9" t="s">
        <v>22</v>
      </c>
      <c r="E136" s="9">
        <v>2</v>
      </c>
      <c r="F136" s="11">
        <v>74900</v>
      </c>
      <c r="G136" s="9" t="str">
        <f>INDEX(Products!$B$2:$B$9,MATCH(D136,Products!$A$2:$A$9,0))</f>
        <v>Trà hoa cúc an thần</v>
      </c>
      <c r="H136" s="9" t="str">
        <f>INDEX(Products!$C$2:$C$9,MATCH(D136,Products!$A$2:$A$9,0))</f>
        <v>An thần</v>
      </c>
      <c r="I136" s="11">
        <f>INDEX(Products!$D$2:$D$9,MATCH(D136,Products!$A$2:$A$9,0))</f>
        <v>9500</v>
      </c>
      <c r="J136" s="10">
        <f>IFERROR(INDEX(PlatformFees!$C$2:$C$5,MATCH(C136,PlatformFees!$A$2:$A$5,0)),0)</f>
        <v>0</v>
      </c>
      <c r="K136" s="11">
        <f t="shared" si="8"/>
        <v>19000</v>
      </c>
      <c r="L136" s="11">
        <f t="shared" si="9"/>
        <v>0</v>
      </c>
      <c r="M136" s="11">
        <f t="shared" si="10"/>
        <v>55900</v>
      </c>
      <c r="N136" s="10">
        <f t="shared" si="11"/>
        <v>0.74632843791722292</v>
      </c>
    </row>
    <row r="137" spans="1:14" x14ac:dyDescent="0.3">
      <c r="A137" s="9" t="s">
        <v>191</v>
      </c>
      <c r="B137" s="9" t="s">
        <v>181</v>
      </c>
      <c r="C137" s="9" t="s">
        <v>38</v>
      </c>
      <c r="D137" s="9" t="s">
        <v>12</v>
      </c>
      <c r="E137" s="9">
        <v>2</v>
      </c>
      <c r="F137" s="11">
        <v>65400</v>
      </c>
      <c r="G137" s="9" t="str">
        <f>INDEX(Products!$B$2:$B$9,MATCH(D137,Products!$A$2:$A$9,0))</f>
        <v>Trà atiso thanh lọc</v>
      </c>
      <c r="H137" s="9" t="str">
        <f>INDEX(Products!$C$2:$C$9,MATCH(D137,Products!$A$2:$A$9,0))</f>
        <v>Thanh lọc</v>
      </c>
      <c r="I137" s="11">
        <f>INDEX(Products!$D$2:$D$9,MATCH(D137,Products!$A$2:$A$9,0))</f>
        <v>9000</v>
      </c>
      <c r="J137" s="10">
        <f>IFERROR(INDEX(PlatformFees!$C$2:$C$5,MATCH(C137,PlatformFees!$A$2:$A$5,0)),0)</f>
        <v>0.16</v>
      </c>
      <c r="K137" s="11">
        <f t="shared" si="8"/>
        <v>18000</v>
      </c>
      <c r="L137" s="11">
        <f t="shared" si="9"/>
        <v>10464</v>
      </c>
      <c r="M137" s="11">
        <f t="shared" si="10"/>
        <v>36936</v>
      </c>
      <c r="N137" s="10">
        <f t="shared" si="11"/>
        <v>0.56477064220183482</v>
      </c>
    </row>
    <row r="138" spans="1:14" x14ac:dyDescent="0.3">
      <c r="A138" s="9" t="s">
        <v>192</v>
      </c>
      <c r="B138" s="9" t="s">
        <v>181</v>
      </c>
      <c r="C138" s="9" t="s">
        <v>38</v>
      </c>
      <c r="D138" s="9" t="s">
        <v>12</v>
      </c>
      <c r="E138" s="9">
        <v>2</v>
      </c>
      <c r="F138" s="11">
        <v>66900</v>
      </c>
      <c r="G138" s="9" t="str">
        <f>INDEX(Products!$B$2:$B$9,MATCH(D138,Products!$A$2:$A$9,0))</f>
        <v>Trà atiso thanh lọc</v>
      </c>
      <c r="H138" s="9" t="str">
        <f>INDEX(Products!$C$2:$C$9,MATCH(D138,Products!$A$2:$A$9,0))</f>
        <v>Thanh lọc</v>
      </c>
      <c r="I138" s="11">
        <f>INDEX(Products!$D$2:$D$9,MATCH(D138,Products!$A$2:$A$9,0))</f>
        <v>9000</v>
      </c>
      <c r="J138" s="10">
        <f>IFERROR(INDEX(PlatformFees!$C$2:$C$5,MATCH(C138,PlatformFees!$A$2:$A$5,0)),0)</f>
        <v>0.16</v>
      </c>
      <c r="K138" s="11">
        <f t="shared" si="8"/>
        <v>18000</v>
      </c>
      <c r="L138" s="11">
        <f t="shared" si="9"/>
        <v>10704</v>
      </c>
      <c r="M138" s="11">
        <f t="shared" si="10"/>
        <v>38196</v>
      </c>
      <c r="N138" s="10">
        <f t="shared" si="11"/>
        <v>0.57094170403587441</v>
      </c>
    </row>
    <row r="139" spans="1:14" x14ac:dyDescent="0.3">
      <c r="A139" s="9" t="s">
        <v>193</v>
      </c>
      <c r="B139" s="9" t="s">
        <v>181</v>
      </c>
      <c r="C139" s="9" t="s">
        <v>38</v>
      </c>
      <c r="D139" s="9" t="s">
        <v>17</v>
      </c>
      <c r="E139" s="9">
        <v>2</v>
      </c>
      <c r="F139" s="11">
        <v>79900</v>
      </c>
      <c r="G139" s="9" t="str">
        <f>INDEX(Products!$B$2:$B$9,MATCH(D139,Products!$A$2:$A$9,0))</f>
        <v>Trà diếp cá rau má</v>
      </c>
      <c r="H139" s="9" t="str">
        <f>INDEX(Products!$C$2:$C$9,MATCH(D139,Products!$A$2:$A$9,0))</f>
        <v>Detox</v>
      </c>
      <c r="I139" s="11">
        <f>INDEX(Products!$D$2:$D$9,MATCH(D139,Products!$A$2:$A$9,0))</f>
        <v>10500</v>
      </c>
      <c r="J139" s="10">
        <f>IFERROR(INDEX(PlatformFees!$C$2:$C$5,MATCH(C139,PlatformFees!$A$2:$A$5,0)),0)</f>
        <v>0.16</v>
      </c>
      <c r="K139" s="11">
        <f t="shared" si="8"/>
        <v>21000</v>
      </c>
      <c r="L139" s="11">
        <f t="shared" si="9"/>
        <v>12784</v>
      </c>
      <c r="M139" s="11">
        <f t="shared" si="10"/>
        <v>46116</v>
      </c>
      <c r="N139" s="10">
        <f t="shared" si="11"/>
        <v>0.577171464330413</v>
      </c>
    </row>
    <row r="140" spans="1:14" x14ac:dyDescent="0.3">
      <c r="A140" s="9" t="s">
        <v>194</v>
      </c>
      <c r="B140" s="9" t="s">
        <v>181</v>
      </c>
      <c r="C140" s="9" t="s">
        <v>40</v>
      </c>
      <c r="D140" s="9" t="s">
        <v>20</v>
      </c>
      <c r="E140" s="9">
        <v>1</v>
      </c>
      <c r="F140" s="11">
        <v>53400</v>
      </c>
      <c r="G140" s="9" t="str">
        <f>INDEX(Products!$B$2:$B$9,MATCH(D140,Products!$A$2:$A$9,0))</f>
        <v>Trà cà leo gai giảm cân</v>
      </c>
      <c r="H140" s="9" t="str">
        <f>INDEX(Products!$C$2:$C$9,MATCH(D140,Products!$A$2:$A$9,0))</f>
        <v>Detox</v>
      </c>
      <c r="I140" s="11">
        <f>INDEX(Products!$D$2:$D$9,MATCH(D140,Products!$A$2:$A$9,0))</f>
        <v>15000</v>
      </c>
      <c r="J140" s="10">
        <f>IFERROR(INDEX(PlatformFees!$C$2:$C$5,MATCH(C140,PlatformFees!$A$2:$A$5,0)),0)</f>
        <v>0</v>
      </c>
      <c r="K140" s="11">
        <f t="shared" si="8"/>
        <v>15000</v>
      </c>
      <c r="L140" s="11">
        <f t="shared" si="9"/>
        <v>0</v>
      </c>
      <c r="M140" s="11">
        <f t="shared" si="10"/>
        <v>38400</v>
      </c>
      <c r="N140" s="10">
        <f t="shared" si="11"/>
        <v>0.7191011235955056</v>
      </c>
    </row>
    <row r="141" spans="1:14" x14ac:dyDescent="0.3">
      <c r="A141" s="9" t="s">
        <v>195</v>
      </c>
      <c r="B141" s="9" t="s">
        <v>181</v>
      </c>
      <c r="C141" s="9" t="s">
        <v>39</v>
      </c>
      <c r="D141" s="9" t="s">
        <v>12</v>
      </c>
      <c r="E141" s="9">
        <v>1</v>
      </c>
      <c r="F141" s="11">
        <v>33100</v>
      </c>
      <c r="G141" s="9" t="str">
        <f>INDEX(Products!$B$2:$B$9,MATCH(D141,Products!$A$2:$A$9,0))</f>
        <v>Trà atiso thanh lọc</v>
      </c>
      <c r="H141" s="9" t="str">
        <f>INDEX(Products!$C$2:$C$9,MATCH(D141,Products!$A$2:$A$9,0))</f>
        <v>Thanh lọc</v>
      </c>
      <c r="I141" s="11">
        <f>INDEX(Products!$D$2:$D$9,MATCH(D141,Products!$A$2:$A$9,0))</f>
        <v>9000</v>
      </c>
      <c r="J141" s="10">
        <f>IFERROR(INDEX(PlatformFees!$C$2:$C$5,MATCH(C141,PlatformFees!$A$2:$A$5,0)),0)</f>
        <v>0</v>
      </c>
      <c r="K141" s="11">
        <f t="shared" si="8"/>
        <v>9000</v>
      </c>
      <c r="L141" s="11">
        <f t="shared" si="9"/>
        <v>0</v>
      </c>
      <c r="M141" s="11">
        <f t="shared" si="10"/>
        <v>24100</v>
      </c>
      <c r="N141" s="10">
        <f t="shared" si="11"/>
        <v>0.72809667673716016</v>
      </c>
    </row>
    <row r="142" spans="1:14" x14ac:dyDescent="0.3">
      <c r="A142" s="9" t="s">
        <v>196</v>
      </c>
      <c r="B142" s="9" t="s">
        <v>181</v>
      </c>
      <c r="C142" s="9" t="s">
        <v>36</v>
      </c>
      <c r="D142" s="9" t="s">
        <v>30</v>
      </c>
      <c r="E142" s="9">
        <v>1</v>
      </c>
      <c r="F142" s="11">
        <v>36100</v>
      </c>
      <c r="G142" s="9" t="str">
        <f>INDEX(Products!$B$2:$B$9,MATCH(D142,Products!$A$2:$A$9,0))</f>
        <v>Trà mâm xôi vitamin</v>
      </c>
      <c r="H142" s="9" t="str">
        <f>INDEX(Products!$C$2:$C$9,MATCH(D142,Products!$A$2:$A$9,0))</f>
        <v>Bổ sung dưỡng chất</v>
      </c>
      <c r="I142" s="11">
        <f>INDEX(Products!$D$2:$D$9,MATCH(D142,Products!$A$2:$A$9,0))</f>
        <v>9800</v>
      </c>
      <c r="J142" s="10">
        <f>IFERROR(INDEX(PlatformFees!$C$2:$C$5,MATCH(C142,PlatformFees!$A$2:$A$5,0)),0)</f>
        <v>0.13</v>
      </c>
      <c r="K142" s="11">
        <f t="shared" si="8"/>
        <v>9800</v>
      </c>
      <c r="L142" s="11">
        <f t="shared" si="9"/>
        <v>4693</v>
      </c>
      <c r="M142" s="11">
        <f t="shared" si="10"/>
        <v>21607</v>
      </c>
      <c r="N142" s="10">
        <f t="shared" si="11"/>
        <v>0.5985318559556787</v>
      </c>
    </row>
    <row r="143" spans="1:14" x14ac:dyDescent="0.3">
      <c r="A143" s="9" t="s">
        <v>197</v>
      </c>
      <c r="B143" s="9" t="s">
        <v>181</v>
      </c>
      <c r="C143" s="9" t="s">
        <v>40</v>
      </c>
      <c r="D143" s="9" t="s">
        <v>15</v>
      </c>
      <c r="E143" s="9">
        <v>1</v>
      </c>
      <c r="F143" s="11">
        <v>31600</v>
      </c>
      <c r="G143" s="9" t="str">
        <f>INDEX(Products!$B$2:$B$9,MATCH(D143,Products!$A$2:$A$9,0))</f>
        <v>Trà lá nam sen ổi</v>
      </c>
      <c r="H143" s="9" t="str">
        <f>INDEX(Products!$C$2:$C$9,MATCH(D143,Products!$A$2:$A$9,0))</f>
        <v>Thanh lọc</v>
      </c>
      <c r="I143" s="11">
        <f>INDEX(Products!$D$2:$D$9,MATCH(D143,Products!$A$2:$A$9,0))</f>
        <v>8500</v>
      </c>
      <c r="J143" s="10">
        <f>IFERROR(INDEX(PlatformFees!$C$2:$C$5,MATCH(C143,PlatformFees!$A$2:$A$5,0)),0)</f>
        <v>0</v>
      </c>
      <c r="K143" s="11">
        <f t="shared" si="8"/>
        <v>8500</v>
      </c>
      <c r="L143" s="11">
        <f t="shared" si="9"/>
        <v>0</v>
      </c>
      <c r="M143" s="11">
        <f t="shared" si="10"/>
        <v>23100</v>
      </c>
      <c r="N143" s="10">
        <f t="shared" si="11"/>
        <v>0.73101265822784811</v>
      </c>
    </row>
    <row r="144" spans="1:14" x14ac:dyDescent="0.3">
      <c r="A144" s="9" t="s">
        <v>198</v>
      </c>
      <c r="B144" s="9" t="s">
        <v>199</v>
      </c>
      <c r="C144" s="9" t="s">
        <v>36</v>
      </c>
      <c r="D144" s="9" t="s">
        <v>22</v>
      </c>
      <c r="E144" s="9">
        <v>2</v>
      </c>
      <c r="F144" s="11">
        <v>77800</v>
      </c>
      <c r="G144" s="9" t="str">
        <f>INDEX(Products!$B$2:$B$9,MATCH(D144,Products!$A$2:$A$9,0))</f>
        <v>Trà hoa cúc an thần</v>
      </c>
      <c r="H144" s="9" t="str">
        <f>INDEX(Products!$C$2:$C$9,MATCH(D144,Products!$A$2:$A$9,0))</f>
        <v>An thần</v>
      </c>
      <c r="I144" s="11">
        <f>INDEX(Products!$D$2:$D$9,MATCH(D144,Products!$A$2:$A$9,0))</f>
        <v>9500</v>
      </c>
      <c r="J144" s="10">
        <f>IFERROR(INDEX(PlatformFees!$C$2:$C$5,MATCH(C144,PlatformFees!$A$2:$A$5,0)),0)</f>
        <v>0.13</v>
      </c>
      <c r="K144" s="11">
        <f t="shared" si="8"/>
        <v>19000</v>
      </c>
      <c r="L144" s="11">
        <f t="shared" si="9"/>
        <v>10114</v>
      </c>
      <c r="M144" s="11">
        <f t="shared" si="10"/>
        <v>48686</v>
      </c>
      <c r="N144" s="10">
        <f t="shared" si="11"/>
        <v>0.62578406169665812</v>
      </c>
    </row>
    <row r="145" spans="1:14" x14ac:dyDescent="0.3">
      <c r="A145" s="9" t="s">
        <v>200</v>
      </c>
      <c r="B145" s="9" t="s">
        <v>199</v>
      </c>
      <c r="C145" s="9" t="s">
        <v>38</v>
      </c>
      <c r="D145" s="9" t="s">
        <v>17</v>
      </c>
      <c r="E145" s="9">
        <v>1</v>
      </c>
      <c r="F145" s="11">
        <v>39400</v>
      </c>
      <c r="G145" s="9" t="str">
        <f>INDEX(Products!$B$2:$B$9,MATCH(D145,Products!$A$2:$A$9,0))</f>
        <v>Trà diếp cá rau má</v>
      </c>
      <c r="H145" s="9" t="str">
        <f>INDEX(Products!$C$2:$C$9,MATCH(D145,Products!$A$2:$A$9,0))</f>
        <v>Detox</v>
      </c>
      <c r="I145" s="11">
        <f>INDEX(Products!$D$2:$D$9,MATCH(D145,Products!$A$2:$A$9,0))</f>
        <v>10500</v>
      </c>
      <c r="J145" s="10">
        <f>IFERROR(INDEX(PlatformFees!$C$2:$C$5,MATCH(C145,PlatformFees!$A$2:$A$5,0)),0)</f>
        <v>0.16</v>
      </c>
      <c r="K145" s="11">
        <f t="shared" si="8"/>
        <v>10500</v>
      </c>
      <c r="L145" s="11">
        <f t="shared" si="9"/>
        <v>6304</v>
      </c>
      <c r="M145" s="11">
        <f t="shared" si="10"/>
        <v>22596</v>
      </c>
      <c r="N145" s="10">
        <f t="shared" si="11"/>
        <v>0.57350253807106599</v>
      </c>
    </row>
    <row r="146" spans="1:14" x14ac:dyDescent="0.3">
      <c r="A146" s="9" t="s">
        <v>201</v>
      </c>
      <c r="B146" s="9" t="s">
        <v>199</v>
      </c>
      <c r="C146" s="9" t="s">
        <v>38</v>
      </c>
      <c r="D146" s="9" t="s">
        <v>25</v>
      </c>
      <c r="E146" s="9">
        <v>1</v>
      </c>
      <c r="F146" s="11">
        <v>34200</v>
      </c>
      <c r="G146" s="9" t="str">
        <f>INDEX(Products!$B$2:$B$9,MATCH(D146,Products!$A$2:$A$9,0))</f>
        <v>Trà hoa đậu biếc</v>
      </c>
      <c r="H146" s="9" t="str">
        <f>INDEX(Products!$C$2:$C$9,MATCH(D146,Products!$A$2:$A$9,0))</f>
        <v>An thần</v>
      </c>
      <c r="I146" s="11">
        <f>INDEX(Products!$D$2:$D$9,MATCH(D146,Products!$A$2:$A$9,0))</f>
        <v>8800</v>
      </c>
      <c r="J146" s="10">
        <f>IFERROR(INDEX(PlatformFees!$C$2:$C$5,MATCH(C146,PlatformFees!$A$2:$A$5,0)),0)</f>
        <v>0.16</v>
      </c>
      <c r="K146" s="11">
        <f t="shared" si="8"/>
        <v>8800</v>
      </c>
      <c r="L146" s="11">
        <f t="shared" si="9"/>
        <v>5472</v>
      </c>
      <c r="M146" s="11">
        <f t="shared" si="10"/>
        <v>19928</v>
      </c>
      <c r="N146" s="10">
        <f t="shared" si="11"/>
        <v>0.58269005847953215</v>
      </c>
    </row>
    <row r="147" spans="1:14" x14ac:dyDescent="0.3">
      <c r="A147" s="9" t="s">
        <v>202</v>
      </c>
      <c r="B147" s="9" t="s">
        <v>199</v>
      </c>
      <c r="C147" s="9" t="s">
        <v>36</v>
      </c>
      <c r="D147" s="9" t="s">
        <v>17</v>
      </c>
      <c r="E147" s="9">
        <v>2</v>
      </c>
      <c r="F147" s="11">
        <v>77500</v>
      </c>
      <c r="G147" s="9" t="str">
        <f>INDEX(Products!$B$2:$B$9,MATCH(D147,Products!$A$2:$A$9,0))</f>
        <v>Trà diếp cá rau má</v>
      </c>
      <c r="H147" s="9" t="str">
        <f>INDEX(Products!$C$2:$C$9,MATCH(D147,Products!$A$2:$A$9,0))</f>
        <v>Detox</v>
      </c>
      <c r="I147" s="11">
        <f>INDEX(Products!$D$2:$D$9,MATCH(D147,Products!$A$2:$A$9,0))</f>
        <v>10500</v>
      </c>
      <c r="J147" s="10">
        <f>IFERROR(INDEX(PlatformFees!$C$2:$C$5,MATCH(C147,PlatformFees!$A$2:$A$5,0)),0)</f>
        <v>0.13</v>
      </c>
      <c r="K147" s="11">
        <f t="shared" si="8"/>
        <v>21000</v>
      </c>
      <c r="L147" s="11">
        <f t="shared" si="9"/>
        <v>10075</v>
      </c>
      <c r="M147" s="11">
        <f t="shared" si="10"/>
        <v>46425</v>
      </c>
      <c r="N147" s="10">
        <f t="shared" si="11"/>
        <v>0.5990322580645161</v>
      </c>
    </row>
    <row r="148" spans="1:14" x14ac:dyDescent="0.3">
      <c r="A148" s="9" t="s">
        <v>203</v>
      </c>
      <c r="B148" s="9" t="s">
        <v>199</v>
      </c>
      <c r="C148" s="9" t="s">
        <v>36</v>
      </c>
      <c r="D148" s="9" t="s">
        <v>22</v>
      </c>
      <c r="E148" s="9">
        <v>2</v>
      </c>
      <c r="F148" s="11">
        <v>73200</v>
      </c>
      <c r="G148" s="9" t="str">
        <f>INDEX(Products!$B$2:$B$9,MATCH(D148,Products!$A$2:$A$9,0))</f>
        <v>Trà hoa cúc an thần</v>
      </c>
      <c r="H148" s="9" t="str">
        <f>INDEX(Products!$C$2:$C$9,MATCH(D148,Products!$A$2:$A$9,0))</f>
        <v>An thần</v>
      </c>
      <c r="I148" s="11">
        <f>INDEX(Products!$D$2:$D$9,MATCH(D148,Products!$A$2:$A$9,0))</f>
        <v>9500</v>
      </c>
      <c r="J148" s="10">
        <f>IFERROR(INDEX(PlatformFees!$C$2:$C$5,MATCH(C148,PlatformFees!$A$2:$A$5,0)),0)</f>
        <v>0.13</v>
      </c>
      <c r="K148" s="11">
        <f t="shared" si="8"/>
        <v>19000</v>
      </c>
      <c r="L148" s="11">
        <f t="shared" si="9"/>
        <v>9516</v>
      </c>
      <c r="M148" s="11">
        <f t="shared" si="10"/>
        <v>44684</v>
      </c>
      <c r="N148" s="10">
        <f t="shared" si="11"/>
        <v>0.6104371584699454</v>
      </c>
    </row>
    <row r="149" spans="1:14" x14ac:dyDescent="0.3">
      <c r="A149" s="9" t="s">
        <v>204</v>
      </c>
      <c r="B149" s="9" t="s">
        <v>199</v>
      </c>
      <c r="C149" s="9" t="s">
        <v>39</v>
      </c>
      <c r="D149" s="9" t="s">
        <v>12</v>
      </c>
      <c r="E149" s="9">
        <v>3</v>
      </c>
      <c r="F149" s="11">
        <v>106200</v>
      </c>
      <c r="G149" s="9" t="str">
        <f>INDEX(Products!$B$2:$B$9,MATCH(D149,Products!$A$2:$A$9,0))</f>
        <v>Trà atiso thanh lọc</v>
      </c>
      <c r="H149" s="9" t="str">
        <f>INDEX(Products!$C$2:$C$9,MATCH(D149,Products!$A$2:$A$9,0))</f>
        <v>Thanh lọc</v>
      </c>
      <c r="I149" s="11">
        <f>INDEX(Products!$D$2:$D$9,MATCH(D149,Products!$A$2:$A$9,0))</f>
        <v>9000</v>
      </c>
      <c r="J149" s="10">
        <f>IFERROR(INDEX(PlatformFees!$C$2:$C$5,MATCH(C149,PlatformFees!$A$2:$A$5,0)),0)</f>
        <v>0</v>
      </c>
      <c r="K149" s="11">
        <f t="shared" si="8"/>
        <v>27000</v>
      </c>
      <c r="L149" s="11">
        <f t="shared" si="9"/>
        <v>0</v>
      </c>
      <c r="M149" s="11">
        <f t="shared" si="10"/>
        <v>79200</v>
      </c>
      <c r="N149" s="10">
        <f t="shared" si="11"/>
        <v>0.74576271186440679</v>
      </c>
    </row>
    <row r="150" spans="1:14" x14ac:dyDescent="0.3">
      <c r="A150" s="9" t="s">
        <v>205</v>
      </c>
      <c r="B150" s="9" t="s">
        <v>199</v>
      </c>
      <c r="C150" s="9" t="s">
        <v>36</v>
      </c>
      <c r="D150" s="9" t="s">
        <v>22</v>
      </c>
      <c r="E150" s="9">
        <v>1</v>
      </c>
      <c r="F150" s="11">
        <v>38500</v>
      </c>
      <c r="G150" s="9" t="str">
        <f>INDEX(Products!$B$2:$B$9,MATCH(D150,Products!$A$2:$A$9,0))</f>
        <v>Trà hoa cúc an thần</v>
      </c>
      <c r="H150" s="9" t="str">
        <f>INDEX(Products!$C$2:$C$9,MATCH(D150,Products!$A$2:$A$9,0))</f>
        <v>An thần</v>
      </c>
      <c r="I150" s="11">
        <f>INDEX(Products!$D$2:$D$9,MATCH(D150,Products!$A$2:$A$9,0))</f>
        <v>9500</v>
      </c>
      <c r="J150" s="10">
        <f>IFERROR(INDEX(PlatformFees!$C$2:$C$5,MATCH(C150,PlatformFees!$A$2:$A$5,0)),0)</f>
        <v>0.13</v>
      </c>
      <c r="K150" s="11">
        <f t="shared" si="8"/>
        <v>9500</v>
      </c>
      <c r="L150" s="11">
        <f t="shared" si="9"/>
        <v>5005</v>
      </c>
      <c r="M150" s="11">
        <f t="shared" si="10"/>
        <v>23995</v>
      </c>
      <c r="N150" s="10">
        <f t="shared" si="11"/>
        <v>0.62324675324675327</v>
      </c>
    </row>
    <row r="151" spans="1:14" x14ac:dyDescent="0.3">
      <c r="A151" s="9" t="s">
        <v>206</v>
      </c>
      <c r="B151" s="9" t="s">
        <v>199</v>
      </c>
      <c r="C151" s="9" t="s">
        <v>38</v>
      </c>
      <c r="D151" s="9" t="s">
        <v>15</v>
      </c>
      <c r="E151" s="9">
        <v>2</v>
      </c>
      <c r="F151" s="11">
        <v>64400</v>
      </c>
      <c r="G151" s="9" t="str">
        <f>INDEX(Products!$B$2:$B$9,MATCH(D151,Products!$A$2:$A$9,0))</f>
        <v>Trà lá nam sen ổi</v>
      </c>
      <c r="H151" s="9" t="str">
        <f>INDEX(Products!$C$2:$C$9,MATCH(D151,Products!$A$2:$A$9,0))</f>
        <v>Thanh lọc</v>
      </c>
      <c r="I151" s="11">
        <f>INDEX(Products!$D$2:$D$9,MATCH(D151,Products!$A$2:$A$9,0))</f>
        <v>8500</v>
      </c>
      <c r="J151" s="10">
        <f>IFERROR(INDEX(PlatformFees!$C$2:$C$5,MATCH(C151,PlatformFees!$A$2:$A$5,0)),0)</f>
        <v>0.16</v>
      </c>
      <c r="K151" s="11">
        <f t="shared" si="8"/>
        <v>17000</v>
      </c>
      <c r="L151" s="11">
        <f t="shared" si="9"/>
        <v>10304</v>
      </c>
      <c r="M151" s="11">
        <f t="shared" si="10"/>
        <v>37096</v>
      </c>
      <c r="N151" s="10">
        <f t="shared" si="11"/>
        <v>0.57602484472049686</v>
      </c>
    </row>
    <row r="152" spans="1:14" x14ac:dyDescent="0.3">
      <c r="A152" s="9" t="s">
        <v>207</v>
      </c>
      <c r="B152" s="9" t="s">
        <v>199</v>
      </c>
      <c r="C152" s="9" t="s">
        <v>36</v>
      </c>
      <c r="D152" s="9" t="s">
        <v>20</v>
      </c>
      <c r="E152" s="9">
        <v>1</v>
      </c>
      <c r="F152" s="11">
        <v>51000</v>
      </c>
      <c r="G152" s="9" t="str">
        <f>INDEX(Products!$B$2:$B$9,MATCH(D152,Products!$A$2:$A$9,0))</f>
        <v>Trà cà leo gai giảm cân</v>
      </c>
      <c r="H152" s="9" t="str">
        <f>INDEX(Products!$C$2:$C$9,MATCH(D152,Products!$A$2:$A$9,0))</f>
        <v>Detox</v>
      </c>
      <c r="I152" s="11">
        <f>INDEX(Products!$D$2:$D$9,MATCH(D152,Products!$A$2:$A$9,0))</f>
        <v>15000</v>
      </c>
      <c r="J152" s="10">
        <f>IFERROR(INDEX(PlatformFees!$C$2:$C$5,MATCH(C152,PlatformFees!$A$2:$A$5,0)),0)</f>
        <v>0.13</v>
      </c>
      <c r="K152" s="11">
        <f t="shared" si="8"/>
        <v>15000</v>
      </c>
      <c r="L152" s="11">
        <f t="shared" si="9"/>
        <v>6630</v>
      </c>
      <c r="M152" s="11">
        <f t="shared" si="10"/>
        <v>29370</v>
      </c>
      <c r="N152" s="10">
        <f t="shared" si="11"/>
        <v>0.57588235294117651</v>
      </c>
    </row>
    <row r="153" spans="1:14" x14ac:dyDescent="0.3">
      <c r="A153" s="9" t="s">
        <v>208</v>
      </c>
      <c r="B153" s="9" t="s">
        <v>199</v>
      </c>
      <c r="C153" s="9" t="s">
        <v>38</v>
      </c>
      <c r="D153" s="9" t="s">
        <v>12</v>
      </c>
      <c r="E153" s="9">
        <v>2</v>
      </c>
      <c r="F153" s="11">
        <v>70700</v>
      </c>
      <c r="G153" s="9" t="str">
        <f>INDEX(Products!$B$2:$B$9,MATCH(D153,Products!$A$2:$A$9,0))</f>
        <v>Trà atiso thanh lọc</v>
      </c>
      <c r="H153" s="9" t="str">
        <f>INDEX(Products!$C$2:$C$9,MATCH(D153,Products!$A$2:$A$9,0))</f>
        <v>Thanh lọc</v>
      </c>
      <c r="I153" s="11">
        <f>INDEX(Products!$D$2:$D$9,MATCH(D153,Products!$A$2:$A$9,0))</f>
        <v>9000</v>
      </c>
      <c r="J153" s="10">
        <f>IFERROR(INDEX(PlatformFees!$C$2:$C$5,MATCH(C153,PlatformFees!$A$2:$A$5,0)),0)</f>
        <v>0.16</v>
      </c>
      <c r="K153" s="11">
        <f t="shared" si="8"/>
        <v>18000</v>
      </c>
      <c r="L153" s="11">
        <f t="shared" si="9"/>
        <v>11312</v>
      </c>
      <c r="M153" s="11">
        <f t="shared" si="10"/>
        <v>41388</v>
      </c>
      <c r="N153" s="10">
        <f t="shared" si="11"/>
        <v>0.58540311173974535</v>
      </c>
    </row>
    <row r="154" spans="1:14" x14ac:dyDescent="0.3">
      <c r="A154" s="9" t="s">
        <v>209</v>
      </c>
      <c r="B154" s="9" t="s">
        <v>199</v>
      </c>
      <c r="C154" s="9" t="s">
        <v>36</v>
      </c>
      <c r="D154" s="9" t="s">
        <v>30</v>
      </c>
      <c r="E154" s="9">
        <v>3</v>
      </c>
      <c r="F154" s="11">
        <v>110000</v>
      </c>
      <c r="G154" s="9" t="str">
        <f>INDEX(Products!$B$2:$B$9,MATCH(D154,Products!$A$2:$A$9,0))</f>
        <v>Trà mâm xôi vitamin</v>
      </c>
      <c r="H154" s="9" t="str">
        <f>INDEX(Products!$C$2:$C$9,MATCH(D154,Products!$A$2:$A$9,0))</f>
        <v>Bổ sung dưỡng chất</v>
      </c>
      <c r="I154" s="11">
        <f>INDEX(Products!$D$2:$D$9,MATCH(D154,Products!$A$2:$A$9,0))</f>
        <v>9800</v>
      </c>
      <c r="J154" s="10">
        <f>IFERROR(INDEX(PlatformFees!$C$2:$C$5,MATCH(C154,PlatformFees!$A$2:$A$5,0)),0)</f>
        <v>0.13</v>
      </c>
      <c r="K154" s="11">
        <f t="shared" si="8"/>
        <v>29400</v>
      </c>
      <c r="L154" s="11">
        <f t="shared" si="9"/>
        <v>14300</v>
      </c>
      <c r="M154" s="11">
        <f t="shared" si="10"/>
        <v>66300</v>
      </c>
      <c r="N154" s="10">
        <f t="shared" si="11"/>
        <v>0.60272727272727278</v>
      </c>
    </row>
    <row r="155" spans="1:14" x14ac:dyDescent="0.3">
      <c r="A155" s="9" t="s">
        <v>210</v>
      </c>
      <c r="B155" s="9" t="s">
        <v>199</v>
      </c>
      <c r="C155" s="9" t="s">
        <v>38</v>
      </c>
      <c r="D155" s="9" t="s">
        <v>15</v>
      </c>
      <c r="E155" s="9">
        <v>1</v>
      </c>
      <c r="F155" s="11">
        <v>32000</v>
      </c>
      <c r="G155" s="9" t="str">
        <f>INDEX(Products!$B$2:$B$9,MATCH(D155,Products!$A$2:$A$9,0))</f>
        <v>Trà lá nam sen ổi</v>
      </c>
      <c r="H155" s="9" t="str">
        <f>INDEX(Products!$C$2:$C$9,MATCH(D155,Products!$A$2:$A$9,0))</f>
        <v>Thanh lọc</v>
      </c>
      <c r="I155" s="11">
        <f>INDEX(Products!$D$2:$D$9,MATCH(D155,Products!$A$2:$A$9,0))</f>
        <v>8500</v>
      </c>
      <c r="J155" s="10">
        <f>IFERROR(INDEX(PlatformFees!$C$2:$C$5,MATCH(C155,PlatformFees!$A$2:$A$5,0)),0)</f>
        <v>0.16</v>
      </c>
      <c r="K155" s="11">
        <f t="shared" si="8"/>
        <v>8500</v>
      </c>
      <c r="L155" s="11">
        <f t="shared" si="9"/>
        <v>5120</v>
      </c>
      <c r="M155" s="11">
        <f t="shared" si="10"/>
        <v>18380</v>
      </c>
      <c r="N155" s="10">
        <f t="shared" si="11"/>
        <v>0.57437499999999997</v>
      </c>
    </row>
    <row r="156" spans="1:14" x14ac:dyDescent="0.3">
      <c r="A156" s="9" t="s">
        <v>211</v>
      </c>
      <c r="B156" s="9" t="s">
        <v>199</v>
      </c>
      <c r="C156" s="9" t="s">
        <v>40</v>
      </c>
      <c r="D156" s="9" t="s">
        <v>15</v>
      </c>
      <c r="E156" s="9">
        <v>2</v>
      </c>
      <c r="F156" s="11">
        <v>64300</v>
      </c>
      <c r="G156" s="9" t="str">
        <f>INDEX(Products!$B$2:$B$9,MATCH(D156,Products!$A$2:$A$9,0))</f>
        <v>Trà lá nam sen ổi</v>
      </c>
      <c r="H156" s="9" t="str">
        <f>INDEX(Products!$C$2:$C$9,MATCH(D156,Products!$A$2:$A$9,0))</f>
        <v>Thanh lọc</v>
      </c>
      <c r="I156" s="11">
        <f>INDEX(Products!$D$2:$D$9,MATCH(D156,Products!$A$2:$A$9,0))</f>
        <v>8500</v>
      </c>
      <c r="J156" s="10">
        <f>IFERROR(INDEX(PlatformFees!$C$2:$C$5,MATCH(C156,PlatformFees!$A$2:$A$5,0)),0)</f>
        <v>0</v>
      </c>
      <c r="K156" s="11">
        <f t="shared" si="8"/>
        <v>17000</v>
      </c>
      <c r="L156" s="11">
        <f t="shared" si="9"/>
        <v>0</v>
      </c>
      <c r="M156" s="11">
        <f t="shared" si="10"/>
        <v>47300</v>
      </c>
      <c r="N156" s="10">
        <f t="shared" si="11"/>
        <v>0.73561430793157079</v>
      </c>
    </row>
    <row r="157" spans="1:14" x14ac:dyDescent="0.3">
      <c r="A157" s="9" t="s">
        <v>212</v>
      </c>
      <c r="B157" s="9" t="s">
        <v>213</v>
      </c>
      <c r="C157" s="9" t="s">
        <v>36</v>
      </c>
      <c r="D157" s="9" t="s">
        <v>25</v>
      </c>
      <c r="E157" s="9">
        <v>1</v>
      </c>
      <c r="F157" s="11">
        <v>32500</v>
      </c>
      <c r="G157" s="9" t="str">
        <f>INDEX(Products!$B$2:$B$9,MATCH(D157,Products!$A$2:$A$9,0))</f>
        <v>Trà hoa đậu biếc</v>
      </c>
      <c r="H157" s="9" t="str">
        <f>INDEX(Products!$C$2:$C$9,MATCH(D157,Products!$A$2:$A$9,0))</f>
        <v>An thần</v>
      </c>
      <c r="I157" s="11">
        <f>INDEX(Products!$D$2:$D$9,MATCH(D157,Products!$A$2:$A$9,0))</f>
        <v>8800</v>
      </c>
      <c r="J157" s="10">
        <f>IFERROR(INDEX(PlatformFees!$C$2:$C$5,MATCH(C157,PlatformFees!$A$2:$A$5,0)),0)</f>
        <v>0.13</v>
      </c>
      <c r="K157" s="11">
        <f t="shared" si="8"/>
        <v>8800</v>
      </c>
      <c r="L157" s="11">
        <f t="shared" si="9"/>
        <v>4225</v>
      </c>
      <c r="M157" s="11">
        <f t="shared" si="10"/>
        <v>19475</v>
      </c>
      <c r="N157" s="10">
        <f t="shared" si="11"/>
        <v>0.59923076923076923</v>
      </c>
    </row>
    <row r="158" spans="1:14" x14ac:dyDescent="0.3">
      <c r="A158" s="9" t="s">
        <v>214</v>
      </c>
      <c r="B158" s="9" t="s">
        <v>213</v>
      </c>
      <c r="C158" s="9" t="s">
        <v>36</v>
      </c>
      <c r="D158" s="9" t="s">
        <v>30</v>
      </c>
      <c r="E158" s="9">
        <v>1</v>
      </c>
      <c r="F158" s="11">
        <v>36600</v>
      </c>
      <c r="G158" s="9" t="str">
        <f>INDEX(Products!$B$2:$B$9,MATCH(D158,Products!$A$2:$A$9,0))</f>
        <v>Trà mâm xôi vitamin</v>
      </c>
      <c r="H158" s="9" t="str">
        <f>INDEX(Products!$C$2:$C$9,MATCH(D158,Products!$A$2:$A$9,0))</f>
        <v>Bổ sung dưỡng chất</v>
      </c>
      <c r="I158" s="11">
        <f>INDEX(Products!$D$2:$D$9,MATCH(D158,Products!$A$2:$A$9,0))</f>
        <v>9800</v>
      </c>
      <c r="J158" s="10">
        <f>IFERROR(INDEX(PlatformFees!$C$2:$C$5,MATCH(C158,PlatformFees!$A$2:$A$5,0)),0)</f>
        <v>0.13</v>
      </c>
      <c r="K158" s="11">
        <f t="shared" si="8"/>
        <v>9800</v>
      </c>
      <c r="L158" s="11">
        <f t="shared" si="9"/>
        <v>4758</v>
      </c>
      <c r="M158" s="11">
        <f t="shared" si="10"/>
        <v>22042</v>
      </c>
      <c r="N158" s="10">
        <f t="shared" si="11"/>
        <v>0.60224043715846998</v>
      </c>
    </row>
    <row r="159" spans="1:14" x14ac:dyDescent="0.3">
      <c r="A159" s="9" t="s">
        <v>215</v>
      </c>
      <c r="B159" s="9" t="s">
        <v>213</v>
      </c>
      <c r="C159" s="9" t="s">
        <v>36</v>
      </c>
      <c r="D159" s="9" t="s">
        <v>20</v>
      </c>
      <c r="E159" s="9">
        <v>2</v>
      </c>
      <c r="F159" s="11">
        <v>109300</v>
      </c>
      <c r="G159" s="9" t="str">
        <f>INDEX(Products!$B$2:$B$9,MATCH(D159,Products!$A$2:$A$9,0))</f>
        <v>Trà cà leo gai giảm cân</v>
      </c>
      <c r="H159" s="9" t="str">
        <f>INDEX(Products!$C$2:$C$9,MATCH(D159,Products!$A$2:$A$9,0))</f>
        <v>Detox</v>
      </c>
      <c r="I159" s="11">
        <f>INDEX(Products!$D$2:$D$9,MATCH(D159,Products!$A$2:$A$9,0))</f>
        <v>15000</v>
      </c>
      <c r="J159" s="10">
        <f>IFERROR(INDEX(PlatformFees!$C$2:$C$5,MATCH(C159,PlatformFees!$A$2:$A$5,0)),0)</f>
        <v>0.13</v>
      </c>
      <c r="K159" s="11">
        <f t="shared" si="8"/>
        <v>30000</v>
      </c>
      <c r="L159" s="11">
        <f t="shared" si="9"/>
        <v>14209</v>
      </c>
      <c r="M159" s="11">
        <f t="shared" si="10"/>
        <v>65091</v>
      </c>
      <c r="N159" s="10">
        <f t="shared" si="11"/>
        <v>0.5955260750228728</v>
      </c>
    </row>
    <row r="160" spans="1:14" x14ac:dyDescent="0.3">
      <c r="A160" s="9" t="s">
        <v>216</v>
      </c>
      <c r="B160" s="9" t="s">
        <v>213</v>
      </c>
      <c r="C160" s="9" t="s">
        <v>36</v>
      </c>
      <c r="D160" s="9" t="s">
        <v>20</v>
      </c>
      <c r="E160" s="9">
        <v>1</v>
      </c>
      <c r="F160" s="11">
        <v>51700</v>
      </c>
      <c r="G160" s="9" t="str">
        <f>INDEX(Products!$B$2:$B$9,MATCH(D160,Products!$A$2:$A$9,0))</f>
        <v>Trà cà leo gai giảm cân</v>
      </c>
      <c r="H160" s="9" t="str">
        <f>INDEX(Products!$C$2:$C$9,MATCH(D160,Products!$A$2:$A$9,0))</f>
        <v>Detox</v>
      </c>
      <c r="I160" s="11">
        <f>INDEX(Products!$D$2:$D$9,MATCH(D160,Products!$A$2:$A$9,0))</f>
        <v>15000</v>
      </c>
      <c r="J160" s="10">
        <f>IFERROR(INDEX(PlatformFees!$C$2:$C$5,MATCH(C160,PlatformFees!$A$2:$A$5,0)),0)</f>
        <v>0.13</v>
      </c>
      <c r="K160" s="11">
        <f t="shared" si="8"/>
        <v>15000</v>
      </c>
      <c r="L160" s="11">
        <f t="shared" si="9"/>
        <v>6721</v>
      </c>
      <c r="M160" s="11">
        <f t="shared" si="10"/>
        <v>29979</v>
      </c>
      <c r="N160" s="10">
        <f t="shared" si="11"/>
        <v>0.57986460348162472</v>
      </c>
    </row>
    <row r="161" spans="1:14" x14ac:dyDescent="0.3">
      <c r="A161" s="9" t="s">
        <v>217</v>
      </c>
      <c r="B161" s="9" t="s">
        <v>213</v>
      </c>
      <c r="C161" s="9" t="s">
        <v>36</v>
      </c>
      <c r="D161" s="9" t="s">
        <v>25</v>
      </c>
      <c r="E161" s="9">
        <v>1</v>
      </c>
      <c r="F161" s="11">
        <v>32300</v>
      </c>
      <c r="G161" s="9" t="str">
        <f>INDEX(Products!$B$2:$B$9,MATCH(D161,Products!$A$2:$A$9,0))</f>
        <v>Trà hoa đậu biếc</v>
      </c>
      <c r="H161" s="9" t="str">
        <f>INDEX(Products!$C$2:$C$9,MATCH(D161,Products!$A$2:$A$9,0))</f>
        <v>An thần</v>
      </c>
      <c r="I161" s="11">
        <f>INDEX(Products!$D$2:$D$9,MATCH(D161,Products!$A$2:$A$9,0))</f>
        <v>8800</v>
      </c>
      <c r="J161" s="10">
        <f>IFERROR(INDEX(PlatformFees!$C$2:$C$5,MATCH(C161,PlatformFees!$A$2:$A$5,0)),0)</f>
        <v>0.13</v>
      </c>
      <c r="K161" s="11">
        <f t="shared" si="8"/>
        <v>8800</v>
      </c>
      <c r="L161" s="11">
        <f t="shared" si="9"/>
        <v>4199</v>
      </c>
      <c r="M161" s="11">
        <f t="shared" si="10"/>
        <v>19301</v>
      </c>
      <c r="N161" s="10">
        <f t="shared" si="11"/>
        <v>0.59755417956656343</v>
      </c>
    </row>
    <row r="162" spans="1:14" x14ac:dyDescent="0.3">
      <c r="A162" s="9" t="s">
        <v>218</v>
      </c>
      <c r="B162" s="9" t="s">
        <v>213</v>
      </c>
      <c r="C162" s="9" t="s">
        <v>38</v>
      </c>
      <c r="D162" s="9" t="s">
        <v>27</v>
      </c>
      <c r="E162" s="9">
        <v>2</v>
      </c>
      <c r="F162" s="11">
        <v>73700</v>
      </c>
      <c r="G162" s="9" t="str">
        <f>INDEX(Products!$B$2:$B$9,MATCH(D162,Products!$A$2:$A$9,0))</f>
        <v>Trà gừng mật ong</v>
      </c>
      <c r="H162" s="9" t="str">
        <f>INDEX(Products!$C$2:$C$9,MATCH(D162,Products!$A$2:$A$9,0))</f>
        <v>Giữ ấm</v>
      </c>
      <c r="I162" s="11">
        <f>INDEX(Products!$D$2:$D$9,MATCH(D162,Products!$A$2:$A$9,0))</f>
        <v>11000</v>
      </c>
      <c r="J162" s="10">
        <f>IFERROR(INDEX(PlatformFees!$C$2:$C$5,MATCH(C162,PlatformFees!$A$2:$A$5,0)),0)</f>
        <v>0.16</v>
      </c>
      <c r="K162" s="11">
        <f t="shared" si="8"/>
        <v>22000</v>
      </c>
      <c r="L162" s="11">
        <f t="shared" si="9"/>
        <v>11792</v>
      </c>
      <c r="M162" s="11">
        <f t="shared" si="10"/>
        <v>39908</v>
      </c>
      <c r="N162" s="10">
        <f t="shared" si="11"/>
        <v>0.54149253731343283</v>
      </c>
    </row>
    <row r="163" spans="1:14" x14ac:dyDescent="0.3">
      <c r="A163" s="9" t="s">
        <v>219</v>
      </c>
      <c r="B163" s="9" t="s">
        <v>213</v>
      </c>
      <c r="C163" s="9" t="s">
        <v>40</v>
      </c>
      <c r="D163" s="9" t="s">
        <v>12</v>
      </c>
      <c r="E163" s="9">
        <v>3</v>
      </c>
      <c r="F163" s="11">
        <v>101300</v>
      </c>
      <c r="G163" s="9" t="str">
        <f>INDEX(Products!$B$2:$B$9,MATCH(D163,Products!$A$2:$A$9,0))</f>
        <v>Trà atiso thanh lọc</v>
      </c>
      <c r="H163" s="9" t="str">
        <f>INDEX(Products!$C$2:$C$9,MATCH(D163,Products!$A$2:$A$9,0))</f>
        <v>Thanh lọc</v>
      </c>
      <c r="I163" s="11">
        <f>INDEX(Products!$D$2:$D$9,MATCH(D163,Products!$A$2:$A$9,0))</f>
        <v>9000</v>
      </c>
      <c r="J163" s="10">
        <f>IFERROR(INDEX(PlatformFees!$C$2:$C$5,MATCH(C163,PlatformFees!$A$2:$A$5,0)),0)</f>
        <v>0</v>
      </c>
      <c r="K163" s="11">
        <f t="shared" si="8"/>
        <v>27000</v>
      </c>
      <c r="L163" s="11">
        <f t="shared" si="9"/>
        <v>0</v>
      </c>
      <c r="M163" s="11">
        <f t="shared" si="10"/>
        <v>74300</v>
      </c>
      <c r="N163" s="10">
        <f t="shared" si="11"/>
        <v>0.73346495557749258</v>
      </c>
    </row>
    <row r="164" spans="1:14" x14ac:dyDescent="0.3">
      <c r="A164" s="9" t="s">
        <v>220</v>
      </c>
      <c r="B164" s="9" t="s">
        <v>213</v>
      </c>
      <c r="C164" s="9" t="s">
        <v>38</v>
      </c>
      <c r="D164" s="9" t="s">
        <v>17</v>
      </c>
      <c r="E164" s="9">
        <v>2</v>
      </c>
      <c r="F164" s="11">
        <v>83200</v>
      </c>
      <c r="G164" s="9" t="str">
        <f>INDEX(Products!$B$2:$B$9,MATCH(D164,Products!$A$2:$A$9,0))</f>
        <v>Trà diếp cá rau má</v>
      </c>
      <c r="H164" s="9" t="str">
        <f>INDEX(Products!$C$2:$C$9,MATCH(D164,Products!$A$2:$A$9,0))</f>
        <v>Detox</v>
      </c>
      <c r="I164" s="11">
        <f>INDEX(Products!$D$2:$D$9,MATCH(D164,Products!$A$2:$A$9,0))</f>
        <v>10500</v>
      </c>
      <c r="J164" s="10">
        <f>IFERROR(INDEX(PlatformFees!$C$2:$C$5,MATCH(C164,PlatformFees!$A$2:$A$5,0)),0)</f>
        <v>0.16</v>
      </c>
      <c r="K164" s="11">
        <f t="shared" si="8"/>
        <v>21000</v>
      </c>
      <c r="L164" s="11">
        <f t="shared" si="9"/>
        <v>13312</v>
      </c>
      <c r="M164" s="11">
        <f t="shared" si="10"/>
        <v>48888</v>
      </c>
      <c r="N164" s="10">
        <f t="shared" si="11"/>
        <v>0.58759615384615382</v>
      </c>
    </row>
    <row r="165" spans="1:14" x14ac:dyDescent="0.3">
      <c r="A165" s="9" t="s">
        <v>221</v>
      </c>
      <c r="B165" s="9" t="s">
        <v>213</v>
      </c>
      <c r="C165" s="9" t="s">
        <v>38</v>
      </c>
      <c r="D165" s="9" t="s">
        <v>25</v>
      </c>
      <c r="E165" s="9">
        <v>1</v>
      </c>
      <c r="F165" s="11">
        <v>32400</v>
      </c>
      <c r="G165" s="9" t="str">
        <f>INDEX(Products!$B$2:$B$9,MATCH(D165,Products!$A$2:$A$9,0))</f>
        <v>Trà hoa đậu biếc</v>
      </c>
      <c r="H165" s="9" t="str">
        <f>INDEX(Products!$C$2:$C$9,MATCH(D165,Products!$A$2:$A$9,0))</f>
        <v>An thần</v>
      </c>
      <c r="I165" s="11">
        <f>INDEX(Products!$D$2:$D$9,MATCH(D165,Products!$A$2:$A$9,0))</f>
        <v>8800</v>
      </c>
      <c r="J165" s="10">
        <f>IFERROR(INDEX(PlatformFees!$C$2:$C$5,MATCH(C165,PlatformFees!$A$2:$A$5,0)),0)</f>
        <v>0.16</v>
      </c>
      <c r="K165" s="11">
        <f t="shared" si="8"/>
        <v>8800</v>
      </c>
      <c r="L165" s="11">
        <f t="shared" si="9"/>
        <v>5184</v>
      </c>
      <c r="M165" s="11">
        <f t="shared" si="10"/>
        <v>18416</v>
      </c>
      <c r="N165" s="10">
        <f t="shared" si="11"/>
        <v>0.56839506172839505</v>
      </c>
    </row>
    <row r="166" spans="1:14" x14ac:dyDescent="0.3">
      <c r="A166" s="9" t="s">
        <v>222</v>
      </c>
      <c r="B166" s="9" t="s">
        <v>213</v>
      </c>
      <c r="C166" s="9" t="s">
        <v>36</v>
      </c>
      <c r="D166" s="9" t="s">
        <v>17</v>
      </c>
      <c r="E166" s="9">
        <v>3</v>
      </c>
      <c r="F166" s="11">
        <v>124000</v>
      </c>
      <c r="G166" s="9" t="str">
        <f>INDEX(Products!$B$2:$B$9,MATCH(D166,Products!$A$2:$A$9,0))</f>
        <v>Trà diếp cá rau má</v>
      </c>
      <c r="H166" s="9" t="str">
        <f>INDEX(Products!$C$2:$C$9,MATCH(D166,Products!$A$2:$A$9,0))</f>
        <v>Detox</v>
      </c>
      <c r="I166" s="11">
        <f>INDEX(Products!$D$2:$D$9,MATCH(D166,Products!$A$2:$A$9,0))</f>
        <v>10500</v>
      </c>
      <c r="J166" s="10">
        <f>IFERROR(INDEX(PlatformFees!$C$2:$C$5,MATCH(C166,PlatformFees!$A$2:$A$5,0)),0)</f>
        <v>0.13</v>
      </c>
      <c r="K166" s="11">
        <f t="shared" si="8"/>
        <v>31500</v>
      </c>
      <c r="L166" s="11">
        <f t="shared" si="9"/>
        <v>16120</v>
      </c>
      <c r="M166" s="11">
        <f t="shared" si="10"/>
        <v>76380</v>
      </c>
      <c r="N166" s="10">
        <f t="shared" si="11"/>
        <v>0.61596774193548387</v>
      </c>
    </row>
    <row r="167" spans="1:14" x14ac:dyDescent="0.3">
      <c r="A167" s="9" t="s">
        <v>223</v>
      </c>
      <c r="B167" s="9" t="s">
        <v>213</v>
      </c>
      <c r="C167" s="9" t="s">
        <v>38</v>
      </c>
      <c r="D167" s="9" t="s">
        <v>20</v>
      </c>
      <c r="E167" s="9">
        <v>2</v>
      </c>
      <c r="F167" s="11">
        <v>113300</v>
      </c>
      <c r="G167" s="9" t="str">
        <f>INDEX(Products!$B$2:$B$9,MATCH(D167,Products!$A$2:$A$9,0))</f>
        <v>Trà cà leo gai giảm cân</v>
      </c>
      <c r="H167" s="9" t="str">
        <f>INDEX(Products!$C$2:$C$9,MATCH(D167,Products!$A$2:$A$9,0))</f>
        <v>Detox</v>
      </c>
      <c r="I167" s="11">
        <f>INDEX(Products!$D$2:$D$9,MATCH(D167,Products!$A$2:$A$9,0))</f>
        <v>15000</v>
      </c>
      <c r="J167" s="10">
        <f>IFERROR(INDEX(PlatformFees!$C$2:$C$5,MATCH(C167,PlatformFees!$A$2:$A$5,0)),0)</f>
        <v>0.16</v>
      </c>
      <c r="K167" s="11">
        <f t="shared" si="8"/>
        <v>30000</v>
      </c>
      <c r="L167" s="11">
        <f t="shared" si="9"/>
        <v>18128</v>
      </c>
      <c r="M167" s="11">
        <f t="shared" si="10"/>
        <v>65172</v>
      </c>
      <c r="N167" s="10">
        <f t="shared" si="11"/>
        <v>0.57521624007060901</v>
      </c>
    </row>
    <row r="168" spans="1:14" x14ac:dyDescent="0.3">
      <c r="A168" s="9" t="s">
        <v>224</v>
      </c>
      <c r="B168" s="9" t="s">
        <v>213</v>
      </c>
      <c r="C168" s="9" t="s">
        <v>38</v>
      </c>
      <c r="D168" s="9" t="s">
        <v>17</v>
      </c>
      <c r="E168" s="9">
        <v>2</v>
      </c>
      <c r="F168" s="11">
        <v>79800</v>
      </c>
      <c r="G168" s="9" t="str">
        <f>INDEX(Products!$B$2:$B$9,MATCH(D168,Products!$A$2:$A$9,0))</f>
        <v>Trà diếp cá rau má</v>
      </c>
      <c r="H168" s="9" t="str">
        <f>INDEX(Products!$C$2:$C$9,MATCH(D168,Products!$A$2:$A$9,0))</f>
        <v>Detox</v>
      </c>
      <c r="I168" s="11">
        <f>INDEX(Products!$D$2:$D$9,MATCH(D168,Products!$A$2:$A$9,0))</f>
        <v>10500</v>
      </c>
      <c r="J168" s="10">
        <f>IFERROR(INDEX(PlatformFees!$C$2:$C$5,MATCH(C168,PlatformFees!$A$2:$A$5,0)),0)</f>
        <v>0.16</v>
      </c>
      <c r="K168" s="11">
        <f t="shared" si="8"/>
        <v>21000</v>
      </c>
      <c r="L168" s="11">
        <f t="shared" si="9"/>
        <v>12768</v>
      </c>
      <c r="M168" s="11">
        <f t="shared" si="10"/>
        <v>46032</v>
      </c>
      <c r="N168" s="10">
        <f t="shared" si="11"/>
        <v>0.57684210526315793</v>
      </c>
    </row>
    <row r="169" spans="1:14" x14ac:dyDescent="0.3">
      <c r="A169" s="9" t="s">
        <v>225</v>
      </c>
      <c r="B169" s="9" t="s">
        <v>213</v>
      </c>
      <c r="C169" s="9" t="s">
        <v>36</v>
      </c>
      <c r="D169" s="9" t="s">
        <v>15</v>
      </c>
      <c r="E169" s="9">
        <v>1</v>
      </c>
      <c r="F169" s="11">
        <v>30600</v>
      </c>
      <c r="G169" s="9" t="str">
        <f>INDEX(Products!$B$2:$B$9,MATCH(D169,Products!$A$2:$A$9,0))</f>
        <v>Trà lá nam sen ổi</v>
      </c>
      <c r="H169" s="9" t="str">
        <f>INDEX(Products!$C$2:$C$9,MATCH(D169,Products!$A$2:$A$9,0))</f>
        <v>Thanh lọc</v>
      </c>
      <c r="I169" s="11">
        <f>INDEX(Products!$D$2:$D$9,MATCH(D169,Products!$A$2:$A$9,0))</f>
        <v>8500</v>
      </c>
      <c r="J169" s="10">
        <f>IFERROR(INDEX(PlatformFees!$C$2:$C$5,MATCH(C169,PlatformFees!$A$2:$A$5,0)),0)</f>
        <v>0.13</v>
      </c>
      <c r="K169" s="11">
        <f t="shared" si="8"/>
        <v>8500</v>
      </c>
      <c r="L169" s="11">
        <f t="shared" si="9"/>
        <v>3978</v>
      </c>
      <c r="M169" s="11">
        <f t="shared" si="10"/>
        <v>18122</v>
      </c>
      <c r="N169" s="10">
        <f t="shared" si="11"/>
        <v>0.59222222222222221</v>
      </c>
    </row>
    <row r="170" spans="1:14" x14ac:dyDescent="0.3">
      <c r="A170" s="9" t="s">
        <v>226</v>
      </c>
      <c r="B170" s="9" t="s">
        <v>213</v>
      </c>
      <c r="C170" s="9" t="s">
        <v>39</v>
      </c>
      <c r="D170" s="9" t="s">
        <v>30</v>
      </c>
      <c r="E170" s="9">
        <v>3</v>
      </c>
      <c r="F170" s="11">
        <v>101600</v>
      </c>
      <c r="G170" s="9" t="str">
        <f>INDEX(Products!$B$2:$B$9,MATCH(D170,Products!$A$2:$A$9,0))</f>
        <v>Trà mâm xôi vitamin</v>
      </c>
      <c r="H170" s="9" t="str">
        <f>INDEX(Products!$C$2:$C$9,MATCH(D170,Products!$A$2:$A$9,0))</f>
        <v>Bổ sung dưỡng chất</v>
      </c>
      <c r="I170" s="11">
        <f>INDEX(Products!$D$2:$D$9,MATCH(D170,Products!$A$2:$A$9,0))</f>
        <v>9800</v>
      </c>
      <c r="J170" s="10">
        <f>IFERROR(INDEX(PlatformFees!$C$2:$C$5,MATCH(C170,PlatformFees!$A$2:$A$5,0)),0)</f>
        <v>0</v>
      </c>
      <c r="K170" s="11">
        <f t="shared" si="8"/>
        <v>29400</v>
      </c>
      <c r="L170" s="11">
        <f t="shared" si="9"/>
        <v>0</v>
      </c>
      <c r="M170" s="11">
        <f t="shared" si="10"/>
        <v>72200</v>
      </c>
      <c r="N170" s="10">
        <f t="shared" si="11"/>
        <v>0.71062992125984248</v>
      </c>
    </row>
    <row r="171" spans="1:14" x14ac:dyDescent="0.3">
      <c r="A171" s="9" t="s">
        <v>227</v>
      </c>
      <c r="B171" s="9" t="s">
        <v>213</v>
      </c>
      <c r="C171" s="9" t="s">
        <v>36</v>
      </c>
      <c r="D171" s="9" t="s">
        <v>20</v>
      </c>
      <c r="E171" s="9">
        <v>3</v>
      </c>
      <c r="F171" s="11">
        <v>162500</v>
      </c>
      <c r="G171" s="9" t="str">
        <f>INDEX(Products!$B$2:$B$9,MATCH(D171,Products!$A$2:$A$9,0))</f>
        <v>Trà cà leo gai giảm cân</v>
      </c>
      <c r="H171" s="9" t="str">
        <f>INDEX(Products!$C$2:$C$9,MATCH(D171,Products!$A$2:$A$9,0))</f>
        <v>Detox</v>
      </c>
      <c r="I171" s="11">
        <f>INDEX(Products!$D$2:$D$9,MATCH(D171,Products!$A$2:$A$9,0))</f>
        <v>15000</v>
      </c>
      <c r="J171" s="10">
        <f>IFERROR(INDEX(PlatformFees!$C$2:$C$5,MATCH(C171,PlatformFees!$A$2:$A$5,0)),0)</f>
        <v>0.13</v>
      </c>
      <c r="K171" s="11">
        <f t="shared" si="8"/>
        <v>45000</v>
      </c>
      <c r="L171" s="11">
        <f t="shared" si="9"/>
        <v>21125</v>
      </c>
      <c r="M171" s="11">
        <f t="shared" si="10"/>
        <v>96375</v>
      </c>
      <c r="N171" s="10">
        <f t="shared" si="11"/>
        <v>0.59307692307692306</v>
      </c>
    </row>
    <row r="172" spans="1:14" x14ac:dyDescent="0.3">
      <c r="A172" s="9" t="s">
        <v>228</v>
      </c>
      <c r="B172" s="9" t="s">
        <v>213</v>
      </c>
      <c r="C172" s="9" t="s">
        <v>39</v>
      </c>
      <c r="D172" s="9" t="s">
        <v>25</v>
      </c>
      <c r="E172" s="9">
        <v>1</v>
      </c>
      <c r="F172" s="11">
        <v>34400</v>
      </c>
      <c r="G172" s="9" t="str">
        <f>INDEX(Products!$B$2:$B$9,MATCH(D172,Products!$A$2:$A$9,0))</f>
        <v>Trà hoa đậu biếc</v>
      </c>
      <c r="H172" s="9" t="str">
        <f>INDEX(Products!$C$2:$C$9,MATCH(D172,Products!$A$2:$A$9,0))</f>
        <v>An thần</v>
      </c>
      <c r="I172" s="11">
        <f>INDEX(Products!$D$2:$D$9,MATCH(D172,Products!$A$2:$A$9,0))</f>
        <v>8800</v>
      </c>
      <c r="J172" s="10">
        <f>IFERROR(INDEX(PlatformFees!$C$2:$C$5,MATCH(C172,PlatformFees!$A$2:$A$5,0)),0)</f>
        <v>0</v>
      </c>
      <c r="K172" s="11">
        <f t="shared" si="8"/>
        <v>8800</v>
      </c>
      <c r="L172" s="11">
        <f t="shared" si="9"/>
        <v>0</v>
      </c>
      <c r="M172" s="11">
        <f t="shared" si="10"/>
        <v>25600</v>
      </c>
      <c r="N172" s="10">
        <f t="shared" si="11"/>
        <v>0.7441860465116279</v>
      </c>
    </row>
    <row r="173" spans="1:14" x14ac:dyDescent="0.3">
      <c r="A173" s="9" t="s">
        <v>229</v>
      </c>
      <c r="B173" s="9" t="s">
        <v>213</v>
      </c>
      <c r="C173" s="9" t="s">
        <v>36</v>
      </c>
      <c r="D173" s="9" t="s">
        <v>17</v>
      </c>
      <c r="E173" s="9">
        <v>1</v>
      </c>
      <c r="F173" s="11">
        <v>38700</v>
      </c>
      <c r="G173" s="9" t="str">
        <f>INDEX(Products!$B$2:$B$9,MATCH(D173,Products!$A$2:$A$9,0))</f>
        <v>Trà diếp cá rau má</v>
      </c>
      <c r="H173" s="9" t="str">
        <f>INDEX(Products!$C$2:$C$9,MATCH(D173,Products!$A$2:$A$9,0))</f>
        <v>Detox</v>
      </c>
      <c r="I173" s="11">
        <f>INDEX(Products!$D$2:$D$9,MATCH(D173,Products!$A$2:$A$9,0))</f>
        <v>10500</v>
      </c>
      <c r="J173" s="10">
        <f>IFERROR(INDEX(PlatformFees!$C$2:$C$5,MATCH(C173,PlatformFees!$A$2:$A$5,0)),0)</f>
        <v>0.13</v>
      </c>
      <c r="K173" s="11">
        <f t="shared" si="8"/>
        <v>10500</v>
      </c>
      <c r="L173" s="11">
        <f t="shared" si="9"/>
        <v>5031</v>
      </c>
      <c r="M173" s="11">
        <f t="shared" si="10"/>
        <v>23169</v>
      </c>
      <c r="N173" s="10">
        <f t="shared" si="11"/>
        <v>0.59868217054263562</v>
      </c>
    </row>
    <row r="174" spans="1:14" x14ac:dyDescent="0.3">
      <c r="A174" s="9" t="s">
        <v>230</v>
      </c>
      <c r="B174" s="9" t="s">
        <v>231</v>
      </c>
      <c r="C174" s="9" t="s">
        <v>36</v>
      </c>
      <c r="D174" s="9" t="s">
        <v>12</v>
      </c>
      <c r="E174" s="9">
        <v>1</v>
      </c>
      <c r="F174" s="11">
        <v>34300</v>
      </c>
      <c r="G174" s="9" t="str">
        <f>INDEX(Products!$B$2:$B$9,MATCH(D174,Products!$A$2:$A$9,0))</f>
        <v>Trà atiso thanh lọc</v>
      </c>
      <c r="H174" s="9" t="str">
        <f>INDEX(Products!$C$2:$C$9,MATCH(D174,Products!$A$2:$A$9,0))</f>
        <v>Thanh lọc</v>
      </c>
      <c r="I174" s="11">
        <f>INDEX(Products!$D$2:$D$9,MATCH(D174,Products!$A$2:$A$9,0))</f>
        <v>9000</v>
      </c>
      <c r="J174" s="10">
        <f>IFERROR(INDEX(PlatformFees!$C$2:$C$5,MATCH(C174,PlatformFees!$A$2:$A$5,0)),0)</f>
        <v>0.13</v>
      </c>
      <c r="K174" s="11">
        <f t="shared" si="8"/>
        <v>9000</v>
      </c>
      <c r="L174" s="11">
        <f t="shared" si="9"/>
        <v>4459</v>
      </c>
      <c r="M174" s="11">
        <f t="shared" si="10"/>
        <v>20841</v>
      </c>
      <c r="N174" s="10">
        <f t="shared" si="11"/>
        <v>0.60760932944606416</v>
      </c>
    </row>
    <row r="175" spans="1:14" x14ac:dyDescent="0.3">
      <c r="A175" s="9" t="s">
        <v>232</v>
      </c>
      <c r="B175" s="9" t="s">
        <v>231</v>
      </c>
      <c r="C175" s="9" t="s">
        <v>38</v>
      </c>
      <c r="D175" s="9" t="s">
        <v>15</v>
      </c>
      <c r="E175" s="9">
        <v>2</v>
      </c>
      <c r="F175" s="11">
        <v>59600</v>
      </c>
      <c r="G175" s="9" t="str">
        <f>INDEX(Products!$B$2:$B$9,MATCH(D175,Products!$A$2:$A$9,0))</f>
        <v>Trà lá nam sen ổi</v>
      </c>
      <c r="H175" s="9" t="str">
        <f>INDEX(Products!$C$2:$C$9,MATCH(D175,Products!$A$2:$A$9,0))</f>
        <v>Thanh lọc</v>
      </c>
      <c r="I175" s="11">
        <f>INDEX(Products!$D$2:$D$9,MATCH(D175,Products!$A$2:$A$9,0))</f>
        <v>8500</v>
      </c>
      <c r="J175" s="10">
        <f>IFERROR(INDEX(PlatformFees!$C$2:$C$5,MATCH(C175,PlatformFees!$A$2:$A$5,0)),0)</f>
        <v>0.16</v>
      </c>
      <c r="K175" s="11">
        <f t="shared" si="8"/>
        <v>17000</v>
      </c>
      <c r="L175" s="11">
        <f t="shared" si="9"/>
        <v>9536</v>
      </c>
      <c r="M175" s="11">
        <f t="shared" si="10"/>
        <v>33064</v>
      </c>
      <c r="N175" s="10">
        <f t="shared" si="11"/>
        <v>0.55476510067114093</v>
      </c>
    </row>
    <row r="176" spans="1:14" x14ac:dyDescent="0.3">
      <c r="A176" s="9" t="s">
        <v>233</v>
      </c>
      <c r="B176" s="9" t="s">
        <v>231</v>
      </c>
      <c r="C176" s="9" t="s">
        <v>36</v>
      </c>
      <c r="D176" s="9" t="s">
        <v>17</v>
      </c>
      <c r="E176" s="9">
        <v>2</v>
      </c>
      <c r="F176" s="11">
        <v>81300</v>
      </c>
      <c r="G176" s="9" t="str">
        <f>INDEX(Products!$B$2:$B$9,MATCH(D176,Products!$A$2:$A$9,0))</f>
        <v>Trà diếp cá rau má</v>
      </c>
      <c r="H176" s="9" t="str">
        <f>INDEX(Products!$C$2:$C$9,MATCH(D176,Products!$A$2:$A$9,0))</f>
        <v>Detox</v>
      </c>
      <c r="I176" s="11">
        <f>INDEX(Products!$D$2:$D$9,MATCH(D176,Products!$A$2:$A$9,0))</f>
        <v>10500</v>
      </c>
      <c r="J176" s="10">
        <f>IFERROR(INDEX(PlatformFees!$C$2:$C$5,MATCH(C176,PlatformFees!$A$2:$A$5,0)),0)</f>
        <v>0.13</v>
      </c>
      <c r="K176" s="11">
        <f t="shared" si="8"/>
        <v>21000</v>
      </c>
      <c r="L176" s="11">
        <f t="shared" si="9"/>
        <v>10569</v>
      </c>
      <c r="M176" s="11">
        <f t="shared" si="10"/>
        <v>49731</v>
      </c>
      <c r="N176" s="10">
        <f t="shared" si="11"/>
        <v>0.61169741697416979</v>
      </c>
    </row>
    <row r="177" spans="1:14" x14ac:dyDescent="0.3">
      <c r="A177" s="9" t="s">
        <v>234</v>
      </c>
      <c r="B177" s="9" t="s">
        <v>231</v>
      </c>
      <c r="C177" s="9" t="s">
        <v>36</v>
      </c>
      <c r="D177" s="9" t="s">
        <v>12</v>
      </c>
      <c r="E177" s="9">
        <v>2</v>
      </c>
      <c r="F177" s="11">
        <v>65300</v>
      </c>
      <c r="G177" s="9" t="str">
        <f>INDEX(Products!$B$2:$B$9,MATCH(D177,Products!$A$2:$A$9,0))</f>
        <v>Trà atiso thanh lọc</v>
      </c>
      <c r="H177" s="9" t="str">
        <f>INDEX(Products!$C$2:$C$9,MATCH(D177,Products!$A$2:$A$9,0))</f>
        <v>Thanh lọc</v>
      </c>
      <c r="I177" s="11">
        <f>INDEX(Products!$D$2:$D$9,MATCH(D177,Products!$A$2:$A$9,0))</f>
        <v>9000</v>
      </c>
      <c r="J177" s="10">
        <f>IFERROR(INDEX(PlatformFees!$C$2:$C$5,MATCH(C177,PlatformFees!$A$2:$A$5,0)),0)</f>
        <v>0.13</v>
      </c>
      <c r="K177" s="11">
        <f t="shared" si="8"/>
        <v>18000</v>
      </c>
      <c r="L177" s="11">
        <f t="shared" si="9"/>
        <v>8489</v>
      </c>
      <c r="M177" s="11">
        <f t="shared" si="10"/>
        <v>38811</v>
      </c>
      <c r="N177" s="10">
        <f t="shared" si="11"/>
        <v>0.59434915773353747</v>
      </c>
    </row>
    <row r="178" spans="1:14" x14ac:dyDescent="0.3">
      <c r="A178" s="9" t="s">
        <v>235</v>
      </c>
      <c r="B178" s="9" t="s">
        <v>231</v>
      </c>
      <c r="C178" s="9" t="s">
        <v>36</v>
      </c>
      <c r="D178" s="9" t="s">
        <v>20</v>
      </c>
      <c r="E178" s="9">
        <v>2</v>
      </c>
      <c r="F178" s="11">
        <v>108800</v>
      </c>
      <c r="G178" s="9" t="str">
        <f>INDEX(Products!$B$2:$B$9,MATCH(D178,Products!$A$2:$A$9,0))</f>
        <v>Trà cà leo gai giảm cân</v>
      </c>
      <c r="H178" s="9" t="str">
        <f>INDEX(Products!$C$2:$C$9,MATCH(D178,Products!$A$2:$A$9,0))</f>
        <v>Detox</v>
      </c>
      <c r="I178" s="11">
        <f>INDEX(Products!$D$2:$D$9,MATCH(D178,Products!$A$2:$A$9,0))</f>
        <v>15000</v>
      </c>
      <c r="J178" s="10">
        <f>IFERROR(INDEX(PlatformFees!$C$2:$C$5,MATCH(C178,PlatformFees!$A$2:$A$5,0)),0)</f>
        <v>0.13</v>
      </c>
      <c r="K178" s="11">
        <f t="shared" si="8"/>
        <v>30000</v>
      </c>
      <c r="L178" s="11">
        <f t="shared" si="9"/>
        <v>14144</v>
      </c>
      <c r="M178" s="11">
        <f t="shared" si="10"/>
        <v>64656</v>
      </c>
      <c r="N178" s="10">
        <f t="shared" si="11"/>
        <v>0.59426470588235292</v>
      </c>
    </row>
    <row r="179" spans="1:14" x14ac:dyDescent="0.3">
      <c r="A179" s="9" t="s">
        <v>236</v>
      </c>
      <c r="B179" s="9" t="s">
        <v>231</v>
      </c>
      <c r="C179" s="9" t="s">
        <v>36</v>
      </c>
      <c r="D179" s="9" t="s">
        <v>15</v>
      </c>
      <c r="E179" s="9">
        <v>2</v>
      </c>
      <c r="F179" s="11">
        <v>65600</v>
      </c>
      <c r="G179" s="9" t="str">
        <f>INDEX(Products!$B$2:$B$9,MATCH(D179,Products!$A$2:$A$9,0))</f>
        <v>Trà lá nam sen ổi</v>
      </c>
      <c r="H179" s="9" t="str">
        <f>INDEX(Products!$C$2:$C$9,MATCH(D179,Products!$A$2:$A$9,0))</f>
        <v>Thanh lọc</v>
      </c>
      <c r="I179" s="11">
        <f>INDEX(Products!$D$2:$D$9,MATCH(D179,Products!$A$2:$A$9,0))</f>
        <v>8500</v>
      </c>
      <c r="J179" s="10">
        <f>IFERROR(INDEX(PlatformFees!$C$2:$C$5,MATCH(C179,PlatformFees!$A$2:$A$5,0)),0)</f>
        <v>0.13</v>
      </c>
      <c r="K179" s="11">
        <f t="shared" si="8"/>
        <v>17000</v>
      </c>
      <c r="L179" s="11">
        <f t="shared" si="9"/>
        <v>8528</v>
      </c>
      <c r="M179" s="11">
        <f t="shared" si="10"/>
        <v>40072</v>
      </c>
      <c r="N179" s="10">
        <f t="shared" si="11"/>
        <v>0.61085365853658535</v>
      </c>
    </row>
    <row r="180" spans="1:14" x14ac:dyDescent="0.3">
      <c r="A180" s="9" t="s">
        <v>237</v>
      </c>
      <c r="B180" s="9" t="s">
        <v>231</v>
      </c>
      <c r="C180" s="9" t="s">
        <v>36</v>
      </c>
      <c r="D180" s="9" t="s">
        <v>17</v>
      </c>
      <c r="E180" s="9">
        <v>2</v>
      </c>
      <c r="F180" s="11">
        <v>84300</v>
      </c>
      <c r="G180" s="9" t="str">
        <f>INDEX(Products!$B$2:$B$9,MATCH(D180,Products!$A$2:$A$9,0))</f>
        <v>Trà diếp cá rau má</v>
      </c>
      <c r="H180" s="9" t="str">
        <f>INDEX(Products!$C$2:$C$9,MATCH(D180,Products!$A$2:$A$9,0))</f>
        <v>Detox</v>
      </c>
      <c r="I180" s="11">
        <f>INDEX(Products!$D$2:$D$9,MATCH(D180,Products!$A$2:$A$9,0))</f>
        <v>10500</v>
      </c>
      <c r="J180" s="10">
        <f>IFERROR(INDEX(PlatformFees!$C$2:$C$5,MATCH(C180,PlatformFees!$A$2:$A$5,0)),0)</f>
        <v>0.13</v>
      </c>
      <c r="K180" s="11">
        <f t="shared" si="8"/>
        <v>21000</v>
      </c>
      <c r="L180" s="11">
        <f t="shared" si="9"/>
        <v>10959</v>
      </c>
      <c r="M180" s="11">
        <f t="shared" si="10"/>
        <v>52341</v>
      </c>
      <c r="N180" s="10">
        <f t="shared" si="11"/>
        <v>0.62088967971530251</v>
      </c>
    </row>
    <row r="181" spans="1:14" x14ac:dyDescent="0.3">
      <c r="A181" s="9" t="s">
        <v>238</v>
      </c>
      <c r="B181" s="9" t="s">
        <v>231</v>
      </c>
      <c r="C181" s="9" t="s">
        <v>38</v>
      </c>
      <c r="D181" s="9" t="s">
        <v>25</v>
      </c>
      <c r="E181" s="9">
        <v>1</v>
      </c>
      <c r="F181" s="11">
        <v>34200</v>
      </c>
      <c r="G181" s="9" t="str">
        <f>INDEX(Products!$B$2:$B$9,MATCH(D181,Products!$A$2:$A$9,0))</f>
        <v>Trà hoa đậu biếc</v>
      </c>
      <c r="H181" s="9" t="str">
        <f>INDEX(Products!$C$2:$C$9,MATCH(D181,Products!$A$2:$A$9,0))</f>
        <v>An thần</v>
      </c>
      <c r="I181" s="11">
        <f>INDEX(Products!$D$2:$D$9,MATCH(D181,Products!$A$2:$A$9,0))</f>
        <v>8800</v>
      </c>
      <c r="J181" s="10">
        <f>IFERROR(INDEX(PlatformFees!$C$2:$C$5,MATCH(C181,PlatformFees!$A$2:$A$5,0)),0)</f>
        <v>0.16</v>
      </c>
      <c r="K181" s="11">
        <f t="shared" si="8"/>
        <v>8800</v>
      </c>
      <c r="L181" s="11">
        <f t="shared" si="9"/>
        <v>5472</v>
      </c>
      <c r="M181" s="11">
        <f t="shared" si="10"/>
        <v>19928</v>
      </c>
      <c r="N181" s="10">
        <f t="shared" si="11"/>
        <v>0.58269005847953215</v>
      </c>
    </row>
    <row r="182" spans="1:14" x14ac:dyDescent="0.3">
      <c r="A182" s="9" t="s">
        <v>239</v>
      </c>
      <c r="B182" s="9" t="s">
        <v>231</v>
      </c>
      <c r="C182" s="9" t="s">
        <v>36</v>
      </c>
      <c r="D182" s="9" t="s">
        <v>30</v>
      </c>
      <c r="E182" s="9">
        <v>1</v>
      </c>
      <c r="F182" s="11">
        <v>36500</v>
      </c>
      <c r="G182" s="9" t="str">
        <f>INDEX(Products!$B$2:$B$9,MATCH(D182,Products!$A$2:$A$9,0))</f>
        <v>Trà mâm xôi vitamin</v>
      </c>
      <c r="H182" s="9" t="str">
        <f>INDEX(Products!$C$2:$C$9,MATCH(D182,Products!$A$2:$A$9,0))</f>
        <v>Bổ sung dưỡng chất</v>
      </c>
      <c r="I182" s="11">
        <f>INDEX(Products!$D$2:$D$9,MATCH(D182,Products!$A$2:$A$9,0))</f>
        <v>9800</v>
      </c>
      <c r="J182" s="10">
        <f>IFERROR(INDEX(PlatformFees!$C$2:$C$5,MATCH(C182,PlatformFees!$A$2:$A$5,0)),0)</f>
        <v>0.13</v>
      </c>
      <c r="K182" s="11">
        <f t="shared" si="8"/>
        <v>9800</v>
      </c>
      <c r="L182" s="11">
        <f t="shared" si="9"/>
        <v>4745</v>
      </c>
      <c r="M182" s="11">
        <f t="shared" si="10"/>
        <v>21955</v>
      </c>
      <c r="N182" s="10">
        <f t="shared" si="11"/>
        <v>0.60150684931506848</v>
      </c>
    </row>
    <row r="183" spans="1:14" x14ac:dyDescent="0.3">
      <c r="A183" s="9" t="s">
        <v>240</v>
      </c>
      <c r="B183" s="9" t="s">
        <v>231</v>
      </c>
      <c r="C183" s="9" t="s">
        <v>40</v>
      </c>
      <c r="D183" s="9" t="s">
        <v>17</v>
      </c>
      <c r="E183" s="9">
        <v>2</v>
      </c>
      <c r="F183" s="11">
        <v>77800</v>
      </c>
      <c r="G183" s="9" t="str">
        <f>INDEX(Products!$B$2:$B$9,MATCH(D183,Products!$A$2:$A$9,0))</f>
        <v>Trà diếp cá rau má</v>
      </c>
      <c r="H183" s="9" t="str">
        <f>INDEX(Products!$C$2:$C$9,MATCH(D183,Products!$A$2:$A$9,0))</f>
        <v>Detox</v>
      </c>
      <c r="I183" s="11">
        <f>INDEX(Products!$D$2:$D$9,MATCH(D183,Products!$A$2:$A$9,0))</f>
        <v>10500</v>
      </c>
      <c r="J183" s="10">
        <f>IFERROR(INDEX(PlatformFees!$C$2:$C$5,MATCH(C183,PlatformFees!$A$2:$A$5,0)),0)</f>
        <v>0</v>
      </c>
      <c r="K183" s="11">
        <f t="shared" si="8"/>
        <v>21000</v>
      </c>
      <c r="L183" s="11">
        <f t="shared" si="9"/>
        <v>0</v>
      </c>
      <c r="M183" s="11">
        <f t="shared" si="10"/>
        <v>56800</v>
      </c>
      <c r="N183" s="10">
        <f t="shared" si="11"/>
        <v>0.73007712082262211</v>
      </c>
    </row>
    <row r="184" spans="1:14" x14ac:dyDescent="0.3">
      <c r="A184" s="9" t="s">
        <v>241</v>
      </c>
      <c r="B184" s="9" t="s">
        <v>231</v>
      </c>
      <c r="C184" s="9" t="s">
        <v>40</v>
      </c>
      <c r="D184" s="9" t="s">
        <v>12</v>
      </c>
      <c r="E184" s="9">
        <v>1</v>
      </c>
      <c r="F184" s="11">
        <v>34600</v>
      </c>
      <c r="G184" s="9" t="str">
        <f>INDEX(Products!$B$2:$B$9,MATCH(D184,Products!$A$2:$A$9,0))</f>
        <v>Trà atiso thanh lọc</v>
      </c>
      <c r="H184" s="9" t="str">
        <f>INDEX(Products!$C$2:$C$9,MATCH(D184,Products!$A$2:$A$9,0))</f>
        <v>Thanh lọc</v>
      </c>
      <c r="I184" s="11">
        <f>INDEX(Products!$D$2:$D$9,MATCH(D184,Products!$A$2:$A$9,0))</f>
        <v>9000</v>
      </c>
      <c r="J184" s="10">
        <f>IFERROR(INDEX(PlatformFees!$C$2:$C$5,MATCH(C184,PlatformFees!$A$2:$A$5,0)),0)</f>
        <v>0</v>
      </c>
      <c r="K184" s="11">
        <f t="shared" si="8"/>
        <v>9000</v>
      </c>
      <c r="L184" s="11">
        <f t="shared" si="9"/>
        <v>0</v>
      </c>
      <c r="M184" s="11">
        <f t="shared" si="10"/>
        <v>25600</v>
      </c>
      <c r="N184" s="10">
        <f t="shared" si="11"/>
        <v>0.73988439306358378</v>
      </c>
    </row>
    <row r="185" spans="1:14" x14ac:dyDescent="0.3">
      <c r="A185" s="9" t="s">
        <v>242</v>
      </c>
      <c r="B185" s="9" t="s">
        <v>231</v>
      </c>
      <c r="C185" s="9" t="s">
        <v>36</v>
      </c>
      <c r="D185" s="9" t="s">
        <v>12</v>
      </c>
      <c r="E185" s="9">
        <v>1</v>
      </c>
      <c r="F185" s="11">
        <v>32900</v>
      </c>
      <c r="G185" s="9" t="str">
        <f>INDEX(Products!$B$2:$B$9,MATCH(D185,Products!$A$2:$A$9,0))</f>
        <v>Trà atiso thanh lọc</v>
      </c>
      <c r="H185" s="9" t="str">
        <f>INDEX(Products!$C$2:$C$9,MATCH(D185,Products!$A$2:$A$9,0))</f>
        <v>Thanh lọc</v>
      </c>
      <c r="I185" s="11">
        <f>INDEX(Products!$D$2:$D$9,MATCH(D185,Products!$A$2:$A$9,0))</f>
        <v>9000</v>
      </c>
      <c r="J185" s="10">
        <f>IFERROR(INDEX(PlatformFees!$C$2:$C$5,MATCH(C185,PlatformFees!$A$2:$A$5,0)),0)</f>
        <v>0.13</v>
      </c>
      <c r="K185" s="11">
        <f t="shared" si="8"/>
        <v>9000</v>
      </c>
      <c r="L185" s="11">
        <f t="shared" si="9"/>
        <v>4277</v>
      </c>
      <c r="M185" s="11">
        <f t="shared" si="10"/>
        <v>19623</v>
      </c>
      <c r="N185" s="10">
        <f t="shared" si="11"/>
        <v>0.5964437689969605</v>
      </c>
    </row>
    <row r="186" spans="1:14" x14ac:dyDescent="0.3">
      <c r="A186" s="9" t="s">
        <v>243</v>
      </c>
      <c r="B186" s="9" t="s">
        <v>231</v>
      </c>
      <c r="C186" s="9" t="s">
        <v>36</v>
      </c>
      <c r="D186" s="9" t="s">
        <v>12</v>
      </c>
      <c r="E186" s="9">
        <v>2</v>
      </c>
      <c r="F186" s="11">
        <v>69700</v>
      </c>
      <c r="G186" s="9" t="str">
        <f>INDEX(Products!$B$2:$B$9,MATCH(D186,Products!$A$2:$A$9,0))</f>
        <v>Trà atiso thanh lọc</v>
      </c>
      <c r="H186" s="9" t="str">
        <f>INDEX(Products!$C$2:$C$9,MATCH(D186,Products!$A$2:$A$9,0))</f>
        <v>Thanh lọc</v>
      </c>
      <c r="I186" s="11">
        <f>INDEX(Products!$D$2:$D$9,MATCH(D186,Products!$A$2:$A$9,0))</f>
        <v>9000</v>
      </c>
      <c r="J186" s="10">
        <f>IFERROR(INDEX(PlatformFees!$C$2:$C$5,MATCH(C186,PlatformFees!$A$2:$A$5,0)),0)</f>
        <v>0.13</v>
      </c>
      <c r="K186" s="11">
        <f t="shared" si="8"/>
        <v>18000</v>
      </c>
      <c r="L186" s="11">
        <f t="shared" si="9"/>
        <v>9061</v>
      </c>
      <c r="M186" s="11">
        <f t="shared" si="10"/>
        <v>42639</v>
      </c>
      <c r="N186" s="10">
        <f t="shared" si="11"/>
        <v>0.61175035868005734</v>
      </c>
    </row>
    <row r="187" spans="1:14" x14ac:dyDescent="0.3">
      <c r="A187" s="9" t="s">
        <v>244</v>
      </c>
      <c r="B187" s="9" t="s">
        <v>231</v>
      </c>
      <c r="C187" s="9" t="s">
        <v>38</v>
      </c>
      <c r="D187" s="9" t="s">
        <v>12</v>
      </c>
      <c r="E187" s="9">
        <v>1</v>
      </c>
      <c r="F187" s="11">
        <v>34900</v>
      </c>
      <c r="G187" s="9" t="str">
        <f>INDEX(Products!$B$2:$B$9,MATCH(D187,Products!$A$2:$A$9,0))</f>
        <v>Trà atiso thanh lọc</v>
      </c>
      <c r="H187" s="9" t="str">
        <f>INDEX(Products!$C$2:$C$9,MATCH(D187,Products!$A$2:$A$9,0))</f>
        <v>Thanh lọc</v>
      </c>
      <c r="I187" s="11">
        <f>INDEX(Products!$D$2:$D$9,MATCH(D187,Products!$A$2:$A$9,0))</f>
        <v>9000</v>
      </c>
      <c r="J187" s="10">
        <f>IFERROR(INDEX(PlatformFees!$C$2:$C$5,MATCH(C187,PlatformFees!$A$2:$A$5,0)),0)</f>
        <v>0.16</v>
      </c>
      <c r="K187" s="11">
        <f t="shared" si="8"/>
        <v>9000</v>
      </c>
      <c r="L187" s="11">
        <f t="shared" si="9"/>
        <v>5584</v>
      </c>
      <c r="M187" s="11">
        <f t="shared" si="10"/>
        <v>20316</v>
      </c>
      <c r="N187" s="10">
        <f t="shared" si="11"/>
        <v>0.58212034383954159</v>
      </c>
    </row>
    <row r="188" spans="1:14" x14ac:dyDescent="0.3">
      <c r="A188" s="9" t="s">
        <v>245</v>
      </c>
      <c r="B188" s="9" t="s">
        <v>231</v>
      </c>
      <c r="C188" s="9" t="s">
        <v>39</v>
      </c>
      <c r="D188" s="9" t="s">
        <v>22</v>
      </c>
      <c r="E188" s="9">
        <v>3</v>
      </c>
      <c r="F188" s="11">
        <v>107800</v>
      </c>
      <c r="G188" s="9" t="str">
        <f>INDEX(Products!$B$2:$B$9,MATCH(D188,Products!$A$2:$A$9,0))</f>
        <v>Trà hoa cúc an thần</v>
      </c>
      <c r="H188" s="9" t="str">
        <f>INDEX(Products!$C$2:$C$9,MATCH(D188,Products!$A$2:$A$9,0))</f>
        <v>An thần</v>
      </c>
      <c r="I188" s="11">
        <f>INDEX(Products!$D$2:$D$9,MATCH(D188,Products!$A$2:$A$9,0))</f>
        <v>9500</v>
      </c>
      <c r="J188" s="10">
        <f>IFERROR(INDEX(PlatformFees!$C$2:$C$5,MATCH(C188,PlatformFees!$A$2:$A$5,0)),0)</f>
        <v>0</v>
      </c>
      <c r="K188" s="11">
        <f t="shared" si="8"/>
        <v>28500</v>
      </c>
      <c r="L188" s="11">
        <f t="shared" si="9"/>
        <v>0</v>
      </c>
      <c r="M188" s="11">
        <f t="shared" si="10"/>
        <v>79300</v>
      </c>
      <c r="N188" s="10">
        <f t="shared" si="11"/>
        <v>0.73562152133580705</v>
      </c>
    </row>
    <row r="189" spans="1:14" x14ac:dyDescent="0.3">
      <c r="A189" s="9" t="s">
        <v>246</v>
      </c>
      <c r="B189" s="9" t="s">
        <v>231</v>
      </c>
      <c r="C189" s="9" t="s">
        <v>36</v>
      </c>
      <c r="D189" s="9" t="s">
        <v>25</v>
      </c>
      <c r="E189" s="9">
        <v>2</v>
      </c>
      <c r="F189" s="11">
        <v>67500</v>
      </c>
      <c r="G189" s="9" t="str">
        <f>INDEX(Products!$B$2:$B$9,MATCH(D189,Products!$A$2:$A$9,0))</f>
        <v>Trà hoa đậu biếc</v>
      </c>
      <c r="H189" s="9" t="str">
        <f>INDEX(Products!$C$2:$C$9,MATCH(D189,Products!$A$2:$A$9,0))</f>
        <v>An thần</v>
      </c>
      <c r="I189" s="11">
        <f>INDEX(Products!$D$2:$D$9,MATCH(D189,Products!$A$2:$A$9,0))</f>
        <v>8800</v>
      </c>
      <c r="J189" s="10">
        <f>IFERROR(INDEX(PlatformFees!$C$2:$C$5,MATCH(C189,PlatformFees!$A$2:$A$5,0)),0)</f>
        <v>0.13</v>
      </c>
      <c r="K189" s="11">
        <f t="shared" si="8"/>
        <v>17600</v>
      </c>
      <c r="L189" s="11">
        <f t="shared" si="9"/>
        <v>8775</v>
      </c>
      <c r="M189" s="11">
        <f t="shared" si="10"/>
        <v>41125</v>
      </c>
      <c r="N189" s="10">
        <f t="shared" si="11"/>
        <v>0.60925925925925928</v>
      </c>
    </row>
    <row r="190" spans="1:14" x14ac:dyDescent="0.3">
      <c r="A190" s="9" t="s">
        <v>247</v>
      </c>
      <c r="B190" s="9" t="s">
        <v>231</v>
      </c>
      <c r="C190" s="9" t="s">
        <v>40</v>
      </c>
      <c r="D190" s="9" t="s">
        <v>20</v>
      </c>
      <c r="E190" s="9">
        <v>2</v>
      </c>
      <c r="F190" s="11">
        <v>103900</v>
      </c>
      <c r="G190" s="9" t="str">
        <f>INDEX(Products!$B$2:$B$9,MATCH(D190,Products!$A$2:$A$9,0))</f>
        <v>Trà cà leo gai giảm cân</v>
      </c>
      <c r="H190" s="9" t="str">
        <f>INDEX(Products!$C$2:$C$9,MATCH(D190,Products!$A$2:$A$9,0))</f>
        <v>Detox</v>
      </c>
      <c r="I190" s="11">
        <f>INDEX(Products!$D$2:$D$9,MATCH(D190,Products!$A$2:$A$9,0))</f>
        <v>15000</v>
      </c>
      <c r="J190" s="10">
        <f>IFERROR(INDEX(PlatformFees!$C$2:$C$5,MATCH(C190,PlatformFees!$A$2:$A$5,0)),0)</f>
        <v>0</v>
      </c>
      <c r="K190" s="11">
        <f t="shared" si="8"/>
        <v>30000</v>
      </c>
      <c r="L190" s="11">
        <f t="shared" si="9"/>
        <v>0</v>
      </c>
      <c r="M190" s="11">
        <f t="shared" si="10"/>
        <v>73900</v>
      </c>
      <c r="N190" s="10">
        <f t="shared" si="11"/>
        <v>0.71126082771896049</v>
      </c>
    </row>
    <row r="191" spans="1:14" x14ac:dyDescent="0.3">
      <c r="A191" s="9" t="s">
        <v>248</v>
      </c>
      <c r="B191" s="9" t="s">
        <v>231</v>
      </c>
      <c r="C191" s="9" t="s">
        <v>36</v>
      </c>
      <c r="D191" s="9" t="s">
        <v>17</v>
      </c>
      <c r="E191" s="9">
        <v>1</v>
      </c>
      <c r="F191" s="11">
        <v>39000</v>
      </c>
      <c r="G191" s="9" t="str">
        <f>INDEX(Products!$B$2:$B$9,MATCH(D191,Products!$A$2:$A$9,0))</f>
        <v>Trà diếp cá rau má</v>
      </c>
      <c r="H191" s="9" t="str">
        <f>INDEX(Products!$C$2:$C$9,MATCH(D191,Products!$A$2:$A$9,0))</f>
        <v>Detox</v>
      </c>
      <c r="I191" s="11">
        <f>INDEX(Products!$D$2:$D$9,MATCH(D191,Products!$A$2:$A$9,0))</f>
        <v>10500</v>
      </c>
      <c r="J191" s="10">
        <f>IFERROR(INDEX(PlatformFees!$C$2:$C$5,MATCH(C191,PlatformFees!$A$2:$A$5,0)),0)</f>
        <v>0.13</v>
      </c>
      <c r="K191" s="11">
        <f t="shared" si="8"/>
        <v>10500</v>
      </c>
      <c r="L191" s="11">
        <f t="shared" si="9"/>
        <v>5070</v>
      </c>
      <c r="M191" s="11">
        <f t="shared" si="10"/>
        <v>23430</v>
      </c>
      <c r="N191" s="10">
        <f t="shared" si="11"/>
        <v>0.60076923076923072</v>
      </c>
    </row>
    <row r="192" spans="1:14" x14ac:dyDescent="0.3">
      <c r="A192" s="9" t="s">
        <v>249</v>
      </c>
      <c r="B192" s="9" t="s">
        <v>250</v>
      </c>
      <c r="C192" s="9" t="s">
        <v>39</v>
      </c>
      <c r="D192" s="9" t="s">
        <v>25</v>
      </c>
      <c r="E192" s="9">
        <v>2</v>
      </c>
      <c r="F192" s="11">
        <v>69500</v>
      </c>
      <c r="G192" s="9" t="str">
        <f>INDEX(Products!$B$2:$B$9,MATCH(D192,Products!$A$2:$A$9,0))</f>
        <v>Trà hoa đậu biếc</v>
      </c>
      <c r="H192" s="9" t="str">
        <f>INDEX(Products!$C$2:$C$9,MATCH(D192,Products!$A$2:$A$9,0))</f>
        <v>An thần</v>
      </c>
      <c r="I192" s="11">
        <f>INDEX(Products!$D$2:$D$9,MATCH(D192,Products!$A$2:$A$9,0))</f>
        <v>8800</v>
      </c>
      <c r="J192" s="10">
        <f>IFERROR(INDEX(PlatformFees!$C$2:$C$5,MATCH(C192,PlatformFees!$A$2:$A$5,0)),0)</f>
        <v>0</v>
      </c>
      <c r="K192" s="11">
        <f t="shared" si="8"/>
        <v>17600</v>
      </c>
      <c r="L192" s="11">
        <f t="shared" si="9"/>
        <v>0</v>
      </c>
      <c r="M192" s="11">
        <f t="shared" si="10"/>
        <v>51900</v>
      </c>
      <c r="N192" s="10">
        <f t="shared" si="11"/>
        <v>0.74676258992805755</v>
      </c>
    </row>
    <row r="193" spans="1:14" x14ac:dyDescent="0.3">
      <c r="A193" s="9" t="s">
        <v>251</v>
      </c>
      <c r="B193" s="9" t="s">
        <v>250</v>
      </c>
      <c r="C193" s="9" t="s">
        <v>36</v>
      </c>
      <c r="D193" s="9" t="s">
        <v>20</v>
      </c>
      <c r="E193" s="9">
        <v>1</v>
      </c>
      <c r="F193" s="11">
        <v>54800</v>
      </c>
      <c r="G193" s="9" t="str">
        <f>INDEX(Products!$B$2:$B$9,MATCH(D193,Products!$A$2:$A$9,0))</f>
        <v>Trà cà leo gai giảm cân</v>
      </c>
      <c r="H193" s="9" t="str">
        <f>INDEX(Products!$C$2:$C$9,MATCH(D193,Products!$A$2:$A$9,0))</f>
        <v>Detox</v>
      </c>
      <c r="I193" s="11">
        <f>INDEX(Products!$D$2:$D$9,MATCH(D193,Products!$A$2:$A$9,0))</f>
        <v>15000</v>
      </c>
      <c r="J193" s="10">
        <f>IFERROR(INDEX(PlatformFees!$C$2:$C$5,MATCH(C193,PlatformFees!$A$2:$A$5,0)),0)</f>
        <v>0.13</v>
      </c>
      <c r="K193" s="11">
        <f t="shared" si="8"/>
        <v>15000</v>
      </c>
      <c r="L193" s="11">
        <f t="shared" si="9"/>
        <v>7124</v>
      </c>
      <c r="M193" s="11">
        <f t="shared" si="10"/>
        <v>32676</v>
      </c>
      <c r="N193" s="10">
        <f t="shared" si="11"/>
        <v>0.59627737226277377</v>
      </c>
    </row>
    <row r="194" spans="1:14" x14ac:dyDescent="0.3">
      <c r="A194" s="9" t="s">
        <v>252</v>
      </c>
      <c r="B194" s="9" t="s">
        <v>250</v>
      </c>
      <c r="C194" s="9" t="s">
        <v>40</v>
      </c>
      <c r="D194" s="9" t="s">
        <v>22</v>
      </c>
      <c r="E194" s="9">
        <v>2</v>
      </c>
      <c r="F194" s="11">
        <v>73600</v>
      </c>
      <c r="G194" s="9" t="str">
        <f>INDEX(Products!$B$2:$B$9,MATCH(D194,Products!$A$2:$A$9,0))</f>
        <v>Trà hoa cúc an thần</v>
      </c>
      <c r="H194" s="9" t="str">
        <f>INDEX(Products!$C$2:$C$9,MATCH(D194,Products!$A$2:$A$9,0))</f>
        <v>An thần</v>
      </c>
      <c r="I194" s="11">
        <f>INDEX(Products!$D$2:$D$9,MATCH(D194,Products!$A$2:$A$9,0))</f>
        <v>9500</v>
      </c>
      <c r="J194" s="10">
        <f>IFERROR(INDEX(PlatformFees!$C$2:$C$5,MATCH(C194,PlatformFees!$A$2:$A$5,0)),0)</f>
        <v>0</v>
      </c>
      <c r="K194" s="11">
        <f t="shared" ref="K194:K257" si="12">E194*I194</f>
        <v>19000</v>
      </c>
      <c r="L194" s="11">
        <f t="shared" ref="L194:L257" si="13">F194*J194</f>
        <v>0</v>
      </c>
      <c r="M194" s="11">
        <f t="shared" ref="M194:M257" si="14">F194-L194-K194</f>
        <v>54600</v>
      </c>
      <c r="N194" s="10">
        <f t="shared" ref="N194:N257" si="15">IFERROR(M194/F194,0)</f>
        <v>0.74184782608695654</v>
      </c>
    </row>
    <row r="195" spans="1:14" x14ac:dyDescent="0.3">
      <c r="A195" s="9" t="s">
        <v>253</v>
      </c>
      <c r="B195" s="9" t="s">
        <v>250</v>
      </c>
      <c r="C195" s="9" t="s">
        <v>38</v>
      </c>
      <c r="D195" s="9" t="s">
        <v>27</v>
      </c>
      <c r="E195" s="9">
        <v>3</v>
      </c>
      <c r="F195" s="11">
        <v>114700</v>
      </c>
      <c r="G195" s="9" t="str">
        <f>INDEX(Products!$B$2:$B$9,MATCH(D195,Products!$A$2:$A$9,0))</f>
        <v>Trà gừng mật ong</v>
      </c>
      <c r="H195" s="9" t="str">
        <f>INDEX(Products!$C$2:$C$9,MATCH(D195,Products!$A$2:$A$9,0))</f>
        <v>Giữ ấm</v>
      </c>
      <c r="I195" s="11">
        <f>INDEX(Products!$D$2:$D$9,MATCH(D195,Products!$A$2:$A$9,0))</f>
        <v>11000</v>
      </c>
      <c r="J195" s="10">
        <f>IFERROR(INDEX(PlatformFees!$C$2:$C$5,MATCH(C195,PlatformFees!$A$2:$A$5,0)),0)</f>
        <v>0.16</v>
      </c>
      <c r="K195" s="11">
        <f t="shared" si="12"/>
        <v>33000</v>
      </c>
      <c r="L195" s="11">
        <f t="shared" si="13"/>
        <v>18352</v>
      </c>
      <c r="M195" s="11">
        <f t="shared" si="14"/>
        <v>63348</v>
      </c>
      <c r="N195" s="10">
        <f t="shared" si="15"/>
        <v>0.55229293809938973</v>
      </c>
    </row>
    <row r="196" spans="1:14" x14ac:dyDescent="0.3">
      <c r="A196" s="9" t="s">
        <v>254</v>
      </c>
      <c r="B196" s="9" t="s">
        <v>250</v>
      </c>
      <c r="C196" s="9" t="s">
        <v>36</v>
      </c>
      <c r="D196" s="9" t="s">
        <v>12</v>
      </c>
      <c r="E196" s="9">
        <v>3</v>
      </c>
      <c r="F196" s="11">
        <v>106300</v>
      </c>
      <c r="G196" s="9" t="str">
        <f>INDEX(Products!$B$2:$B$9,MATCH(D196,Products!$A$2:$A$9,0))</f>
        <v>Trà atiso thanh lọc</v>
      </c>
      <c r="H196" s="9" t="str">
        <f>INDEX(Products!$C$2:$C$9,MATCH(D196,Products!$A$2:$A$9,0))</f>
        <v>Thanh lọc</v>
      </c>
      <c r="I196" s="11">
        <f>INDEX(Products!$D$2:$D$9,MATCH(D196,Products!$A$2:$A$9,0))</f>
        <v>9000</v>
      </c>
      <c r="J196" s="10">
        <f>IFERROR(INDEX(PlatformFees!$C$2:$C$5,MATCH(C196,PlatformFees!$A$2:$A$5,0)),0)</f>
        <v>0.13</v>
      </c>
      <c r="K196" s="11">
        <f t="shared" si="12"/>
        <v>27000</v>
      </c>
      <c r="L196" s="11">
        <f t="shared" si="13"/>
        <v>13819</v>
      </c>
      <c r="M196" s="11">
        <f t="shared" si="14"/>
        <v>65481</v>
      </c>
      <c r="N196" s="10">
        <f t="shared" si="15"/>
        <v>0.61600188146754464</v>
      </c>
    </row>
    <row r="197" spans="1:14" x14ac:dyDescent="0.3">
      <c r="A197" s="9" t="s">
        <v>255</v>
      </c>
      <c r="B197" s="9" t="s">
        <v>250</v>
      </c>
      <c r="C197" s="9" t="s">
        <v>38</v>
      </c>
      <c r="D197" s="9" t="s">
        <v>30</v>
      </c>
      <c r="E197" s="9">
        <v>3</v>
      </c>
      <c r="F197" s="11">
        <v>109100</v>
      </c>
      <c r="G197" s="9" t="str">
        <f>INDEX(Products!$B$2:$B$9,MATCH(D197,Products!$A$2:$A$9,0))</f>
        <v>Trà mâm xôi vitamin</v>
      </c>
      <c r="H197" s="9" t="str">
        <f>INDEX(Products!$C$2:$C$9,MATCH(D197,Products!$A$2:$A$9,0))</f>
        <v>Bổ sung dưỡng chất</v>
      </c>
      <c r="I197" s="11">
        <f>INDEX(Products!$D$2:$D$9,MATCH(D197,Products!$A$2:$A$9,0))</f>
        <v>9800</v>
      </c>
      <c r="J197" s="10">
        <f>IFERROR(INDEX(PlatformFees!$C$2:$C$5,MATCH(C197,PlatformFees!$A$2:$A$5,0)),0)</f>
        <v>0.16</v>
      </c>
      <c r="K197" s="11">
        <f t="shared" si="12"/>
        <v>29400</v>
      </c>
      <c r="L197" s="11">
        <f t="shared" si="13"/>
        <v>17456</v>
      </c>
      <c r="M197" s="11">
        <f t="shared" si="14"/>
        <v>62244</v>
      </c>
      <c r="N197" s="10">
        <f t="shared" si="15"/>
        <v>0.57052245646196154</v>
      </c>
    </row>
    <row r="198" spans="1:14" x14ac:dyDescent="0.3">
      <c r="A198" s="9" t="s">
        <v>256</v>
      </c>
      <c r="B198" s="9" t="s">
        <v>250</v>
      </c>
      <c r="C198" s="9" t="s">
        <v>38</v>
      </c>
      <c r="D198" s="9" t="s">
        <v>25</v>
      </c>
      <c r="E198" s="9">
        <v>1</v>
      </c>
      <c r="F198" s="11">
        <v>33000</v>
      </c>
      <c r="G198" s="9" t="str">
        <f>INDEX(Products!$B$2:$B$9,MATCH(D198,Products!$A$2:$A$9,0))</f>
        <v>Trà hoa đậu biếc</v>
      </c>
      <c r="H198" s="9" t="str">
        <f>INDEX(Products!$C$2:$C$9,MATCH(D198,Products!$A$2:$A$9,0))</f>
        <v>An thần</v>
      </c>
      <c r="I198" s="11">
        <f>INDEX(Products!$D$2:$D$9,MATCH(D198,Products!$A$2:$A$9,0))</f>
        <v>8800</v>
      </c>
      <c r="J198" s="10">
        <f>IFERROR(INDEX(PlatformFees!$C$2:$C$5,MATCH(C198,PlatformFees!$A$2:$A$5,0)),0)</f>
        <v>0.16</v>
      </c>
      <c r="K198" s="11">
        <f t="shared" si="12"/>
        <v>8800</v>
      </c>
      <c r="L198" s="11">
        <f t="shared" si="13"/>
        <v>5280</v>
      </c>
      <c r="M198" s="11">
        <f t="shared" si="14"/>
        <v>18920</v>
      </c>
      <c r="N198" s="10">
        <f t="shared" si="15"/>
        <v>0.57333333333333336</v>
      </c>
    </row>
    <row r="199" spans="1:14" x14ac:dyDescent="0.3">
      <c r="A199" s="9" t="s">
        <v>257</v>
      </c>
      <c r="B199" s="9" t="s">
        <v>250</v>
      </c>
      <c r="C199" s="9" t="s">
        <v>38</v>
      </c>
      <c r="D199" s="9" t="s">
        <v>30</v>
      </c>
      <c r="E199" s="9">
        <v>1</v>
      </c>
      <c r="F199" s="11">
        <v>37100</v>
      </c>
      <c r="G199" s="9" t="str">
        <f>INDEX(Products!$B$2:$B$9,MATCH(D199,Products!$A$2:$A$9,0))</f>
        <v>Trà mâm xôi vitamin</v>
      </c>
      <c r="H199" s="9" t="str">
        <f>INDEX(Products!$C$2:$C$9,MATCH(D199,Products!$A$2:$A$9,0))</f>
        <v>Bổ sung dưỡng chất</v>
      </c>
      <c r="I199" s="11">
        <f>INDEX(Products!$D$2:$D$9,MATCH(D199,Products!$A$2:$A$9,0))</f>
        <v>9800</v>
      </c>
      <c r="J199" s="10">
        <f>IFERROR(INDEX(PlatformFees!$C$2:$C$5,MATCH(C199,PlatformFees!$A$2:$A$5,0)),0)</f>
        <v>0.16</v>
      </c>
      <c r="K199" s="11">
        <f t="shared" si="12"/>
        <v>9800</v>
      </c>
      <c r="L199" s="11">
        <f t="shared" si="13"/>
        <v>5936</v>
      </c>
      <c r="M199" s="11">
        <f t="shared" si="14"/>
        <v>21364</v>
      </c>
      <c r="N199" s="10">
        <f t="shared" si="15"/>
        <v>0.57584905660377361</v>
      </c>
    </row>
    <row r="200" spans="1:14" x14ac:dyDescent="0.3">
      <c r="A200" s="9" t="s">
        <v>258</v>
      </c>
      <c r="B200" s="9" t="s">
        <v>250</v>
      </c>
      <c r="C200" s="9" t="s">
        <v>36</v>
      </c>
      <c r="D200" s="9" t="s">
        <v>27</v>
      </c>
      <c r="E200" s="9">
        <v>1</v>
      </c>
      <c r="F200" s="11">
        <v>38900</v>
      </c>
      <c r="G200" s="9" t="str">
        <f>INDEX(Products!$B$2:$B$9,MATCH(D200,Products!$A$2:$A$9,0))</f>
        <v>Trà gừng mật ong</v>
      </c>
      <c r="H200" s="9" t="str">
        <f>INDEX(Products!$C$2:$C$9,MATCH(D200,Products!$A$2:$A$9,0))</f>
        <v>Giữ ấm</v>
      </c>
      <c r="I200" s="11">
        <f>INDEX(Products!$D$2:$D$9,MATCH(D200,Products!$A$2:$A$9,0))</f>
        <v>11000</v>
      </c>
      <c r="J200" s="10">
        <f>IFERROR(INDEX(PlatformFees!$C$2:$C$5,MATCH(C200,PlatformFees!$A$2:$A$5,0)),0)</f>
        <v>0.13</v>
      </c>
      <c r="K200" s="11">
        <f t="shared" si="12"/>
        <v>11000</v>
      </c>
      <c r="L200" s="11">
        <f t="shared" si="13"/>
        <v>5057</v>
      </c>
      <c r="M200" s="11">
        <f t="shared" si="14"/>
        <v>22843</v>
      </c>
      <c r="N200" s="10">
        <f t="shared" si="15"/>
        <v>0.58722365038560409</v>
      </c>
    </row>
    <row r="201" spans="1:14" x14ac:dyDescent="0.3">
      <c r="A201" s="9" t="s">
        <v>259</v>
      </c>
      <c r="B201" s="9" t="s">
        <v>250</v>
      </c>
      <c r="C201" s="9" t="s">
        <v>36</v>
      </c>
      <c r="D201" s="9" t="s">
        <v>17</v>
      </c>
      <c r="E201" s="9">
        <v>1</v>
      </c>
      <c r="F201" s="11">
        <v>42600</v>
      </c>
      <c r="G201" s="9" t="str">
        <f>INDEX(Products!$B$2:$B$9,MATCH(D201,Products!$A$2:$A$9,0))</f>
        <v>Trà diếp cá rau má</v>
      </c>
      <c r="H201" s="9" t="str">
        <f>INDEX(Products!$C$2:$C$9,MATCH(D201,Products!$A$2:$A$9,0))</f>
        <v>Detox</v>
      </c>
      <c r="I201" s="11">
        <f>INDEX(Products!$D$2:$D$9,MATCH(D201,Products!$A$2:$A$9,0))</f>
        <v>10500</v>
      </c>
      <c r="J201" s="10">
        <f>IFERROR(INDEX(PlatformFees!$C$2:$C$5,MATCH(C201,PlatformFees!$A$2:$A$5,0)),0)</f>
        <v>0.13</v>
      </c>
      <c r="K201" s="11">
        <f t="shared" si="12"/>
        <v>10500</v>
      </c>
      <c r="L201" s="11">
        <f t="shared" si="13"/>
        <v>5538</v>
      </c>
      <c r="M201" s="11">
        <f t="shared" si="14"/>
        <v>26562</v>
      </c>
      <c r="N201" s="10">
        <f t="shared" si="15"/>
        <v>0.62352112676056337</v>
      </c>
    </row>
    <row r="202" spans="1:14" x14ac:dyDescent="0.3">
      <c r="A202" s="9" t="s">
        <v>260</v>
      </c>
      <c r="B202" s="9" t="s">
        <v>250</v>
      </c>
      <c r="C202" s="9" t="s">
        <v>36</v>
      </c>
      <c r="D202" s="9" t="s">
        <v>22</v>
      </c>
      <c r="E202" s="9">
        <v>1</v>
      </c>
      <c r="F202" s="11">
        <v>37700</v>
      </c>
      <c r="G202" s="9" t="str">
        <f>INDEX(Products!$B$2:$B$9,MATCH(D202,Products!$A$2:$A$9,0))</f>
        <v>Trà hoa cúc an thần</v>
      </c>
      <c r="H202" s="9" t="str">
        <f>INDEX(Products!$C$2:$C$9,MATCH(D202,Products!$A$2:$A$9,0))</f>
        <v>An thần</v>
      </c>
      <c r="I202" s="11">
        <f>INDEX(Products!$D$2:$D$9,MATCH(D202,Products!$A$2:$A$9,0))</f>
        <v>9500</v>
      </c>
      <c r="J202" s="10">
        <f>IFERROR(INDEX(PlatformFees!$C$2:$C$5,MATCH(C202,PlatformFees!$A$2:$A$5,0)),0)</f>
        <v>0.13</v>
      </c>
      <c r="K202" s="11">
        <f t="shared" si="12"/>
        <v>9500</v>
      </c>
      <c r="L202" s="11">
        <f t="shared" si="13"/>
        <v>4901</v>
      </c>
      <c r="M202" s="11">
        <f t="shared" si="14"/>
        <v>23299</v>
      </c>
      <c r="N202" s="10">
        <f t="shared" si="15"/>
        <v>0.61801061007957558</v>
      </c>
    </row>
    <row r="203" spans="1:14" x14ac:dyDescent="0.3">
      <c r="A203" s="9" t="s">
        <v>261</v>
      </c>
      <c r="B203" s="9" t="s">
        <v>250</v>
      </c>
      <c r="C203" s="9" t="s">
        <v>36</v>
      </c>
      <c r="D203" s="9" t="s">
        <v>25</v>
      </c>
      <c r="E203" s="9">
        <v>1</v>
      </c>
      <c r="F203" s="11">
        <v>33000</v>
      </c>
      <c r="G203" s="9" t="str">
        <f>INDEX(Products!$B$2:$B$9,MATCH(D203,Products!$A$2:$A$9,0))</f>
        <v>Trà hoa đậu biếc</v>
      </c>
      <c r="H203" s="9" t="str">
        <f>INDEX(Products!$C$2:$C$9,MATCH(D203,Products!$A$2:$A$9,0))</f>
        <v>An thần</v>
      </c>
      <c r="I203" s="11">
        <f>INDEX(Products!$D$2:$D$9,MATCH(D203,Products!$A$2:$A$9,0))</f>
        <v>8800</v>
      </c>
      <c r="J203" s="10">
        <f>IFERROR(INDEX(PlatformFees!$C$2:$C$5,MATCH(C203,PlatformFees!$A$2:$A$5,0)),0)</f>
        <v>0.13</v>
      </c>
      <c r="K203" s="11">
        <f t="shared" si="12"/>
        <v>8800</v>
      </c>
      <c r="L203" s="11">
        <f t="shared" si="13"/>
        <v>4290</v>
      </c>
      <c r="M203" s="11">
        <f t="shared" si="14"/>
        <v>19910</v>
      </c>
      <c r="N203" s="10">
        <f t="shared" si="15"/>
        <v>0.60333333333333339</v>
      </c>
    </row>
    <row r="204" spans="1:14" x14ac:dyDescent="0.3">
      <c r="A204" s="9" t="s">
        <v>262</v>
      </c>
      <c r="B204" s="9" t="s">
        <v>263</v>
      </c>
      <c r="C204" s="9" t="s">
        <v>36</v>
      </c>
      <c r="D204" s="9" t="s">
        <v>15</v>
      </c>
      <c r="E204" s="9">
        <v>2</v>
      </c>
      <c r="F204" s="11">
        <v>65000</v>
      </c>
      <c r="G204" s="9" t="str">
        <f>INDEX(Products!$B$2:$B$9,MATCH(D204,Products!$A$2:$A$9,0))</f>
        <v>Trà lá nam sen ổi</v>
      </c>
      <c r="H204" s="9" t="str">
        <f>INDEX(Products!$C$2:$C$9,MATCH(D204,Products!$A$2:$A$9,0))</f>
        <v>Thanh lọc</v>
      </c>
      <c r="I204" s="11">
        <f>INDEX(Products!$D$2:$D$9,MATCH(D204,Products!$A$2:$A$9,0))</f>
        <v>8500</v>
      </c>
      <c r="J204" s="10">
        <f>IFERROR(INDEX(PlatformFees!$C$2:$C$5,MATCH(C204,PlatformFees!$A$2:$A$5,0)),0)</f>
        <v>0.13</v>
      </c>
      <c r="K204" s="11">
        <f t="shared" si="12"/>
        <v>17000</v>
      </c>
      <c r="L204" s="11">
        <f t="shared" si="13"/>
        <v>8450</v>
      </c>
      <c r="M204" s="11">
        <f t="shared" si="14"/>
        <v>39550</v>
      </c>
      <c r="N204" s="10">
        <f t="shared" si="15"/>
        <v>0.6084615384615385</v>
      </c>
    </row>
    <row r="205" spans="1:14" x14ac:dyDescent="0.3">
      <c r="A205" s="9" t="s">
        <v>264</v>
      </c>
      <c r="B205" s="9" t="s">
        <v>263</v>
      </c>
      <c r="C205" s="9" t="s">
        <v>39</v>
      </c>
      <c r="D205" s="9" t="s">
        <v>12</v>
      </c>
      <c r="E205" s="9">
        <v>2</v>
      </c>
      <c r="F205" s="11">
        <v>68000</v>
      </c>
      <c r="G205" s="9" t="str">
        <f>INDEX(Products!$B$2:$B$9,MATCH(D205,Products!$A$2:$A$9,0))</f>
        <v>Trà atiso thanh lọc</v>
      </c>
      <c r="H205" s="9" t="str">
        <f>INDEX(Products!$C$2:$C$9,MATCH(D205,Products!$A$2:$A$9,0))</f>
        <v>Thanh lọc</v>
      </c>
      <c r="I205" s="11">
        <f>INDEX(Products!$D$2:$D$9,MATCH(D205,Products!$A$2:$A$9,0))</f>
        <v>9000</v>
      </c>
      <c r="J205" s="10">
        <f>IFERROR(INDEX(PlatformFees!$C$2:$C$5,MATCH(C205,PlatformFees!$A$2:$A$5,0)),0)</f>
        <v>0</v>
      </c>
      <c r="K205" s="11">
        <f t="shared" si="12"/>
        <v>18000</v>
      </c>
      <c r="L205" s="11">
        <f t="shared" si="13"/>
        <v>0</v>
      </c>
      <c r="M205" s="11">
        <f t="shared" si="14"/>
        <v>50000</v>
      </c>
      <c r="N205" s="10">
        <f t="shared" si="15"/>
        <v>0.73529411764705888</v>
      </c>
    </row>
    <row r="206" spans="1:14" x14ac:dyDescent="0.3">
      <c r="A206" s="9" t="s">
        <v>265</v>
      </c>
      <c r="B206" s="9" t="s">
        <v>263</v>
      </c>
      <c r="C206" s="9" t="s">
        <v>36</v>
      </c>
      <c r="D206" s="9" t="s">
        <v>20</v>
      </c>
      <c r="E206" s="9">
        <v>2</v>
      </c>
      <c r="F206" s="11">
        <v>110400</v>
      </c>
      <c r="G206" s="9" t="str">
        <f>INDEX(Products!$B$2:$B$9,MATCH(D206,Products!$A$2:$A$9,0))</f>
        <v>Trà cà leo gai giảm cân</v>
      </c>
      <c r="H206" s="9" t="str">
        <f>INDEX(Products!$C$2:$C$9,MATCH(D206,Products!$A$2:$A$9,0))</f>
        <v>Detox</v>
      </c>
      <c r="I206" s="11">
        <f>INDEX(Products!$D$2:$D$9,MATCH(D206,Products!$A$2:$A$9,0))</f>
        <v>15000</v>
      </c>
      <c r="J206" s="10">
        <f>IFERROR(INDEX(PlatformFees!$C$2:$C$5,MATCH(C206,PlatformFees!$A$2:$A$5,0)),0)</f>
        <v>0.13</v>
      </c>
      <c r="K206" s="11">
        <f t="shared" si="12"/>
        <v>30000</v>
      </c>
      <c r="L206" s="11">
        <f t="shared" si="13"/>
        <v>14352</v>
      </c>
      <c r="M206" s="11">
        <f t="shared" si="14"/>
        <v>66048</v>
      </c>
      <c r="N206" s="10">
        <f t="shared" si="15"/>
        <v>0.5982608695652174</v>
      </c>
    </row>
    <row r="207" spans="1:14" x14ac:dyDescent="0.3">
      <c r="A207" s="9" t="s">
        <v>266</v>
      </c>
      <c r="B207" s="9" t="s">
        <v>263</v>
      </c>
      <c r="C207" s="9" t="s">
        <v>38</v>
      </c>
      <c r="D207" s="9" t="s">
        <v>25</v>
      </c>
      <c r="E207" s="9">
        <v>1</v>
      </c>
      <c r="F207" s="11">
        <v>32300</v>
      </c>
      <c r="G207" s="9" t="str">
        <f>INDEX(Products!$B$2:$B$9,MATCH(D207,Products!$A$2:$A$9,0))</f>
        <v>Trà hoa đậu biếc</v>
      </c>
      <c r="H207" s="9" t="str">
        <f>INDEX(Products!$C$2:$C$9,MATCH(D207,Products!$A$2:$A$9,0))</f>
        <v>An thần</v>
      </c>
      <c r="I207" s="11">
        <f>INDEX(Products!$D$2:$D$9,MATCH(D207,Products!$A$2:$A$9,0))</f>
        <v>8800</v>
      </c>
      <c r="J207" s="10">
        <f>IFERROR(INDEX(PlatformFees!$C$2:$C$5,MATCH(C207,PlatformFees!$A$2:$A$5,0)),0)</f>
        <v>0.16</v>
      </c>
      <c r="K207" s="11">
        <f t="shared" si="12"/>
        <v>8800</v>
      </c>
      <c r="L207" s="11">
        <f t="shared" si="13"/>
        <v>5168</v>
      </c>
      <c r="M207" s="11">
        <f t="shared" si="14"/>
        <v>18332</v>
      </c>
      <c r="N207" s="10">
        <f t="shared" si="15"/>
        <v>0.56755417956656351</v>
      </c>
    </row>
    <row r="208" spans="1:14" x14ac:dyDescent="0.3">
      <c r="A208" s="9" t="s">
        <v>267</v>
      </c>
      <c r="B208" s="9" t="s">
        <v>263</v>
      </c>
      <c r="C208" s="9" t="s">
        <v>36</v>
      </c>
      <c r="D208" s="9" t="s">
        <v>17</v>
      </c>
      <c r="E208" s="9">
        <v>3</v>
      </c>
      <c r="F208" s="11">
        <v>122600</v>
      </c>
      <c r="G208" s="9" t="str">
        <f>INDEX(Products!$B$2:$B$9,MATCH(D208,Products!$A$2:$A$9,0))</f>
        <v>Trà diếp cá rau má</v>
      </c>
      <c r="H208" s="9" t="str">
        <f>INDEX(Products!$C$2:$C$9,MATCH(D208,Products!$A$2:$A$9,0))</f>
        <v>Detox</v>
      </c>
      <c r="I208" s="11">
        <f>INDEX(Products!$D$2:$D$9,MATCH(D208,Products!$A$2:$A$9,0))</f>
        <v>10500</v>
      </c>
      <c r="J208" s="10">
        <f>IFERROR(INDEX(PlatformFees!$C$2:$C$5,MATCH(C208,PlatformFees!$A$2:$A$5,0)),0)</f>
        <v>0.13</v>
      </c>
      <c r="K208" s="11">
        <f t="shared" si="12"/>
        <v>31500</v>
      </c>
      <c r="L208" s="11">
        <f t="shared" si="13"/>
        <v>15938</v>
      </c>
      <c r="M208" s="11">
        <f t="shared" si="14"/>
        <v>75162</v>
      </c>
      <c r="N208" s="10">
        <f t="shared" si="15"/>
        <v>0.61306688417618271</v>
      </c>
    </row>
    <row r="209" spans="1:14" x14ac:dyDescent="0.3">
      <c r="A209" s="9" t="s">
        <v>268</v>
      </c>
      <c r="B209" s="9" t="s">
        <v>263</v>
      </c>
      <c r="C209" s="9" t="s">
        <v>36</v>
      </c>
      <c r="D209" s="9" t="s">
        <v>22</v>
      </c>
      <c r="E209" s="9">
        <v>1</v>
      </c>
      <c r="F209" s="11">
        <v>37900</v>
      </c>
      <c r="G209" s="9" t="str">
        <f>INDEX(Products!$B$2:$B$9,MATCH(D209,Products!$A$2:$A$9,0))</f>
        <v>Trà hoa cúc an thần</v>
      </c>
      <c r="H209" s="9" t="str">
        <f>INDEX(Products!$C$2:$C$9,MATCH(D209,Products!$A$2:$A$9,0))</f>
        <v>An thần</v>
      </c>
      <c r="I209" s="11">
        <f>INDEX(Products!$D$2:$D$9,MATCH(D209,Products!$A$2:$A$9,0))</f>
        <v>9500</v>
      </c>
      <c r="J209" s="10">
        <f>IFERROR(INDEX(PlatformFees!$C$2:$C$5,MATCH(C209,PlatformFees!$A$2:$A$5,0)),0)</f>
        <v>0.13</v>
      </c>
      <c r="K209" s="11">
        <f t="shared" si="12"/>
        <v>9500</v>
      </c>
      <c r="L209" s="11">
        <f t="shared" si="13"/>
        <v>4927</v>
      </c>
      <c r="M209" s="11">
        <f t="shared" si="14"/>
        <v>23473</v>
      </c>
      <c r="N209" s="10">
        <f t="shared" si="15"/>
        <v>0.61934036939313986</v>
      </c>
    </row>
    <row r="210" spans="1:14" x14ac:dyDescent="0.3">
      <c r="A210" s="9" t="s">
        <v>269</v>
      </c>
      <c r="B210" s="9" t="s">
        <v>263</v>
      </c>
      <c r="C210" s="9" t="s">
        <v>36</v>
      </c>
      <c r="D210" s="9" t="s">
        <v>12</v>
      </c>
      <c r="E210" s="9">
        <v>2</v>
      </c>
      <c r="F210" s="11">
        <v>65100</v>
      </c>
      <c r="G210" s="9" t="str">
        <f>INDEX(Products!$B$2:$B$9,MATCH(D210,Products!$A$2:$A$9,0))</f>
        <v>Trà atiso thanh lọc</v>
      </c>
      <c r="H210" s="9" t="str">
        <f>INDEX(Products!$C$2:$C$9,MATCH(D210,Products!$A$2:$A$9,0))</f>
        <v>Thanh lọc</v>
      </c>
      <c r="I210" s="11">
        <f>INDEX(Products!$D$2:$D$9,MATCH(D210,Products!$A$2:$A$9,0))</f>
        <v>9000</v>
      </c>
      <c r="J210" s="10">
        <f>IFERROR(INDEX(PlatformFees!$C$2:$C$5,MATCH(C210,PlatformFees!$A$2:$A$5,0)),0)</f>
        <v>0.13</v>
      </c>
      <c r="K210" s="11">
        <f t="shared" si="12"/>
        <v>18000</v>
      </c>
      <c r="L210" s="11">
        <f t="shared" si="13"/>
        <v>8463</v>
      </c>
      <c r="M210" s="11">
        <f t="shared" si="14"/>
        <v>38637</v>
      </c>
      <c r="N210" s="10">
        <f t="shared" si="15"/>
        <v>0.59350230414746541</v>
      </c>
    </row>
    <row r="211" spans="1:14" x14ac:dyDescent="0.3">
      <c r="A211" s="9" t="s">
        <v>270</v>
      </c>
      <c r="B211" s="9" t="s">
        <v>263</v>
      </c>
      <c r="C211" s="9" t="s">
        <v>40</v>
      </c>
      <c r="D211" s="9" t="s">
        <v>30</v>
      </c>
      <c r="E211" s="9">
        <v>2</v>
      </c>
      <c r="F211" s="11">
        <v>73700</v>
      </c>
      <c r="G211" s="9" t="str">
        <f>INDEX(Products!$B$2:$B$9,MATCH(D211,Products!$A$2:$A$9,0))</f>
        <v>Trà mâm xôi vitamin</v>
      </c>
      <c r="H211" s="9" t="str">
        <f>INDEX(Products!$C$2:$C$9,MATCH(D211,Products!$A$2:$A$9,0))</f>
        <v>Bổ sung dưỡng chất</v>
      </c>
      <c r="I211" s="11">
        <f>INDEX(Products!$D$2:$D$9,MATCH(D211,Products!$A$2:$A$9,0))</f>
        <v>9800</v>
      </c>
      <c r="J211" s="10">
        <f>IFERROR(INDEX(PlatformFees!$C$2:$C$5,MATCH(C211,PlatformFees!$A$2:$A$5,0)),0)</f>
        <v>0</v>
      </c>
      <c r="K211" s="11">
        <f t="shared" si="12"/>
        <v>19600</v>
      </c>
      <c r="L211" s="11">
        <f t="shared" si="13"/>
        <v>0</v>
      </c>
      <c r="M211" s="11">
        <f t="shared" si="14"/>
        <v>54100</v>
      </c>
      <c r="N211" s="10">
        <f t="shared" si="15"/>
        <v>0.73405698778833106</v>
      </c>
    </row>
    <row r="212" spans="1:14" x14ac:dyDescent="0.3">
      <c r="A212" s="9" t="s">
        <v>271</v>
      </c>
      <c r="B212" s="9" t="s">
        <v>263</v>
      </c>
      <c r="C212" s="9" t="s">
        <v>38</v>
      </c>
      <c r="D212" s="9" t="s">
        <v>15</v>
      </c>
      <c r="E212" s="9">
        <v>3</v>
      </c>
      <c r="F212" s="11">
        <v>91400</v>
      </c>
      <c r="G212" s="9" t="str">
        <f>INDEX(Products!$B$2:$B$9,MATCH(D212,Products!$A$2:$A$9,0))</f>
        <v>Trà lá nam sen ổi</v>
      </c>
      <c r="H212" s="9" t="str">
        <f>INDEX(Products!$C$2:$C$9,MATCH(D212,Products!$A$2:$A$9,0))</f>
        <v>Thanh lọc</v>
      </c>
      <c r="I212" s="11">
        <f>INDEX(Products!$D$2:$D$9,MATCH(D212,Products!$A$2:$A$9,0))</f>
        <v>8500</v>
      </c>
      <c r="J212" s="10">
        <f>IFERROR(INDEX(PlatformFees!$C$2:$C$5,MATCH(C212,PlatformFees!$A$2:$A$5,0)),0)</f>
        <v>0.16</v>
      </c>
      <c r="K212" s="11">
        <f t="shared" si="12"/>
        <v>25500</v>
      </c>
      <c r="L212" s="11">
        <f t="shared" si="13"/>
        <v>14624</v>
      </c>
      <c r="M212" s="11">
        <f t="shared" si="14"/>
        <v>51276</v>
      </c>
      <c r="N212" s="10">
        <f t="shared" si="15"/>
        <v>0.56100656455142228</v>
      </c>
    </row>
    <row r="213" spans="1:14" x14ac:dyDescent="0.3">
      <c r="A213" s="9" t="s">
        <v>272</v>
      </c>
      <c r="B213" s="9" t="s">
        <v>263</v>
      </c>
      <c r="C213" s="9" t="s">
        <v>39</v>
      </c>
      <c r="D213" s="9" t="s">
        <v>20</v>
      </c>
      <c r="E213" s="9">
        <v>2</v>
      </c>
      <c r="F213" s="11">
        <v>113100</v>
      </c>
      <c r="G213" s="9" t="str">
        <f>INDEX(Products!$B$2:$B$9,MATCH(D213,Products!$A$2:$A$9,0))</f>
        <v>Trà cà leo gai giảm cân</v>
      </c>
      <c r="H213" s="9" t="str">
        <f>INDEX(Products!$C$2:$C$9,MATCH(D213,Products!$A$2:$A$9,0))</f>
        <v>Detox</v>
      </c>
      <c r="I213" s="11">
        <f>INDEX(Products!$D$2:$D$9,MATCH(D213,Products!$A$2:$A$9,0))</f>
        <v>15000</v>
      </c>
      <c r="J213" s="10">
        <f>IFERROR(INDEX(PlatformFees!$C$2:$C$5,MATCH(C213,PlatformFees!$A$2:$A$5,0)),0)</f>
        <v>0</v>
      </c>
      <c r="K213" s="11">
        <f t="shared" si="12"/>
        <v>30000</v>
      </c>
      <c r="L213" s="11">
        <f t="shared" si="13"/>
        <v>0</v>
      </c>
      <c r="M213" s="11">
        <f t="shared" si="14"/>
        <v>83100</v>
      </c>
      <c r="N213" s="10">
        <f t="shared" si="15"/>
        <v>0.73474801061007955</v>
      </c>
    </row>
    <row r="214" spans="1:14" x14ac:dyDescent="0.3">
      <c r="A214" s="9" t="s">
        <v>273</v>
      </c>
      <c r="B214" s="9" t="s">
        <v>263</v>
      </c>
      <c r="C214" s="9" t="s">
        <v>36</v>
      </c>
      <c r="D214" s="9" t="s">
        <v>20</v>
      </c>
      <c r="E214" s="9">
        <v>2</v>
      </c>
      <c r="F214" s="11">
        <v>103500</v>
      </c>
      <c r="G214" s="9" t="str">
        <f>INDEX(Products!$B$2:$B$9,MATCH(D214,Products!$A$2:$A$9,0))</f>
        <v>Trà cà leo gai giảm cân</v>
      </c>
      <c r="H214" s="9" t="str">
        <f>INDEX(Products!$C$2:$C$9,MATCH(D214,Products!$A$2:$A$9,0))</f>
        <v>Detox</v>
      </c>
      <c r="I214" s="11">
        <f>INDEX(Products!$D$2:$D$9,MATCH(D214,Products!$A$2:$A$9,0))</f>
        <v>15000</v>
      </c>
      <c r="J214" s="10">
        <f>IFERROR(INDEX(PlatformFees!$C$2:$C$5,MATCH(C214,PlatformFees!$A$2:$A$5,0)),0)</f>
        <v>0.13</v>
      </c>
      <c r="K214" s="11">
        <f t="shared" si="12"/>
        <v>30000</v>
      </c>
      <c r="L214" s="11">
        <f t="shared" si="13"/>
        <v>13455</v>
      </c>
      <c r="M214" s="11">
        <f t="shared" si="14"/>
        <v>60045</v>
      </c>
      <c r="N214" s="10">
        <f t="shared" si="15"/>
        <v>0.58014492753623192</v>
      </c>
    </row>
    <row r="215" spans="1:14" x14ac:dyDescent="0.3">
      <c r="A215" s="9" t="s">
        <v>274</v>
      </c>
      <c r="B215" s="9" t="s">
        <v>263</v>
      </c>
      <c r="C215" s="9" t="s">
        <v>38</v>
      </c>
      <c r="D215" s="9" t="s">
        <v>25</v>
      </c>
      <c r="E215" s="9">
        <v>1</v>
      </c>
      <c r="F215" s="11">
        <v>34500</v>
      </c>
      <c r="G215" s="9" t="str">
        <f>INDEX(Products!$B$2:$B$9,MATCH(D215,Products!$A$2:$A$9,0))</f>
        <v>Trà hoa đậu biếc</v>
      </c>
      <c r="H215" s="9" t="str">
        <f>INDEX(Products!$C$2:$C$9,MATCH(D215,Products!$A$2:$A$9,0))</f>
        <v>An thần</v>
      </c>
      <c r="I215" s="11">
        <f>INDEX(Products!$D$2:$D$9,MATCH(D215,Products!$A$2:$A$9,0))</f>
        <v>8800</v>
      </c>
      <c r="J215" s="10">
        <f>IFERROR(INDEX(PlatformFees!$C$2:$C$5,MATCH(C215,PlatformFees!$A$2:$A$5,0)),0)</f>
        <v>0.16</v>
      </c>
      <c r="K215" s="11">
        <f t="shared" si="12"/>
        <v>8800</v>
      </c>
      <c r="L215" s="11">
        <f t="shared" si="13"/>
        <v>5520</v>
      </c>
      <c r="M215" s="11">
        <f t="shared" si="14"/>
        <v>20180</v>
      </c>
      <c r="N215" s="10">
        <f t="shared" si="15"/>
        <v>0.58492753623188409</v>
      </c>
    </row>
    <row r="216" spans="1:14" x14ac:dyDescent="0.3">
      <c r="A216" s="9" t="s">
        <v>275</v>
      </c>
      <c r="B216" s="9" t="s">
        <v>263</v>
      </c>
      <c r="C216" s="9" t="s">
        <v>36</v>
      </c>
      <c r="D216" s="9" t="s">
        <v>25</v>
      </c>
      <c r="E216" s="9">
        <v>2</v>
      </c>
      <c r="F216" s="11">
        <v>65100</v>
      </c>
      <c r="G216" s="9" t="str">
        <f>INDEX(Products!$B$2:$B$9,MATCH(D216,Products!$A$2:$A$9,0))</f>
        <v>Trà hoa đậu biếc</v>
      </c>
      <c r="H216" s="9" t="str">
        <f>INDEX(Products!$C$2:$C$9,MATCH(D216,Products!$A$2:$A$9,0))</f>
        <v>An thần</v>
      </c>
      <c r="I216" s="11">
        <f>INDEX(Products!$D$2:$D$9,MATCH(D216,Products!$A$2:$A$9,0))</f>
        <v>8800</v>
      </c>
      <c r="J216" s="10">
        <f>IFERROR(INDEX(PlatformFees!$C$2:$C$5,MATCH(C216,PlatformFees!$A$2:$A$5,0)),0)</f>
        <v>0.13</v>
      </c>
      <c r="K216" s="11">
        <f t="shared" si="12"/>
        <v>17600</v>
      </c>
      <c r="L216" s="11">
        <f t="shared" si="13"/>
        <v>8463</v>
      </c>
      <c r="M216" s="11">
        <f t="shared" si="14"/>
        <v>39037</v>
      </c>
      <c r="N216" s="10">
        <f t="shared" si="15"/>
        <v>0.59964669738863285</v>
      </c>
    </row>
    <row r="217" spans="1:14" x14ac:dyDescent="0.3">
      <c r="A217" s="9" t="s">
        <v>276</v>
      </c>
      <c r="B217" s="9" t="s">
        <v>263</v>
      </c>
      <c r="C217" s="9" t="s">
        <v>39</v>
      </c>
      <c r="D217" s="9" t="s">
        <v>15</v>
      </c>
      <c r="E217" s="9">
        <v>1</v>
      </c>
      <c r="F217" s="11">
        <v>30400</v>
      </c>
      <c r="G217" s="9" t="str">
        <f>INDEX(Products!$B$2:$B$9,MATCH(D217,Products!$A$2:$A$9,0))</f>
        <v>Trà lá nam sen ổi</v>
      </c>
      <c r="H217" s="9" t="str">
        <f>INDEX(Products!$C$2:$C$9,MATCH(D217,Products!$A$2:$A$9,0))</f>
        <v>Thanh lọc</v>
      </c>
      <c r="I217" s="11">
        <f>INDEX(Products!$D$2:$D$9,MATCH(D217,Products!$A$2:$A$9,0))</f>
        <v>8500</v>
      </c>
      <c r="J217" s="10">
        <f>IFERROR(INDEX(PlatformFees!$C$2:$C$5,MATCH(C217,PlatformFees!$A$2:$A$5,0)),0)</f>
        <v>0</v>
      </c>
      <c r="K217" s="11">
        <f t="shared" si="12"/>
        <v>8500</v>
      </c>
      <c r="L217" s="11">
        <f t="shared" si="13"/>
        <v>0</v>
      </c>
      <c r="M217" s="11">
        <f t="shared" si="14"/>
        <v>21900</v>
      </c>
      <c r="N217" s="10">
        <f t="shared" si="15"/>
        <v>0.72039473684210531</v>
      </c>
    </row>
    <row r="218" spans="1:14" x14ac:dyDescent="0.3">
      <c r="A218" s="9" t="s">
        <v>277</v>
      </c>
      <c r="B218" s="9" t="s">
        <v>263</v>
      </c>
      <c r="C218" s="9" t="s">
        <v>36</v>
      </c>
      <c r="D218" s="9" t="s">
        <v>20</v>
      </c>
      <c r="E218" s="9">
        <v>3</v>
      </c>
      <c r="F218" s="11">
        <v>160700</v>
      </c>
      <c r="G218" s="9" t="str">
        <f>INDEX(Products!$B$2:$B$9,MATCH(D218,Products!$A$2:$A$9,0))</f>
        <v>Trà cà leo gai giảm cân</v>
      </c>
      <c r="H218" s="9" t="str">
        <f>INDEX(Products!$C$2:$C$9,MATCH(D218,Products!$A$2:$A$9,0))</f>
        <v>Detox</v>
      </c>
      <c r="I218" s="11">
        <f>INDEX(Products!$D$2:$D$9,MATCH(D218,Products!$A$2:$A$9,0))</f>
        <v>15000</v>
      </c>
      <c r="J218" s="10">
        <f>IFERROR(INDEX(PlatformFees!$C$2:$C$5,MATCH(C218,PlatformFees!$A$2:$A$5,0)),0)</f>
        <v>0.13</v>
      </c>
      <c r="K218" s="11">
        <f t="shared" si="12"/>
        <v>45000</v>
      </c>
      <c r="L218" s="11">
        <f t="shared" si="13"/>
        <v>20891</v>
      </c>
      <c r="M218" s="11">
        <f t="shared" si="14"/>
        <v>94809</v>
      </c>
      <c r="N218" s="10">
        <f t="shared" si="15"/>
        <v>0.58997510889856875</v>
      </c>
    </row>
    <row r="219" spans="1:14" x14ac:dyDescent="0.3">
      <c r="A219" s="9" t="s">
        <v>278</v>
      </c>
      <c r="B219" s="9" t="s">
        <v>279</v>
      </c>
      <c r="C219" s="9" t="s">
        <v>36</v>
      </c>
      <c r="D219" s="9" t="s">
        <v>20</v>
      </c>
      <c r="E219" s="9">
        <v>1</v>
      </c>
      <c r="F219" s="11">
        <v>53900</v>
      </c>
      <c r="G219" s="9" t="str">
        <f>INDEX(Products!$B$2:$B$9,MATCH(D219,Products!$A$2:$A$9,0))</f>
        <v>Trà cà leo gai giảm cân</v>
      </c>
      <c r="H219" s="9" t="str">
        <f>INDEX(Products!$C$2:$C$9,MATCH(D219,Products!$A$2:$A$9,0))</f>
        <v>Detox</v>
      </c>
      <c r="I219" s="11">
        <f>INDEX(Products!$D$2:$D$9,MATCH(D219,Products!$A$2:$A$9,0))</f>
        <v>15000</v>
      </c>
      <c r="J219" s="10">
        <f>IFERROR(INDEX(PlatformFees!$C$2:$C$5,MATCH(C219,PlatformFees!$A$2:$A$5,0)),0)</f>
        <v>0.13</v>
      </c>
      <c r="K219" s="11">
        <f t="shared" si="12"/>
        <v>15000</v>
      </c>
      <c r="L219" s="11">
        <f t="shared" si="13"/>
        <v>7007</v>
      </c>
      <c r="M219" s="11">
        <f t="shared" si="14"/>
        <v>31893</v>
      </c>
      <c r="N219" s="10">
        <f t="shared" si="15"/>
        <v>0.59170686456400745</v>
      </c>
    </row>
    <row r="220" spans="1:14" x14ac:dyDescent="0.3">
      <c r="A220" s="9" t="s">
        <v>280</v>
      </c>
      <c r="B220" s="9" t="s">
        <v>279</v>
      </c>
      <c r="C220" s="9" t="s">
        <v>38</v>
      </c>
      <c r="D220" s="9" t="s">
        <v>20</v>
      </c>
      <c r="E220" s="9">
        <v>1</v>
      </c>
      <c r="F220" s="11">
        <v>55900</v>
      </c>
      <c r="G220" s="9" t="str">
        <f>INDEX(Products!$B$2:$B$9,MATCH(D220,Products!$A$2:$A$9,0))</f>
        <v>Trà cà leo gai giảm cân</v>
      </c>
      <c r="H220" s="9" t="str">
        <f>INDEX(Products!$C$2:$C$9,MATCH(D220,Products!$A$2:$A$9,0))</f>
        <v>Detox</v>
      </c>
      <c r="I220" s="11">
        <f>INDEX(Products!$D$2:$D$9,MATCH(D220,Products!$A$2:$A$9,0))</f>
        <v>15000</v>
      </c>
      <c r="J220" s="10">
        <f>IFERROR(INDEX(PlatformFees!$C$2:$C$5,MATCH(C220,PlatformFees!$A$2:$A$5,0)),0)</f>
        <v>0.16</v>
      </c>
      <c r="K220" s="11">
        <f t="shared" si="12"/>
        <v>15000</v>
      </c>
      <c r="L220" s="11">
        <f t="shared" si="13"/>
        <v>8944</v>
      </c>
      <c r="M220" s="11">
        <f t="shared" si="14"/>
        <v>31956</v>
      </c>
      <c r="N220" s="10">
        <f t="shared" si="15"/>
        <v>0.57166368515205723</v>
      </c>
    </row>
    <row r="221" spans="1:14" x14ac:dyDescent="0.3">
      <c r="A221" s="9" t="s">
        <v>281</v>
      </c>
      <c r="B221" s="9" t="s">
        <v>279</v>
      </c>
      <c r="C221" s="9" t="s">
        <v>40</v>
      </c>
      <c r="D221" s="9" t="s">
        <v>15</v>
      </c>
      <c r="E221" s="9">
        <v>2</v>
      </c>
      <c r="F221" s="11">
        <v>60500</v>
      </c>
      <c r="G221" s="9" t="str">
        <f>INDEX(Products!$B$2:$B$9,MATCH(D221,Products!$A$2:$A$9,0))</f>
        <v>Trà lá nam sen ổi</v>
      </c>
      <c r="H221" s="9" t="str">
        <f>INDEX(Products!$C$2:$C$9,MATCH(D221,Products!$A$2:$A$9,0))</f>
        <v>Thanh lọc</v>
      </c>
      <c r="I221" s="11">
        <f>INDEX(Products!$D$2:$D$9,MATCH(D221,Products!$A$2:$A$9,0))</f>
        <v>8500</v>
      </c>
      <c r="J221" s="10">
        <f>IFERROR(INDEX(PlatformFees!$C$2:$C$5,MATCH(C221,PlatformFees!$A$2:$A$5,0)),0)</f>
        <v>0</v>
      </c>
      <c r="K221" s="11">
        <f t="shared" si="12"/>
        <v>17000</v>
      </c>
      <c r="L221" s="11">
        <f t="shared" si="13"/>
        <v>0</v>
      </c>
      <c r="M221" s="11">
        <f t="shared" si="14"/>
        <v>43500</v>
      </c>
      <c r="N221" s="10">
        <f t="shared" si="15"/>
        <v>0.71900826446280997</v>
      </c>
    </row>
    <row r="222" spans="1:14" x14ac:dyDescent="0.3">
      <c r="A222" s="9" t="s">
        <v>282</v>
      </c>
      <c r="B222" s="9" t="s">
        <v>279</v>
      </c>
      <c r="C222" s="9" t="s">
        <v>39</v>
      </c>
      <c r="D222" s="9" t="s">
        <v>12</v>
      </c>
      <c r="E222" s="9">
        <v>3</v>
      </c>
      <c r="F222" s="11">
        <v>102100</v>
      </c>
      <c r="G222" s="9" t="str">
        <f>INDEX(Products!$B$2:$B$9,MATCH(D222,Products!$A$2:$A$9,0))</f>
        <v>Trà atiso thanh lọc</v>
      </c>
      <c r="H222" s="9" t="str">
        <f>INDEX(Products!$C$2:$C$9,MATCH(D222,Products!$A$2:$A$9,0))</f>
        <v>Thanh lọc</v>
      </c>
      <c r="I222" s="11">
        <f>INDEX(Products!$D$2:$D$9,MATCH(D222,Products!$A$2:$A$9,0))</f>
        <v>9000</v>
      </c>
      <c r="J222" s="10">
        <f>IFERROR(INDEX(PlatformFees!$C$2:$C$5,MATCH(C222,PlatformFees!$A$2:$A$5,0)),0)</f>
        <v>0</v>
      </c>
      <c r="K222" s="11">
        <f t="shared" si="12"/>
        <v>27000</v>
      </c>
      <c r="L222" s="11">
        <f t="shared" si="13"/>
        <v>0</v>
      </c>
      <c r="M222" s="11">
        <f t="shared" si="14"/>
        <v>75100</v>
      </c>
      <c r="N222" s="10">
        <f t="shared" si="15"/>
        <v>0.73555337904015672</v>
      </c>
    </row>
    <row r="223" spans="1:14" x14ac:dyDescent="0.3">
      <c r="A223" s="9" t="s">
        <v>283</v>
      </c>
      <c r="B223" s="9" t="s">
        <v>279</v>
      </c>
      <c r="C223" s="9" t="s">
        <v>40</v>
      </c>
      <c r="D223" s="9" t="s">
        <v>20</v>
      </c>
      <c r="E223" s="9">
        <v>3</v>
      </c>
      <c r="F223" s="11">
        <v>166200</v>
      </c>
      <c r="G223" s="9" t="str">
        <f>INDEX(Products!$B$2:$B$9,MATCH(D223,Products!$A$2:$A$9,0))</f>
        <v>Trà cà leo gai giảm cân</v>
      </c>
      <c r="H223" s="9" t="str">
        <f>INDEX(Products!$C$2:$C$9,MATCH(D223,Products!$A$2:$A$9,0))</f>
        <v>Detox</v>
      </c>
      <c r="I223" s="11">
        <f>INDEX(Products!$D$2:$D$9,MATCH(D223,Products!$A$2:$A$9,0))</f>
        <v>15000</v>
      </c>
      <c r="J223" s="10">
        <f>IFERROR(INDEX(PlatformFees!$C$2:$C$5,MATCH(C223,PlatformFees!$A$2:$A$5,0)),0)</f>
        <v>0</v>
      </c>
      <c r="K223" s="11">
        <f t="shared" si="12"/>
        <v>45000</v>
      </c>
      <c r="L223" s="11">
        <f t="shared" si="13"/>
        <v>0</v>
      </c>
      <c r="M223" s="11">
        <f t="shared" si="14"/>
        <v>121200</v>
      </c>
      <c r="N223" s="10">
        <f t="shared" si="15"/>
        <v>0.72924187725631773</v>
      </c>
    </row>
    <row r="224" spans="1:14" x14ac:dyDescent="0.3">
      <c r="A224" s="9" t="s">
        <v>284</v>
      </c>
      <c r="B224" s="9" t="s">
        <v>279</v>
      </c>
      <c r="C224" s="9" t="s">
        <v>38</v>
      </c>
      <c r="D224" s="9" t="s">
        <v>15</v>
      </c>
      <c r="E224" s="9">
        <v>1</v>
      </c>
      <c r="F224" s="11">
        <v>29900</v>
      </c>
      <c r="G224" s="9" t="str">
        <f>INDEX(Products!$B$2:$B$9,MATCH(D224,Products!$A$2:$A$9,0))</f>
        <v>Trà lá nam sen ổi</v>
      </c>
      <c r="H224" s="9" t="str">
        <f>INDEX(Products!$C$2:$C$9,MATCH(D224,Products!$A$2:$A$9,0))</f>
        <v>Thanh lọc</v>
      </c>
      <c r="I224" s="11">
        <f>INDEX(Products!$D$2:$D$9,MATCH(D224,Products!$A$2:$A$9,0))</f>
        <v>8500</v>
      </c>
      <c r="J224" s="10">
        <f>IFERROR(INDEX(PlatformFees!$C$2:$C$5,MATCH(C224,PlatformFees!$A$2:$A$5,0)),0)</f>
        <v>0.16</v>
      </c>
      <c r="K224" s="11">
        <f t="shared" si="12"/>
        <v>8500</v>
      </c>
      <c r="L224" s="11">
        <f t="shared" si="13"/>
        <v>4784</v>
      </c>
      <c r="M224" s="11">
        <f t="shared" si="14"/>
        <v>16616</v>
      </c>
      <c r="N224" s="10">
        <f t="shared" si="15"/>
        <v>0.55571906354515055</v>
      </c>
    </row>
    <row r="225" spans="1:14" x14ac:dyDescent="0.3">
      <c r="A225" s="9" t="s">
        <v>285</v>
      </c>
      <c r="B225" s="9" t="s">
        <v>279</v>
      </c>
      <c r="C225" s="9" t="s">
        <v>40</v>
      </c>
      <c r="D225" s="9" t="s">
        <v>17</v>
      </c>
      <c r="E225" s="9">
        <v>1</v>
      </c>
      <c r="F225" s="11">
        <v>42700</v>
      </c>
      <c r="G225" s="9" t="str">
        <f>INDEX(Products!$B$2:$B$9,MATCH(D225,Products!$A$2:$A$9,0))</f>
        <v>Trà diếp cá rau má</v>
      </c>
      <c r="H225" s="9" t="str">
        <f>INDEX(Products!$C$2:$C$9,MATCH(D225,Products!$A$2:$A$9,0))</f>
        <v>Detox</v>
      </c>
      <c r="I225" s="11">
        <f>INDEX(Products!$D$2:$D$9,MATCH(D225,Products!$A$2:$A$9,0))</f>
        <v>10500</v>
      </c>
      <c r="J225" s="10">
        <f>IFERROR(INDEX(PlatformFees!$C$2:$C$5,MATCH(C225,PlatformFees!$A$2:$A$5,0)),0)</f>
        <v>0</v>
      </c>
      <c r="K225" s="11">
        <f t="shared" si="12"/>
        <v>10500</v>
      </c>
      <c r="L225" s="11">
        <f t="shared" si="13"/>
        <v>0</v>
      </c>
      <c r="M225" s="11">
        <f t="shared" si="14"/>
        <v>32200</v>
      </c>
      <c r="N225" s="10">
        <f t="shared" si="15"/>
        <v>0.75409836065573765</v>
      </c>
    </row>
    <row r="226" spans="1:14" x14ac:dyDescent="0.3">
      <c r="A226" s="9" t="s">
        <v>286</v>
      </c>
      <c r="B226" s="9" t="s">
        <v>279</v>
      </c>
      <c r="C226" s="9" t="s">
        <v>36</v>
      </c>
      <c r="D226" s="9" t="s">
        <v>20</v>
      </c>
      <c r="E226" s="9">
        <v>2</v>
      </c>
      <c r="F226" s="11">
        <v>101400</v>
      </c>
      <c r="G226" s="9" t="str">
        <f>INDEX(Products!$B$2:$B$9,MATCH(D226,Products!$A$2:$A$9,0))</f>
        <v>Trà cà leo gai giảm cân</v>
      </c>
      <c r="H226" s="9" t="str">
        <f>INDEX(Products!$C$2:$C$9,MATCH(D226,Products!$A$2:$A$9,0))</f>
        <v>Detox</v>
      </c>
      <c r="I226" s="11">
        <f>INDEX(Products!$D$2:$D$9,MATCH(D226,Products!$A$2:$A$9,0))</f>
        <v>15000</v>
      </c>
      <c r="J226" s="10">
        <f>IFERROR(INDEX(PlatformFees!$C$2:$C$5,MATCH(C226,PlatformFees!$A$2:$A$5,0)),0)</f>
        <v>0.13</v>
      </c>
      <c r="K226" s="11">
        <f t="shared" si="12"/>
        <v>30000</v>
      </c>
      <c r="L226" s="11">
        <f t="shared" si="13"/>
        <v>13182</v>
      </c>
      <c r="M226" s="11">
        <f t="shared" si="14"/>
        <v>58218</v>
      </c>
      <c r="N226" s="10">
        <f t="shared" si="15"/>
        <v>0.57414201183431957</v>
      </c>
    </row>
    <row r="227" spans="1:14" x14ac:dyDescent="0.3">
      <c r="A227" s="9" t="s">
        <v>287</v>
      </c>
      <c r="B227" s="9" t="s">
        <v>279</v>
      </c>
      <c r="C227" s="9" t="s">
        <v>36</v>
      </c>
      <c r="D227" s="9" t="s">
        <v>27</v>
      </c>
      <c r="E227" s="9">
        <v>1</v>
      </c>
      <c r="F227" s="11">
        <v>37100</v>
      </c>
      <c r="G227" s="9" t="str">
        <f>INDEX(Products!$B$2:$B$9,MATCH(D227,Products!$A$2:$A$9,0))</f>
        <v>Trà gừng mật ong</v>
      </c>
      <c r="H227" s="9" t="str">
        <f>INDEX(Products!$C$2:$C$9,MATCH(D227,Products!$A$2:$A$9,0))</f>
        <v>Giữ ấm</v>
      </c>
      <c r="I227" s="11">
        <f>INDEX(Products!$D$2:$D$9,MATCH(D227,Products!$A$2:$A$9,0))</f>
        <v>11000</v>
      </c>
      <c r="J227" s="10">
        <f>IFERROR(INDEX(PlatformFees!$C$2:$C$5,MATCH(C227,PlatformFees!$A$2:$A$5,0)),0)</f>
        <v>0.13</v>
      </c>
      <c r="K227" s="11">
        <f t="shared" si="12"/>
        <v>11000</v>
      </c>
      <c r="L227" s="11">
        <f t="shared" si="13"/>
        <v>4823</v>
      </c>
      <c r="M227" s="11">
        <f t="shared" si="14"/>
        <v>21277</v>
      </c>
      <c r="N227" s="10">
        <f t="shared" si="15"/>
        <v>0.57350404312668468</v>
      </c>
    </row>
    <row r="228" spans="1:14" x14ac:dyDescent="0.3">
      <c r="A228" s="9" t="s">
        <v>288</v>
      </c>
      <c r="B228" s="9" t="s">
        <v>279</v>
      </c>
      <c r="C228" s="9" t="s">
        <v>39</v>
      </c>
      <c r="D228" s="9" t="s">
        <v>15</v>
      </c>
      <c r="E228" s="9">
        <v>2</v>
      </c>
      <c r="F228" s="11">
        <v>63800</v>
      </c>
      <c r="G228" s="9" t="str">
        <f>INDEX(Products!$B$2:$B$9,MATCH(D228,Products!$A$2:$A$9,0))</f>
        <v>Trà lá nam sen ổi</v>
      </c>
      <c r="H228" s="9" t="str">
        <f>INDEX(Products!$C$2:$C$9,MATCH(D228,Products!$A$2:$A$9,0))</f>
        <v>Thanh lọc</v>
      </c>
      <c r="I228" s="11">
        <f>INDEX(Products!$D$2:$D$9,MATCH(D228,Products!$A$2:$A$9,0))</f>
        <v>8500</v>
      </c>
      <c r="J228" s="10">
        <f>IFERROR(INDEX(PlatformFees!$C$2:$C$5,MATCH(C228,PlatformFees!$A$2:$A$5,0)),0)</f>
        <v>0</v>
      </c>
      <c r="K228" s="11">
        <f t="shared" si="12"/>
        <v>17000</v>
      </c>
      <c r="L228" s="11">
        <f t="shared" si="13"/>
        <v>0</v>
      </c>
      <c r="M228" s="11">
        <f t="shared" si="14"/>
        <v>46800</v>
      </c>
      <c r="N228" s="10">
        <f t="shared" si="15"/>
        <v>0.73354231974921635</v>
      </c>
    </row>
    <row r="229" spans="1:14" x14ac:dyDescent="0.3">
      <c r="A229" s="9" t="s">
        <v>289</v>
      </c>
      <c r="B229" s="9" t="s">
        <v>279</v>
      </c>
      <c r="C229" s="9" t="s">
        <v>38</v>
      </c>
      <c r="D229" s="9" t="s">
        <v>27</v>
      </c>
      <c r="E229" s="9">
        <v>3</v>
      </c>
      <c r="F229" s="11">
        <v>121700</v>
      </c>
      <c r="G229" s="9" t="str">
        <f>INDEX(Products!$B$2:$B$9,MATCH(D229,Products!$A$2:$A$9,0))</f>
        <v>Trà gừng mật ong</v>
      </c>
      <c r="H229" s="9" t="str">
        <f>INDEX(Products!$C$2:$C$9,MATCH(D229,Products!$A$2:$A$9,0))</f>
        <v>Giữ ấm</v>
      </c>
      <c r="I229" s="11">
        <f>INDEX(Products!$D$2:$D$9,MATCH(D229,Products!$A$2:$A$9,0))</f>
        <v>11000</v>
      </c>
      <c r="J229" s="10">
        <f>IFERROR(INDEX(PlatformFees!$C$2:$C$5,MATCH(C229,PlatformFees!$A$2:$A$5,0)),0)</f>
        <v>0.16</v>
      </c>
      <c r="K229" s="11">
        <f t="shared" si="12"/>
        <v>33000</v>
      </c>
      <c r="L229" s="11">
        <f t="shared" si="13"/>
        <v>19472</v>
      </c>
      <c r="M229" s="11">
        <f t="shared" si="14"/>
        <v>69228</v>
      </c>
      <c r="N229" s="10">
        <f t="shared" si="15"/>
        <v>0.56884141331142157</v>
      </c>
    </row>
    <row r="230" spans="1:14" x14ac:dyDescent="0.3">
      <c r="A230" s="9" t="s">
        <v>290</v>
      </c>
      <c r="B230" s="9" t="s">
        <v>279</v>
      </c>
      <c r="C230" s="9" t="s">
        <v>36</v>
      </c>
      <c r="D230" s="9" t="s">
        <v>17</v>
      </c>
      <c r="E230" s="9">
        <v>3</v>
      </c>
      <c r="F230" s="11">
        <v>128200</v>
      </c>
      <c r="G230" s="9" t="str">
        <f>INDEX(Products!$B$2:$B$9,MATCH(D230,Products!$A$2:$A$9,0))</f>
        <v>Trà diếp cá rau má</v>
      </c>
      <c r="H230" s="9" t="str">
        <f>INDEX(Products!$C$2:$C$9,MATCH(D230,Products!$A$2:$A$9,0))</f>
        <v>Detox</v>
      </c>
      <c r="I230" s="11">
        <f>INDEX(Products!$D$2:$D$9,MATCH(D230,Products!$A$2:$A$9,0))</f>
        <v>10500</v>
      </c>
      <c r="J230" s="10">
        <f>IFERROR(INDEX(PlatformFees!$C$2:$C$5,MATCH(C230,PlatformFees!$A$2:$A$5,0)),0)</f>
        <v>0.13</v>
      </c>
      <c r="K230" s="11">
        <f t="shared" si="12"/>
        <v>31500</v>
      </c>
      <c r="L230" s="11">
        <f t="shared" si="13"/>
        <v>16666</v>
      </c>
      <c r="M230" s="11">
        <f t="shared" si="14"/>
        <v>80034</v>
      </c>
      <c r="N230" s="10">
        <f t="shared" si="15"/>
        <v>0.62429017160686429</v>
      </c>
    </row>
    <row r="231" spans="1:14" x14ac:dyDescent="0.3">
      <c r="A231" s="9" t="s">
        <v>291</v>
      </c>
      <c r="B231" s="9" t="s">
        <v>279</v>
      </c>
      <c r="C231" s="9" t="s">
        <v>38</v>
      </c>
      <c r="D231" s="9" t="s">
        <v>20</v>
      </c>
      <c r="E231" s="9">
        <v>2</v>
      </c>
      <c r="F231" s="11">
        <v>102000</v>
      </c>
      <c r="G231" s="9" t="str">
        <f>INDEX(Products!$B$2:$B$9,MATCH(D231,Products!$A$2:$A$9,0))</f>
        <v>Trà cà leo gai giảm cân</v>
      </c>
      <c r="H231" s="9" t="str">
        <f>INDEX(Products!$C$2:$C$9,MATCH(D231,Products!$A$2:$A$9,0))</f>
        <v>Detox</v>
      </c>
      <c r="I231" s="11">
        <f>INDEX(Products!$D$2:$D$9,MATCH(D231,Products!$A$2:$A$9,0))</f>
        <v>15000</v>
      </c>
      <c r="J231" s="10">
        <f>IFERROR(INDEX(PlatformFees!$C$2:$C$5,MATCH(C231,PlatformFees!$A$2:$A$5,0)),0)</f>
        <v>0.16</v>
      </c>
      <c r="K231" s="11">
        <f t="shared" si="12"/>
        <v>30000</v>
      </c>
      <c r="L231" s="11">
        <f t="shared" si="13"/>
        <v>16320</v>
      </c>
      <c r="M231" s="11">
        <f t="shared" si="14"/>
        <v>55680</v>
      </c>
      <c r="N231" s="10">
        <f t="shared" si="15"/>
        <v>0.54588235294117649</v>
      </c>
    </row>
    <row r="232" spans="1:14" x14ac:dyDescent="0.3">
      <c r="A232" s="9" t="s">
        <v>292</v>
      </c>
      <c r="B232" s="9" t="s">
        <v>279</v>
      </c>
      <c r="C232" s="9" t="s">
        <v>38</v>
      </c>
      <c r="D232" s="9" t="s">
        <v>30</v>
      </c>
      <c r="E232" s="9">
        <v>1</v>
      </c>
      <c r="F232" s="11">
        <v>36100</v>
      </c>
      <c r="G232" s="9" t="str">
        <f>INDEX(Products!$B$2:$B$9,MATCH(D232,Products!$A$2:$A$9,0))</f>
        <v>Trà mâm xôi vitamin</v>
      </c>
      <c r="H232" s="9" t="str">
        <f>INDEX(Products!$C$2:$C$9,MATCH(D232,Products!$A$2:$A$9,0))</f>
        <v>Bổ sung dưỡng chất</v>
      </c>
      <c r="I232" s="11">
        <f>INDEX(Products!$D$2:$D$9,MATCH(D232,Products!$A$2:$A$9,0))</f>
        <v>9800</v>
      </c>
      <c r="J232" s="10">
        <f>IFERROR(INDEX(PlatformFees!$C$2:$C$5,MATCH(C232,PlatformFees!$A$2:$A$5,0)),0)</f>
        <v>0.16</v>
      </c>
      <c r="K232" s="11">
        <f t="shared" si="12"/>
        <v>9800</v>
      </c>
      <c r="L232" s="11">
        <f t="shared" si="13"/>
        <v>5776</v>
      </c>
      <c r="M232" s="11">
        <f t="shared" si="14"/>
        <v>20524</v>
      </c>
      <c r="N232" s="10">
        <f t="shared" si="15"/>
        <v>0.56853185595567868</v>
      </c>
    </row>
    <row r="233" spans="1:14" x14ac:dyDescent="0.3">
      <c r="A233" s="9" t="s">
        <v>293</v>
      </c>
      <c r="B233" s="9" t="s">
        <v>279</v>
      </c>
      <c r="C233" s="9" t="s">
        <v>36</v>
      </c>
      <c r="D233" s="9" t="s">
        <v>12</v>
      </c>
      <c r="E233" s="9">
        <v>3</v>
      </c>
      <c r="F233" s="11">
        <v>104700</v>
      </c>
      <c r="G233" s="9" t="str">
        <f>INDEX(Products!$B$2:$B$9,MATCH(D233,Products!$A$2:$A$9,0))</f>
        <v>Trà atiso thanh lọc</v>
      </c>
      <c r="H233" s="9" t="str">
        <f>INDEX(Products!$C$2:$C$9,MATCH(D233,Products!$A$2:$A$9,0))</f>
        <v>Thanh lọc</v>
      </c>
      <c r="I233" s="11">
        <f>INDEX(Products!$D$2:$D$9,MATCH(D233,Products!$A$2:$A$9,0))</f>
        <v>9000</v>
      </c>
      <c r="J233" s="10">
        <f>IFERROR(INDEX(PlatformFees!$C$2:$C$5,MATCH(C233,PlatformFees!$A$2:$A$5,0)),0)</f>
        <v>0.13</v>
      </c>
      <c r="K233" s="11">
        <f t="shared" si="12"/>
        <v>27000</v>
      </c>
      <c r="L233" s="11">
        <f t="shared" si="13"/>
        <v>13611</v>
      </c>
      <c r="M233" s="11">
        <f t="shared" si="14"/>
        <v>64089</v>
      </c>
      <c r="N233" s="10">
        <f t="shared" si="15"/>
        <v>0.6121203438395415</v>
      </c>
    </row>
    <row r="234" spans="1:14" x14ac:dyDescent="0.3">
      <c r="A234" s="9" t="s">
        <v>294</v>
      </c>
      <c r="B234" s="9" t="s">
        <v>279</v>
      </c>
      <c r="C234" s="9" t="s">
        <v>36</v>
      </c>
      <c r="D234" s="9" t="s">
        <v>15</v>
      </c>
      <c r="E234" s="9">
        <v>1</v>
      </c>
      <c r="F234" s="11">
        <v>32600</v>
      </c>
      <c r="G234" s="9" t="str">
        <f>INDEX(Products!$B$2:$B$9,MATCH(D234,Products!$A$2:$A$9,0))</f>
        <v>Trà lá nam sen ổi</v>
      </c>
      <c r="H234" s="9" t="str">
        <f>INDEX(Products!$C$2:$C$9,MATCH(D234,Products!$A$2:$A$9,0))</f>
        <v>Thanh lọc</v>
      </c>
      <c r="I234" s="11">
        <f>INDEX(Products!$D$2:$D$9,MATCH(D234,Products!$A$2:$A$9,0))</f>
        <v>8500</v>
      </c>
      <c r="J234" s="10">
        <f>IFERROR(INDEX(PlatformFees!$C$2:$C$5,MATCH(C234,PlatformFees!$A$2:$A$5,0)),0)</f>
        <v>0.13</v>
      </c>
      <c r="K234" s="11">
        <f t="shared" si="12"/>
        <v>8500</v>
      </c>
      <c r="L234" s="11">
        <f t="shared" si="13"/>
        <v>4238</v>
      </c>
      <c r="M234" s="11">
        <f t="shared" si="14"/>
        <v>19862</v>
      </c>
      <c r="N234" s="10">
        <f t="shared" si="15"/>
        <v>0.60926380368098154</v>
      </c>
    </row>
    <row r="235" spans="1:14" x14ac:dyDescent="0.3">
      <c r="A235" s="9" t="s">
        <v>295</v>
      </c>
      <c r="B235" s="9" t="s">
        <v>279</v>
      </c>
      <c r="C235" s="9" t="s">
        <v>36</v>
      </c>
      <c r="D235" s="9" t="s">
        <v>25</v>
      </c>
      <c r="E235" s="9">
        <v>1</v>
      </c>
      <c r="F235" s="11">
        <v>32600</v>
      </c>
      <c r="G235" s="9" t="str">
        <f>INDEX(Products!$B$2:$B$9,MATCH(D235,Products!$A$2:$A$9,0))</f>
        <v>Trà hoa đậu biếc</v>
      </c>
      <c r="H235" s="9" t="str">
        <f>INDEX(Products!$C$2:$C$9,MATCH(D235,Products!$A$2:$A$9,0))</f>
        <v>An thần</v>
      </c>
      <c r="I235" s="11">
        <f>INDEX(Products!$D$2:$D$9,MATCH(D235,Products!$A$2:$A$9,0))</f>
        <v>8800</v>
      </c>
      <c r="J235" s="10">
        <f>IFERROR(INDEX(PlatformFees!$C$2:$C$5,MATCH(C235,PlatformFees!$A$2:$A$5,0)),0)</f>
        <v>0.13</v>
      </c>
      <c r="K235" s="11">
        <f t="shared" si="12"/>
        <v>8800</v>
      </c>
      <c r="L235" s="11">
        <f t="shared" si="13"/>
        <v>4238</v>
      </c>
      <c r="M235" s="11">
        <f t="shared" si="14"/>
        <v>19562</v>
      </c>
      <c r="N235" s="10">
        <f t="shared" si="15"/>
        <v>0.60006134969325153</v>
      </c>
    </row>
    <row r="236" spans="1:14" x14ac:dyDescent="0.3">
      <c r="A236" s="9" t="s">
        <v>296</v>
      </c>
      <c r="B236" s="9" t="s">
        <v>297</v>
      </c>
      <c r="C236" s="9" t="s">
        <v>36</v>
      </c>
      <c r="D236" s="9" t="s">
        <v>20</v>
      </c>
      <c r="E236" s="9">
        <v>2</v>
      </c>
      <c r="F236" s="11">
        <v>109400</v>
      </c>
      <c r="G236" s="9" t="str">
        <f>INDEX(Products!$B$2:$B$9,MATCH(D236,Products!$A$2:$A$9,0))</f>
        <v>Trà cà leo gai giảm cân</v>
      </c>
      <c r="H236" s="9" t="str">
        <f>INDEX(Products!$C$2:$C$9,MATCH(D236,Products!$A$2:$A$9,0))</f>
        <v>Detox</v>
      </c>
      <c r="I236" s="11">
        <f>INDEX(Products!$D$2:$D$9,MATCH(D236,Products!$A$2:$A$9,0))</f>
        <v>15000</v>
      </c>
      <c r="J236" s="10">
        <f>IFERROR(INDEX(PlatformFees!$C$2:$C$5,MATCH(C236,PlatformFees!$A$2:$A$5,0)),0)</f>
        <v>0.13</v>
      </c>
      <c r="K236" s="11">
        <f t="shared" si="12"/>
        <v>30000</v>
      </c>
      <c r="L236" s="11">
        <f t="shared" si="13"/>
        <v>14222</v>
      </c>
      <c r="M236" s="11">
        <f t="shared" si="14"/>
        <v>65178</v>
      </c>
      <c r="N236" s="10">
        <f t="shared" si="15"/>
        <v>0.59577696526508228</v>
      </c>
    </row>
    <row r="237" spans="1:14" x14ac:dyDescent="0.3">
      <c r="A237" s="9" t="s">
        <v>298</v>
      </c>
      <c r="B237" s="9" t="s">
        <v>297</v>
      </c>
      <c r="C237" s="9" t="s">
        <v>36</v>
      </c>
      <c r="D237" s="9" t="s">
        <v>15</v>
      </c>
      <c r="E237" s="9">
        <v>2</v>
      </c>
      <c r="F237" s="11">
        <v>65000</v>
      </c>
      <c r="G237" s="9" t="str">
        <f>INDEX(Products!$B$2:$B$9,MATCH(D237,Products!$A$2:$A$9,0))</f>
        <v>Trà lá nam sen ổi</v>
      </c>
      <c r="H237" s="9" t="str">
        <f>INDEX(Products!$C$2:$C$9,MATCH(D237,Products!$A$2:$A$9,0))</f>
        <v>Thanh lọc</v>
      </c>
      <c r="I237" s="11">
        <f>INDEX(Products!$D$2:$D$9,MATCH(D237,Products!$A$2:$A$9,0))</f>
        <v>8500</v>
      </c>
      <c r="J237" s="10">
        <f>IFERROR(INDEX(PlatformFees!$C$2:$C$5,MATCH(C237,PlatformFees!$A$2:$A$5,0)),0)</f>
        <v>0.13</v>
      </c>
      <c r="K237" s="11">
        <f t="shared" si="12"/>
        <v>17000</v>
      </c>
      <c r="L237" s="11">
        <f t="shared" si="13"/>
        <v>8450</v>
      </c>
      <c r="M237" s="11">
        <f t="shared" si="14"/>
        <v>39550</v>
      </c>
      <c r="N237" s="10">
        <f t="shared" si="15"/>
        <v>0.6084615384615385</v>
      </c>
    </row>
    <row r="238" spans="1:14" x14ac:dyDescent="0.3">
      <c r="A238" s="9" t="s">
        <v>299</v>
      </c>
      <c r="B238" s="9" t="s">
        <v>297</v>
      </c>
      <c r="C238" s="9" t="s">
        <v>38</v>
      </c>
      <c r="D238" s="9" t="s">
        <v>17</v>
      </c>
      <c r="E238" s="9">
        <v>2</v>
      </c>
      <c r="F238" s="11">
        <v>78600</v>
      </c>
      <c r="G238" s="9" t="str">
        <f>INDEX(Products!$B$2:$B$9,MATCH(D238,Products!$A$2:$A$9,0))</f>
        <v>Trà diếp cá rau má</v>
      </c>
      <c r="H238" s="9" t="str">
        <f>INDEX(Products!$C$2:$C$9,MATCH(D238,Products!$A$2:$A$9,0))</f>
        <v>Detox</v>
      </c>
      <c r="I238" s="11">
        <f>INDEX(Products!$D$2:$D$9,MATCH(D238,Products!$A$2:$A$9,0))</f>
        <v>10500</v>
      </c>
      <c r="J238" s="10">
        <f>IFERROR(INDEX(PlatformFees!$C$2:$C$5,MATCH(C238,PlatformFees!$A$2:$A$5,0)),0)</f>
        <v>0.16</v>
      </c>
      <c r="K238" s="11">
        <f t="shared" si="12"/>
        <v>21000</v>
      </c>
      <c r="L238" s="11">
        <f t="shared" si="13"/>
        <v>12576</v>
      </c>
      <c r="M238" s="11">
        <f t="shared" si="14"/>
        <v>45024</v>
      </c>
      <c r="N238" s="10">
        <f t="shared" si="15"/>
        <v>0.572824427480916</v>
      </c>
    </row>
    <row r="239" spans="1:14" x14ac:dyDescent="0.3">
      <c r="A239" s="9" t="s">
        <v>300</v>
      </c>
      <c r="B239" s="9" t="s">
        <v>297</v>
      </c>
      <c r="C239" s="9" t="s">
        <v>38</v>
      </c>
      <c r="D239" s="9" t="s">
        <v>17</v>
      </c>
      <c r="E239" s="9">
        <v>1</v>
      </c>
      <c r="F239" s="11">
        <v>41700</v>
      </c>
      <c r="G239" s="9" t="str">
        <f>INDEX(Products!$B$2:$B$9,MATCH(D239,Products!$A$2:$A$9,0))</f>
        <v>Trà diếp cá rau má</v>
      </c>
      <c r="H239" s="9" t="str">
        <f>INDEX(Products!$C$2:$C$9,MATCH(D239,Products!$A$2:$A$9,0))</f>
        <v>Detox</v>
      </c>
      <c r="I239" s="11">
        <f>INDEX(Products!$D$2:$D$9,MATCH(D239,Products!$A$2:$A$9,0))</f>
        <v>10500</v>
      </c>
      <c r="J239" s="10">
        <f>IFERROR(INDEX(PlatformFees!$C$2:$C$5,MATCH(C239,PlatformFees!$A$2:$A$5,0)),0)</f>
        <v>0.16</v>
      </c>
      <c r="K239" s="11">
        <f t="shared" si="12"/>
        <v>10500</v>
      </c>
      <c r="L239" s="11">
        <f t="shared" si="13"/>
        <v>6672</v>
      </c>
      <c r="M239" s="11">
        <f t="shared" si="14"/>
        <v>24528</v>
      </c>
      <c r="N239" s="10">
        <f t="shared" si="15"/>
        <v>0.58820143884892084</v>
      </c>
    </row>
    <row r="240" spans="1:14" x14ac:dyDescent="0.3">
      <c r="A240" s="9" t="s">
        <v>301</v>
      </c>
      <c r="B240" s="9" t="s">
        <v>297</v>
      </c>
      <c r="C240" s="9" t="s">
        <v>39</v>
      </c>
      <c r="D240" s="9" t="s">
        <v>22</v>
      </c>
      <c r="E240" s="9">
        <v>1</v>
      </c>
      <c r="F240" s="11">
        <v>37800</v>
      </c>
      <c r="G240" s="9" t="str">
        <f>INDEX(Products!$B$2:$B$9,MATCH(D240,Products!$A$2:$A$9,0))</f>
        <v>Trà hoa cúc an thần</v>
      </c>
      <c r="H240" s="9" t="str">
        <f>INDEX(Products!$C$2:$C$9,MATCH(D240,Products!$A$2:$A$9,0))</f>
        <v>An thần</v>
      </c>
      <c r="I240" s="11">
        <f>INDEX(Products!$D$2:$D$9,MATCH(D240,Products!$A$2:$A$9,0))</f>
        <v>9500</v>
      </c>
      <c r="J240" s="10">
        <f>IFERROR(INDEX(PlatformFees!$C$2:$C$5,MATCH(C240,PlatformFees!$A$2:$A$5,0)),0)</f>
        <v>0</v>
      </c>
      <c r="K240" s="11">
        <f t="shared" si="12"/>
        <v>9500</v>
      </c>
      <c r="L240" s="11">
        <f t="shared" si="13"/>
        <v>0</v>
      </c>
      <c r="M240" s="11">
        <f t="shared" si="14"/>
        <v>28300</v>
      </c>
      <c r="N240" s="10">
        <f t="shared" si="15"/>
        <v>0.74867724867724872</v>
      </c>
    </row>
    <row r="241" spans="1:14" x14ac:dyDescent="0.3">
      <c r="A241" s="9" t="s">
        <v>302</v>
      </c>
      <c r="B241" s="9" t="s">
        <v>297</v>
      </c>
      <c r="C241" s="9" t="s">
        <v>36</v>
      </c>
      <c r="D241" s="9" t="s">
        <v>20</v>
      </c>
      <c r="E241" s="9">
        <v>1</v>
      </c>
      <c r="F241" s="11">
        <v>56600</v>
      </c>
      <c r="G241" s="9" t="str">
        <f>INDEX(Products!$B$2:$B$9,MATCH(D241,Products!$A$2:$A$9,0))</f>
        <v>Trà cà leo gai giảm cân</v>
      </c>
      <c r="H241" s="9" t="str">
        <f>INDEX(Products!$C$2:$C$9,MATCH(D241,Products!$A$2:$A$9,0))</f>
        <v>Detox</v>
      </c>
      <c r="I241" s="11">
        <f>INDEX(Products!$D$2:$D$9,MATCH(D241,Products!$A$2:$A$9,0))</f>
        <v>15000</v>
      </c>
      <c r="J241" s="10">
        <f>IFERROR(INDEX(PlatformFees!$C$2:$C$5,MATCH(C241,PlatformFees!$A$2:$A$5,0)),0)</f>
        <v>0.13</v>
      </c>
      <c r="K241" s="11">
        <f t="shared" si="12"/>
        <v>15000</v>
      </c>
      <c r="L241" s="11">
        <f t="shared" si="13"/>
        <v>7358</v>
      </c>
      <c r="M241" s="11">
        <f t="shared" si="14"/>
        <v>34242</v>
      </c>
      <c r="N241" s="10">
        <f t="shared" si="15"/>
        <v>0.60498233215547703</v>
      </c>
    </row>
    <row r="242" spans="1:14" x14ac:dyDescent="0.3">
      <c r="A242" s="9" t="s">
        <v>303</v>
      </c>
      <c r="B242" s="9" t="s">
        <v>297</v>
      </c>
      <c r="C242" s="9" t="s">
        <v>36</v>
      </c>
      <c r="D242" s="9" t="s">
        <v>30</v>
      </c>
      <c r="E242" s="9">
        <v>3</v>
      </c>
      <c r="F242" s="11">
        <v>102300</v>
      </c>
      <c r="G242" s="9" t="str">
        <f>INDEX(Products!$B$2:$B$9,MATCH(D242,Products!$A$2:$A$9,0))</f>
        <v>Trà mâm xôi vitamin</v>
      </c>
      <c r="H242" s="9" t="str">
        <f>INDEX(Products!$C$2:$C$9,MATCH(D242,Products!$A$2:$A$9,0))</f>
        <v>Bổ sung dưỡng chất</v>
      </c>
      <c r="I242" s="11">
        <f>INDEX(Products!$D$2:$D$9,MATCH(D242,Products!$A$2:$A$9,0))</f>
        <v>9800</v>
      </c>
      <c r="J242" s="10">
        <f>IFERROR(INDEX(PlatformFees!$C$2:$C$5,MATCH(C242,PlatformFees!$A$2:$A$5,0)),0)</f>
        <v>0.13</v>
      </c>
      <c r="K242" s="11">
        <f t="shared" si="12"/>
        <v>29400</v>
      </c>
      <c r="L242" s="11">
        <f t="shared" si="13"/>
        <v>13299</v>
      </c>
      <c r="M242" s="11">
        <f t="shared" si="14"/>
        <v>59601</v>
      </c>
      <c r="N242" s="10">
        <f t="shared" si="15"/>
        <v>0.58260997067448683</v>
      </c>
    </row>
    <row r="243" spans="1:14" x14ac:dyDescent="0.3">
      <c r="A243" s="9" t="s">
        <v>304</v>
      </c>
      <c r="B243" s="9" t="s">
        <v>297</v>
      </c>
      <c r="C243" s="9" t="s">
        <v>39</v>
      </c>
      <c r="D243" s="9" t="s">
        <v>15</v>
      </c>
      <c r="E243" s="9">
        <v>2</v>
      </c>
      <c r="F243" s="11">
        <v>64900</v>
      </c>
      <c r="G243" s="9" t="str">
        <f>INDEX(Products!$B$2:$B$9,MATCH(D243,Products!$A$2:$A$9,0))</f>
        <v>Trà lá nam sen ổi</v>
      </c>
      <c r="H243" s="9" t="str">
        <f>INDEX(Products!$C$2:$C$9,MATCH(D243,Products!$A$2:$A$9,0))</f>
        <v>Thanh lọc</v>
      </c>
      <c r="I243" s="11">
        <f>INDEX(Products!$D$2:$D$9,MATCH(D243,Products!$A$2:$A$9,0))</f>
        <v>8500</v>
      </c>
      <c r="J243" s="10">
        <f>IFERROR(INDEX(PlatformFees!$C$2:$C$5,MATCH(C243,PlatformFees!$A$2:$A$5,0)),0)</f>
        <v>0</v>
      </c>
      <c r="K243" s="11">
        <f t="shared" si="12"/>
        <v>17000</v>
      </c>
      <c r="L243" s="11">
        <f t="shared" si="13"/>
        <v>0</v>
      </c>
      <c r="M243" s="11">
        <f t="shared" si="14"/>
        <v>47900</v>
      </c>
      <c r="N243" s="10">
        <f t="shared" si="15"/>
        <v>0.7380585516178737</v>
      </c>
    </row>
    <row r="244" spans="1:14" x14ac:dyDescent="0.3">
      <c r="A244" s="9" t="s">
        <v>305</v>
      </c>
      <c r="B244" s="9" t="s">
        <v>297</v>
      </c>
      <c r="C244" s="9" t="s">
        <v>36</v>
      </c>
      <c r="D244" s="9" t="s">
        <v>17</v>
      </c>
      <c r="E244" s="9">
        <v>1</v>
      </c>
      <c r="F244" s="11">
        <v>41300</v>
      </c>
      <c r="G244" s="9" t="str">
        <f>INDEX(Products!$B$2:$B$9,MATCH(D244,Products!$A$2:$A$9,0))</f>
        <v>Trà diếp cá rau má</v>
      </c>
      <c r="H244" s="9" t="str">
        <f>INDEX(Products!$C$2:$C$9,MATCH(D244,Products!$A$2:$A$9,0))</f>
        <v>Detox</v>
      </c>
      <c r="I244" s="11">
        <f>INDEX(Products!$D$2:$D$9,MATCH(D244,Products!$A$2:$A$9,0))</f>
        <v>10500</v>
      </c>
      <c r="J244" s="10">
        <f>IFERROR(INDEX(PlatformFees!$C$2:$C$5,MATCH(C244,PlatformFees!$A$2:$A$5,0)),0)</f>
        <v>0.13</v>
      </c>
      <c r="K244" s="11">
        <f t="shared" si="12"/>
        <v>10500</v>
      </c>
      <c r="L244" s="11">
        <f t="shared" si="13"/>
        <v>5369</v>
      </c>
      <c r="M244" s="11">
        <f t="shared" si="14"/>
        <v>25431</v>
      </c>
      <c r="N244" s="10">
        <f t="shared" si="15"/>
        <v>0.61576271186440679</v>
      </c>
    </row>
    <row r="245" spans="1:14" x14ac:dyDescent="0.3">
      <c r="A245" s="9" t="s">
        <v>306</v>
      </c>
      <c r="B245" s="9" t="s">
        <v>297</v>
      </c>
      <c r="C245" s="9" t="s">
        <v>40</v>
      </c>
      <c r="D245" s="9" t="s">
        <v>17</v>
      </c>
      <c r="E245" s="9">
        <v>3</v>
      </c>
      <c r="F245" s="11">
        <v>121400</v>
      </c>
      <c r="G245" s="9" t="str">
        <f>INDEX(Products!$B$2:$B$9,MATCH(D245,Products!$A$2:$A$9,0))</f>
        <v>Trà diếp cá rau má</v>
      </c>
      <c r="H245" s="9" t="str">
        <f>INDEX(Products!$C$2:$C$9,MATCH(D245,Products!$A$2:$A$9,0))</f>
        <v>Detox</v>
      </c>
      <c r="I245" s="11">
        <f>INDEX(Products!$D$2:$D$9,MATCH(D245,Products!$A$2:$A$9,0))</f>
        <v>10500</v>
      </c>
      <c r="J245" s="10">
        <f>IFERROR(INDEX(PlatformFees!$C$2:$C$5,MATCH(C245,PlatformFees!$A$2:$A$5,0)),0)</f>
        <v>0</v>
      </c>
      <c r="K245" s="11">
        <f t="shared" si="12"/>
        <v>31500</v>
      </c>
      <c r="L245" s="11">
        <f t="shared" si="13"/>
        <v>0</v>
      </c>
      <c r="M245" s="11">
        <f t="shared" si="14"/>
        <v>89900</v>
      </c>
      <c r="N245" s="10">
        <f t="shared" si="15"/>
        <v>0.74052718286655683</v>
      </c>
    </row>
    <row r="246" spans="1:14" x14ac:dyDescent="0.3">
      <c r="A246" s="9" t="s">
        <v>307</v>
      </c>
      <c r="B246" s="9" t="s">
        <v>297</v>
      </c>
      <c r="C246" s="9" t="s">
        <v>36</v>
      </c>
      <c r="D246" s="9" t="s">
        <v>27</v>
      </c>
      <c r="E246" s="9">
        <v>3</v>
      </c>
      <c r="F246" s="11">
        <v>123300</v>
      </c>
      <c r="G246" s="9" t="str">
        <f>INDEX(Products!$B$2:$B$9,MATCH(D246,Products!$A$2:$A$9,0))</f>
        <v>Trà gừng mật ong</v>
      </c>
      <c r="H246" s="9" t="str">
        <f>INDEX(Products!$C$2:$C$9,MATCH(D246,Products!$A$2:$A$9,0))</f>
        <v>Giữ ấm</v>
      </c>
      <c r="I246" s="11">
        <f>INDEX(Products!$D$2:$D$9,MATCH(D246,Products!$A$2:$A$9,0))</f>
        <v>11000</v>
      </c>
      <c r="J246" s="10">
        <f>IFERROR(INDEX(PlatformFees!$C$2:$C$5,MATCH(C246,PlatformFees!$A$2:$A$5,0)),0)</f>
        <v>0.13</v>
      </c>
      <c r="K246" s="11">
        <f t="shared" si="12"/>
        <v>33000</v>
      </c>
      <c r="L246" s="11">
        <f t="shared" si="13"/>
        <v>16029</v>
      </c>
      <c r="M246" s="11">
        <f t="shared" si="14"/>
        <v>74271</v>
      </c>
      <c r="N246" s="10">
        <f t="shared" si="15"/>
        <v>0.60236009732360096</v>
      </c>
    </row>
    <row r="247" spans="1:14" x14ac:dyDescent="0.3">
      <c r="A247" s="9" t="s">
        <v>308</v>
      </c>
      <c r="B247" s="9" t="s">
        <v>297</v>
      </c>
      <c r="C247" s="9" t="s">
        <v>40</v>
      </c>
      <c r="D247" s="9" t="s">
        <v>27</v>
      </c>
      <c r="E247" s="9">
        <v>1</v>
      </c>
      <c r="F247" s="11">
        <v>40200</v>
      </c>
      <c r="G247" s="9" t="str">
        <f>INDEX(Products!$B$2:$B$9,MATCH(D247,Products!$A$2:$A$9,0))</f>
        <v>Trà gừng mật ong</v>
      </c>
      <c r="H247" s="9" t="str">
        <f>INDEX(Products!$C$2:$C$9,MATCH(D247,Products!$A$2:$A$9,0))</f>
        <v>Giữ ấm</v>
      </c>
      <c r="I247" s="11">
        <f>INDEX(Products!$D$2:$D$9,MATCH(D247,Products!$A$2:$A$9,0))</f>
        <v>11000</v>
      </c>
      <c r="J247" s="10">
        <f>IFERROR(INDEX(PlatformFees!$C$2:$C$5,MATCH(C247,PlatformFees!$A$2:$A$5,0)),0)</f>
        <v>0</v>
      </c>
      <c r="K247" s="11">
        <f t="shared" si="12"/>
        <v>11000</v>
      </c>
      <c r="L247" s="11">
        <f t="shared" si="13"/>
        <v>0</v>
      </c>
      <c r="M247" s="11">
        <f t="shared" si="14"/>
        <v>29200</v>
      </c>
      <c r="N247" s="10">
        <f t="shared" si="15"/>
        <v>0.72636815920398012</v>
      </c>
    </row>
    <row r="248" spans="1:14" x14ac:dyDescent="0.3">
      <c r="A248" s="9" t="s">
        <v>309</v>
      </c>
      <c r="B248" s="9" t="s">
        <v>297</v>
      </c>
      <c r="C248" s="9" t="s">
        <v>36</v>
      </c>
      <c r="D248" s="9" t="s">
        <v>27</v>
      </c>
      <c r="E248" s="9">
        <v>1</v>
      </c>
      <c r="F248" s="11">
        <v>39600</v>
      </c>
      <c r="G248" s="9" t="str">
        <f>INDEX(Products!$B$2:$B$9,MATCH(D248,Products!$A$2:$A$9,0))</f>
        <v>Trà gừng mật ong</v>
      </c>
      <c r="H248" s="9" t="str">
        <f>INDEX(Products!$C$2:$C$9,MATCH(D248,Products!$A$2:$A$9,0))</f>
        <v>Giữ ấm</v>
      </c>
      <c r="I248" s="11">
        <f>INDEX(Products!$D$2:$D$9,MATCH(D248,Products!$A$2:$A$9,0))</f>
        <v>11000</v>
      </c>
      <c r="J248" s="10">
        <f>IFERROR(INDEX(PlatformFees!$C$2:$C$5,MATCH(C248,PlatformFees!$A$2:$A$5,0)),0)</f>
        <v>0.13</v>
      </c>
      <c r="K248" s="11">
        <f t="shared" si="12"/>
        <v>11000</v>
      </c>
      <c r="L248" s="11">
        <f t="shared" si="13"/>
        <v>5148</v>
      </c>
      <c r="M248" s="11">
        <f t="shared" si="14"/>
        <v>23452</v>
      </c>
      <c r="N248" s="10">
        <f t="shared" si="15"/>
        <v>0.59222222222222221</v>
      </c>
    </row>
    <row r="249" spans="1:14" x14ac:dyDescent="0.3">
      <c r="A249" s="9" t="s">
        <v>310</v>
      </c>
      <c r="B249" s="9" t="s">
        <v>297</v>
      </c>
      <c r="C249" s="9" t="s">
        <v>38</v>
      </c>
      <c r="D249" s="9" t="s">
        <v>22</v>
      </c>
      <c r="E249" s="9">
        <v>3</v>
      </c>
      <c r="F249" s="11">
        <v>114500</v>
      </c>
      <c r="G249" s="9" t="str">
        <f>INDEX(Products!$B$2:$B$9,MATCH(D249,Products!$A$2:$A$9,0))</f>
        <v>Trà hoa cúc an thần</v>
      </c>
      <c r="H249" s="9" t="str">
        <f>INDEX(Products!$C$2:$C$9,MATCH(D249,Products!$A$2:$A$9,0))</f>
        <v>An thần</v>
      </c>
      <c r="I249" s="11">
        <f>INDEX(Products!$D$2:$D$9,MATCH(D249,Products!$A$2:$A$9,0))</f>
        <v>9500</v>
      </c>
      <c r="J249" s="10">
        <f>IFERROR(INDEX(PlatformFees!$C$2:$C$5,MATCH(C249,PlatformFees!$A$2:$A$5,0)),0)</f>
        <v>0.16</v>
      </c>
      <c r="K249" s="11">
        <f t="shared" si="12"/>
        <v>28500</v>
      </c>
      <c r="L249" s="11">
        <f t="shared" si="13"/>
        <v>18320</v>
      </c>
      <c r="M249" s="11">
        <f t="shared" si="14"/>
        <v>67680</v>
      </c>
      <c r="N249" s="10">
        <f t="shared" si="15"/>
        <v>0.59109170305676861</v>
      </c>
    </row>
    <row r="250" spans="1:14" x14ac:dyDescent="0.3">
      <c r="A250" s="9" t="s">
        <v>311</v>
      </c>
      <c r="B250" s="9" t="s">
        <v>297</v>
      </c>
      <c r="C250" s="9" t="s">
        <v>38</v>
      </c>
      <c r="D250" s="9" t="s">
        <v>15</v>
      </c>
      <c r="E250" s="9">
        <v>1</v>
      </c>
      <c r="F250" s="11">
        <v>32600</v>
      </c>
      <c r="G250" s="9" t="str">
        <f>INDEX(Products!$B$2:$B$9,MATCH(D250,Products!$A$2:$A$9,0))</f>
        <v>Trà lá nam sen ổi</v>
      </c>
      <c r="H250" s="9" t="str">
        <f>INDEX(Products!$C$2:$C$9,MATCH(D250,Products!$A$2:$A$9,0))</f>
        <v>Thanh lọc</v>
      </c>
      <c r="I250" s="11">
        <f>INDEX(Products!$D$2:$D$9,MATCH(D250,Products!$A$2:$A$9,0))</f>
        <v>8500</v>
      </c>
      <c r="J250" s="10">
        <f>IFERROR(INDEX(PlatformFees!$C$2:$C$5,MATCH(C250,PlatformFees!$A$2:$A$5,0)),0)</f>
        <v>0.16</v>
      </c>
      <c r="K250" s="11">
        <f t="shared" si="12"/>
        <v>8500</v>
      </c>
      <c r="L250" s="11">
        <f t="shared" si="13"/>
        <v>5216</v>
      </c>
      <c r="M250" s="11">
        <f t="shared" si="14"/>
        <v>18884</v>
      </c>
      <c r="N250" s="10">
        <f t="shared" si="15"/>
        <v>0.57926380368098163</v>
      </c>
    </row>
    <row r="251" spans="1:14" x14ac:dyDescent="0.3">
      <c r="A251" s="9" t="s">
        <v>312</v>
      </c>
      <c r="B251" s="9" t="s">
        <v>297</v>
      </c>
      <c r="C251" s="9" t="s">
        <v>38</v>
      </c>
      <c r="D251" s="9" t="s">
        <v>17</v>
      </c>
      <c r="E251" s="9">
        <v>2</v>
      </c>
      <c r="F251" s="11">
        <v>77600</v>
      </c>
      <c r="G251" s="9" t="str">
        <f>INDEX(Products!$B$2:$B$9,MATCH(D251,Products!$A$2:$A$9,0))</f>
        <v>Trà diếp cá rau má</v>
      </c>
      <c r="H251" s="9" t="str">
        <f>INDEX(Products!$C$2:$C$9,MATCH(D251,Products!$A$2:$A$9,0))</f>
        <v>Detox</v>
      </c>
      <c r="I251" s="11">
        <f>INDEX(Products!$D$2:$D$9,MATCH(D251,Products!$A$2:$A$9,0))</f>
        <v>10500</v>
      </c>
      <c r="J251" s="10">
        <f>IFERROR(INDEX(PlatformFees!$C$2:$C$5,MATCH(C251,PlatformFees!$A$2:$A$5,0)),0)</f>
        <v>0.16</v>
      </c>
      <c r="K251" s="11">
        <f t="shared" si="12"/>
        <v>21000</v>
      </c>
      <c r="L251" s="11">
        <f t="shared" si="13"/>
        <v>12416</v>
      </c>
      <c r="M251" s="11">
        <f t="shared" si="14"/>
        <v>44184</v>
      </c>
      <c r="N251" s="10">
        <f t="shared" si="15"/>
        <v>0.56938144329896911</v>
      </c>
    </row>
    <row r="252" spans="1:14" x14ac:dyDescent="0.3">
      <c r="A252" s="9" t="s">
        <v>313</v>
      </c>
      <c r="B252" s="9" t="s">
        <v>297</v>
      </c>
      <c r="C252" s="9" t="s">
        <v>36</v>
      </c>
      <c r="D252" s="9" t="s">
        <v>15</v>
      </c>
      <c r="E252" s="9">
        <v>1</v>
      </c>
      <c r="F252" s="11">
        <v>30600</v>
      </c>
      <c r="G252" s="9" t="str">
        <f>INDEX(Products!$B$2:$B$9,MATCH(D252,Products!$A$2:$A$9,0))</f>
        <v>Trà lá nam sen ổi</v>
      </c>
      <c r="H252" s="9" t="str">
        <f>INDEX(Products!$C$2:$C$9,MATCH(D252,Products!$A$2:$A$9,0))</f>
        <v>Thanh lọc</v>
      </c>
      <c r="I252" s="11">
        <f>INDEX(Products!$D$2:$D$9,MATCH(D252,Products!$A$2:$A$9,0))</f>
        <v>8500</v>
      </c>
      <c r="J252" s="10">
        <f>IFERROR(INDEX(PlatformFees!$C$2:$C$5,MATCH(C252,PlatformFees!$A$2:$A$5,0)),0)</f>
        <v>0.13</v>
      </c>
      <c r="K252" s="11">
        <f t="shared" si="12"/>
        <v>8500</v>
      </c>
      <c r="L252" s="11">
        <f t="shared" si="13"/>
        <v>3978</v>
      </c>
      <c r="M252" s="11">
        <f t="shared" si="14"/>
        <v>18122</v>
      </c>
      <c r="N252" s="10">
        <f t="shared" si="15"/>
        <v>0.59222222222222221</v>
      </c>
    </row>
    <row r="253" spans="1:14" x14ac:dyDescent="0.3">
      <c r="A253" s="9" t="s">
        <v>314</v>
      </c>
      <c r="B253" s="9" t="s">
        <v>297</v>
      </c>
      <c r="C253" s="9" t="s">
        <v>36</v>
      </c>
      <c r="D253" s="9" t="s">
        <v>17</v>
      </c>
      <c r="E253" s="9">
        <v>2</v>
      </c>
      <c r="F253" s="11">
        <v>85400</v>
      </c>
      <c r="G253" s="9" t="str">
        <f>INDEX(Products!$B$2:$B$9,MATCH(D253,Products!$A$2:$A$9,0))</f>
        <v>Trà diếp cá rau má</v>
      </c>
      <c r="H253" s="9" t="str">
        <f>INDEX(Products!$C$2:$C$9,MATCH(D253,Products!$A$2:$A$9,0))</f>
        <v>Detox</v>
      </c>
      <c r="I253" s="11">
        <f>INDEX(Products!$D$2:$D$9,MATCH(D253,Products!$A$2:$A$9,0))</f>
        <v>10500</v>
      </c>
      <c r="J253" s="10">
        <f>IFERROR(INDEX(PlatformFees!$C$2:$C$5,MATCH(C253,PlatformFees!$A$2:$A$5,0)),0)</f>
        <v>0.13</v>
      </c>
      <c r="K253" s="11">
        <f t="shared" si="12"/>
        <v>21000</v>
      </c>
      <c r="L253" s="11">
        <f t="shared" si="13"/>
        <v>11102</v>
      </c>
      <c r="M253" s="11">
        <f t="shared" si="14"/>
        <v>53298</v>
      </c>
      <c r="N253" s="10">
        <f t="shared" si="15"/>
        <v>0.62409836065573765</v>
      </c>
    </row>
    <row r="254" spans="1:14" x14ac:dyDescent="0.3">
      <c r="A254" s="9" t="s">
        <v>315</v>
      </c>
      <c r="B254" s="9" t="s">
        <v>297</v>
      </c>
      <c r="C254" s="9" t="s">
        <v>36</v>
      </c>
      <c r="D254" s="9" t="s">
        <v>20</v>
      </c>
      <c r="E254" s="9">
        <v>1</v>
      </c>
      <c r="F254" s="11">
        <v>55600</v>
      </c>
      <c r="G254" s="9" t="str">
        <f>INDEX(Products!$B$2:$B$9,MATCH(D254,Products!$A$2:$A$9,0))</f>
        <v>Trà cà leo gai giảm cân</v>
      </c>
      <c r="H254" s="9" t="str">
        <f>INDEX(Products!$C$2:$C$9,MATCH(D254,Products!$A$2:$A$9,0))</f>
        <v>Detox</v>
      </c>
      <c r="I254" s="11">
        <f>INDEX(Products!$D$2:$D$9,MATCH(D254,Products!$A$2:$A$9,0))</f>
        <v>15000</v>
      </c>
      <c r="J254" s="10">
        <f>IFERROR(INDEX(PlatformFees!$C$2:$C$5,MATCH(C254,PlatformFees!$A$2:$A$5,0)),0)</f>
        <v>0.13</v>
      </c>
      <c r="K254" s="11">
        <f t="shared" si="12"/>
        <v>15000</v>
      </c>
      <c r="L254" s="11">
        <f t="shared" si="13"/>
        <v>7228</v>
      </c>
      <c r="M254" s="11">
        <f t="shared" si="14"/>
        <v>33372</v>
      </c>
      <c r="N254" s="10">
        <f t="shared" si="15"/>
        <v>0.6002158273381295</v>
      </c>
    </row>
    <row r="255" spans="1:14" x14ac:dyDescent="0.3">
      <c r="A255" s="9" t="s">
        <v>316</v>
      </c>
      <c r="B255" s="9" t="s">
        <v>297</v>
      </c>
      <c r="C255" s="9" t="s">
        <v>36</v>
      </c>
      <c r="D255" s="9" t="s">
        <v>27</v>
      </c>
      <c r="E255" s="9">
        <v>2</v>
      </c>
      <c r="F255" s="11">
        <v>82100</v>
      </c>
      <c r="G255" s="9" t="str">
        <f>INDEX(Products!$B$2:$B$9,MATCH(D255,Products!$A$2:$A$9,0))</f>
        <v>Trà gừng mật ong</v>
      </c>
      <c r="H255" s="9" t="str">
        <f>INDEX(Products!$C$2:$C$9,MATCH(D255,Products!$A$2:$A$9,0))</f>
        <v>Giữ ấm</v>
      </c>
      <c r="I255" s="11">
        <f>INDEX(Products!$D$2:$D$9,MATCH(D255,Products!$A$2:$A$9,0))</f>
        <v>11000</v>
      </c>
      <c r="J255" s="10">
        <f>IFERROR(INDEX(PlatformFees!$C$2:$C$5,MATCH(C255,PlatformFees!$A$2:$A$5,0)),0)</f>
        <v>0.13</v>
      </c>
      <c r="K255" s="11">
        <f t="shared" si="12"/>
        <v>22000</v>
      </c>
      <c r="L255" s="11">
        <f t="shared" si="13"/>
        <v>10673</v>
      </c>
      <c r="M255" s="11">
        <f t="shared" si="14"/>
        <v>49427</v>
      </c>
      <c r="N255" s="10">
        <f t="shared" si="15"/>
        <v>0.6020341047503045</v>
      </c>
    </row>
    <row r="256" spans="1:14" x14ac:dyDescent="0.3">
      <c r="A256" s="9" t="s">
        <v>317</v>
      </c>
      <c r="B256" s="9" t="s">
        <v>297</v>
      </c>
      <c r="C256" s="9" t="s">
        <v>36</v>
      </c>
      <c r="D256" s="9" t="s">
        <v>27</v>
      </c>
      <c r="E256" s="9">
        <v>1</v>
      </c>
      <c r="F256" s="11">
        <v>38900</v>
      </c>
      <c r="G256" s="9" t="str">
        <f>INDEX(Products!$B$2:$B$9,MATCH(D256,Products!$A$2:$A$9,0))</f>
        <v>Trà gừng mật ong</v>
      </c>
      <c r="H256" s="9" t="str">
        <f>INDEX(Products!$C$2:$C$9,MATCH(D256,Products!$A$2:$A$9,0))</f>
        <v>Giữ ấm</v>
      </c>
      <c r="I256" s="11">
        <f>INDEX(Products!$D$2:$D$9,MATCH(D256,Products!$A$2:$A$9,0))</f>
        <v>11000</v>
      </c>
      <c r="J256" s="10">
        <f>IFERROR(INDEX(PlatformFees!$C$2:$C$5,MATCH(C256,PlatformFees!$A$2:$A$5,0)),0)</f>
        <v>0.13</v>
      </c>
      <c r="K256" s="11">
        <f t="shared" si="12"/>
        <v>11000</v>
      </c>
      <c r="L256" s="11">
        <f t="shared" si="13"/>
        <v>5057</v>
      </c>
      <c r="M256" s="11">
        <f t="shared" si="14"/>
        <v>22843</v>
      </c>
      <c r="N256" s="10">
        <f t="shared" si="15"/>
        <v>0.58722365038560409</v>
      </c>
    </row>
    <row r="257" spans="1:14" x14ac:dyDescent="0.3">
      <c r="A257" s="9" t="s">
        <v>318</v>
      </c>
      <c r="B257" s="9" t="s">
        <v>319</v>
      </c>
      <c r="C257" s="9" t="s">
        <v>36</v>
      </c>
      <c r="D257" s="9" t="s">
        <v>30</v>
      </c>
      <c r="E257" s="9">
        <v>3</v>
      </c>
      <c r="F257" s="11">
        <v>108000</v>
      </c>
      <c r="G257" s="9" t="str">
        <f>INDEX(Products!$B$2:$B$9,MATCH(D257,Products!$A$2:$A$9,0))</f>
        <v>Trà mâm xôi vitamin</v>
      </c>
      <c r="H257" s="9" t="str">
        <f>INDEX(Products!$C$2:$C$9,MATCH(D257,Products!$A$2:$A$9,0))</f>
        <v>Bổ sung dưỡng chất</v>
      </c>
      <c r="I257" s="11">
        <f>INDEX(Products!$D$2:$D$9,MATCH(D257,Products!$A$2:$A$9,0))</f>
        <v>9800</v>
      </c>
      <c r="J257" s="10">
        <f>IFERROR(INDEX(PlatformFees!$C$2:$C$5,MATCH(C257,PlatformFees!$A$2:$A$5,0)),0)</f>
        <v>0.13</v>
      </c>
      <c r="K257" s="11">
        <f t="shared" si="12"/>
        <v>29400</v>
      </c>
      <c r="L257" s="11">
        <f t="shared" si="13"/>
        <v>14040</v>
      </c>
      <c r="M257" s="11">
        <f t="shared" si="14"/>
        <v>64560</v>
      </c>
      <c r="N257" s="10">
        <f t="shared" si="15"/>
        <v>0.59777777777777774</v>
      </c>
    </row>
    <row r="258" spans="1:14" x14ac:dyDescent="0.3">
      <c r="A258" s="9" t="s">
        <v>320</v>
      </c>
      <c r="B258" s="9" t="s">
        <v>319</v>
      </c>
      <c r="C258" s="9" t="s">
        <v>40</v>
      </c>
      <c r="D258" s="9" t="s">
        <v>30</v>
      </c>
      <c r="E258" s="9">
        <v>2</v>
      </c>
      <c r="F258" s="11">
        <v>69100</v>
      </c>
      <c r="G258" s="9" t="str">
        <f>INDEX(Products!$B$2:$B$9,MATCH(D258,Products!$A$2:$A$9,0))</f>
        <v>Trà mâm xôi vitamin</v>
      </c>
      <c r="H258" s="9" t="str">
        <f>INDEX(Products!$C$2:$C$9,MATCH(D258,Products!$A$2:$A$9,0))</f>
        <v>Bổ sung dưỡng chất</v>
      </c>
      <c r="I258" s="11">
        <f>INDEX(Products!$D$2:$D$9,MATCH(D258,Products!$A$2:$A$9,0))</f>
        <v>9800</v>
      </c>
      <c r="J258" s="10">
        <f>IFERROR(INDEX(PlatformFees!$C$2:$C$5,MATCH(C258,PlatformFees!$A$2:$A$5,0)),0)</f>
        <v>0</v>
      </c>
      <c r="K258" s="11">
        <f t="shared" ref="K258:K321" si="16">E258*I258</f>
        <v>19600</v>
      </c>
      <c r="L258" s="11">
        <f t="shared" ref="L258:L321" si="17">F258*J258</f>
        <v>0</v>
      </c>
      <c r="M258" s="11">
        <f t="shared" ref="M258:M321" si="18">F258-L258-K258</f>
        <v>49500</v>
      </c>
      <c r="N258" s="10">
        <f t="shared" ref="N258:N321" si="19">IFERROR(M258/F258,0)</f>
        <v>0.71635311143270619</v>
      </c>
    </row>
    <row r="259" spans="1:14" x14ac:dyDescent="0.3">
      <c r="A259" s="9" t="s">
        <v>321</v>
      </c>
      <c r="B259" s="9" t="s">
        <v>319</v>
      </c>
      <c r="C259" s="9" t="s">
        <v>39</v>
      </c>
      <c r="D259" s="9" t="s">
        <v>12</v>
      </c>
      <c r="E259" s="9">
        <v>2</v>
      </c>
      <c r="F259" s="11">
        <v>65400</v>
      </c>
      <c r="G259" s="9" t="str">
        <f>INDEX(Products!$B$2:$B$9,MATCH(D259,Products!$A$2:$A$9,0))</f>
        <v>Trà atiso thanh lọc</v>
      </c>
      <c r="H259" s="9" t="str">
        <f>INDEX(Products!$C$2:$C$9,MATCH(D259,Products!$A$2:$A$9,0))</f>
        <v>Thanh lọc</v>
      </c>
      <c r="I259" s="11">
        <f>INDEX(Products!$D$2:$D$9,MATCH(D259,Products!$A$2:$A$9,0))</f>
        <v>9000</v>
      </c>
      <c r="J259" s="10">
        <f>IFERROR(INDEX(PlatformFees!$C$2:$C$5,MATCH(C259,PlatformFees!$A$2:$A$5,0)),0)</f>
        <v>0</v>
      </c>
      <c r="K259" s="11">
        <f t="shared" si="16"/>
        <v>18000</v>
      </c>
      <c r="L259" s="11">
        <f t="shared" si="17"/>
        <v>0</v>
      </c>
      <c r="M259" s="11">
        <f t="shared" si="18"/>
        <v>47400</v>
      </c>
      <c r="N259" s="10">
        <f t="shared" si="19"/>
        <v>0.72477064220183485</v>
      </c>
    </row>
    <row r="260" spans="1:14" x14ac:dyDescent="0.3">
      <c r="A260" s="9" t="s">
        <v>322</v>
      </c>
      <c r="B260" s="9" t="s">
        <v>319</v>
      </c>
      <c r="C260" s="9" t="s">
        <v>36</v>
      </c>
      <c r="D260" s="9" t="s">
        <v>25</v>
      </c>
      <c r="E260" s="9">
        <v>1</v>
      </c>
      <c r="F260" s="11">
        <v>33500</v>
      </c>
      <c r="G260" s="9" t="str">
        <f>INDEX(Products!$B$2:$B$9,MATCH(D260,Products!$A$2:$A$9,0))</f>
        <v>Trà hoa đậu biếc</v>
      </c>
      <c r="H260" s="9" t="str">
        <f>INDEX(Products!$C$2:$C$9,MATCH(D260,Products!$A$2:$A$9,0))</f>
        <v>An thần</v>
      </c>
      <c r="I260" s="11">
        <f>INDEX(Products!$D$2:$D$9,MATCH(D260,Products!$A$2:$A$9,0))</f>
        <v>8800</v>
      </c>
      <c r="J260" s="10">
        <f>IFERROR(INDEX(PlatformFees!$C$2:$C$5,MATCH(C260,PlatformFees!$A$2:$A$5,0)),0)</f>
        <v>0.13</v>
      </c>
      <c r="K260" s="11">
        <f t="shared" si="16"/>
        <v>8800</v>
      </c>
      <c r="L260" s="11">
        <f t="shared" si="17"/>
        <v>4355</v>
      </c>
      <c r="M260" s="11">
        <f t="shared" si="18"/>
        <v>20345</v>
      </c>
      <c r="N260" s="10">
        <f t="shared" si="19"/>
        <v>0.60731343283582084</v>
      </c>
    </row>
    <row r="261" spans="1:14" x14ac:dyDescent="0.3">
      <c r="A261" s="9" t="s">
        <v>323</v>
      </c>
      <c r="B261" s="9" t="s">
        <v>319</v>
      </c>
      <c r="C261" s="9" t="s">
        <v>39</v>
      </c>
      <c r="D261" s="9" t="s">
        <v>30</v>
      </c>
      <c r="E261" s="9">
        <v>1</v>
      </c>
      <c r="F261" s="11">
        <v>35800</v>
      </c>
      <c r="G261" s="9" t="str">
        <f>INDEX(Products!$B$2:$B$9,MATCH(D261,Products!$A$2:$A$9,0))</f>
        <v>Trà mâm xôi vitamin</v>
      </c>
      <c r="H261" s="9" t="str">
        <f>INDEX(Products!$C$2:$C$9,MATCH(D261,Products!$A$2:$A$9,0))</f>
        <v>Bổ sung dưỡng chất</v>
      </c>
      <c r="I261" s="11">
        <f>INDEX(Products!$D$2:$D$9,MATCH(D261,Products!$A$2:$A$9,0))</f>
        <v>9800</v>
      </c>
      <c r="J261" s="10">
        <f>IFERROR(INDEX(PlatformFees!$C$2:$C$5,MATCH(C261,PlatformFees!$A$2:$A$5,0)),0)</f>
        <v>0</v>
      </c>
      <c r="K261" s="11">
        <f t="shared" si="16"/>
        <v>9800</v>
      </c>
      <c r="L261" s="11">
        <f t="shared" si="17"/>
        <v>0</v>
      </c>
      <c r="M261" s="11">
        <f t="shared" si="18"/>
        <v>26000</v>
      </c>
      <c r="N261" s="10">
        <f t="shared" si="19"/>
        <v>0.72625698324022347</v>
      </c>
    </row>
    <row r="262" spans="1:14" x14ac:dyDescent="0.3">
      <c r="A262" s="9" t="s">
        <v>324</v>
      </c>
      <c r="B262" s="9" t="s">
        <v>319</v>
      </c>
      <c r="C262" s="9" t="s">
        <v>38</v>
      </c>
      <c r="D262" s="9" t="s">
        <v>22</v>
      </c>
      <c r="E262" s="9">
        <v>2</v>
      </c>
      <c r="F262" s="11">
        <v>72700</v>
      </c>
      <c r="G262" s="9" t="str">
        <f>INDEX(Products!$B$2:$B$9,MATCH(D262,Products!$A$2:$A$9,0))</f>
        <v>Trà hoa cúc an thần</v>
      </c>
      <c r="H262" s="9" t="str">
        <f>INDEX(Products!$C$2:$C$9,MATCH(D262,Products!$A$2:$A$9,0))</f>
        <v>An thần</v>
      </c>
      <c r="I262" s="11">
        <f>INDEX(Products!$D$2:$D$9,MATCH(D262,Products!$A$2:$A$9,0))</f>
        <v>9500</v>
      </c>
      <c r="J262" s="10">
        <f>IFERROR(INDEX(PlatformFees!$C$2:$C$5,MATCH(C262,PlatformFees!$A$2:$A$5,0)),0)</f>
        <v>0.16</v>
      </c>
      <c r="K262" s="11">
        <f t="shared" si="16"/>
        <v>19000</v>
      </c>
      <c r="L262" s="11">
        <f t="shared" si="17"/>
        <v>11632</v>
      </c>
      <c r="M262" s="11">
        <f t="shared" si="18"/>
        <v>42068</v>
      </c>
      <c r="N262" s="10">
        <f t="shared" si="19"/>
        <v>0.57865199449793669</v>
      </c>
    </row>
    <row r="263" spans="1:14" x14ac:dyDescent="0.3">
      <c r="A263" s="9" t="s">
        <v>325</v>
      </c>
      <c r="B263" s="9" t="s">
        <v>319</v>
      </c>
      <c r="C263" s="9" t="s">
        <v>38</v>
      </c>
      <c r="D263" s="9" t="s">
        <v>22</v>
      </c>
      <c r="E263" s="9">
        <v>3</v>
      </c>
      <c r="F263" s="11">
        <v>115200</v>
      </c>
      <c r="G263" s="9" t="str">
        <f>INDEX(Products!$B$2:$B$9,MATCH(D263,Products!$A$2:$A$9,0))</f>
        <v>Trà hoa cúc an thần</v>
      </c>
      <c r="H263" s="9" t="str">
        <f>INDEX(Products!$C$2:$C$9,MATCH(D263,Products!$A$2:$A$9,0))</f>
        <v>An thần</v>
      </c>
      <c r="I263" s="11">
        <f>INDEX(Products!$D$2:$D$9,MATCH(D263,Products!$A$2:$A$9,0))</f>
        <v>9500</v>
      </c>
      <c r="J263" s="10">
        <f>IFERROR(INDEX(PlatformFees!$C$2:$C$5,MATCH(C263,PlatformFees!$A$2:$A$5,0)),0)</f>
        <v>0.16</v>
      </c>
      <c r="K263" s="11">
        <f t="shared" si="16"/>
        <v>28500</v>
      </c>
      <c r="L263" s="11">
        <f t="shared" si="17"/>
        <v>18432</v>
      </c>
      <c r="M263" s="11">
        <f t="shared" si="18"/>
        <v>68268</v>
      </c>
      <c r="N263" s="10">
        <f t="shared" si="19"/>
        <v>0.59260416666666671</v>
      </c>
    </row>
    <row r="264" spans="1:14" x14ac:dyDescent="0.3">
      <c r="A264" s="9" t="s">
        <v>326</v>
      </c>
      <c r="B264" s="9" t="s">
        <v>319</v>
      </c>
      <c r="C264" s="9" t="s">
        <v>40</v>
      </c>
      <c r="D264" s="9" t="s">
        <v>17</v>
      </c>
      <c r="E264" s="9">
        <v>2</v>
      </c>
      <c r="F264" s="11">
        <v>78400</v>
      </c>
      <c r="G264" s="9" t="str">
        <f>INDEX(Products!$B$2:$B$9,MATCH(D264,Products!$A$2:$A$9,0))</f>
        <v>Trà diếp cá rau má</v>
      </c>
      <c r="H264" s="9" t="str">
        <f>INDEX(Products!$C$2:$C$9,MATCH(D264,Products!$A$2:$A$9,0))</f>
        <v>Detox</v>
      </c>
      <c r="I264" s="11">
        <f>INDEX(Products!$D$2:$D$9,MATCH(D264,Products!$A$2:$A$9,0))</f>
        <v>10500</v>
      </c>
      <c r="J264" s="10">
        <f>IFERROR(INDEX(PlatformFees!$C$2:$C$5,MATCH(C264,PlatformFees!$A$2:$A$5,0)),0)</f>
        <v>0</v>
      </c>
      <c r="K264" s="11">
        <f t="shared" si="16"/>
        <v>21000</v>
      </c>
      <c r="L264" s="11">
        <f t="shared" si="17"/>
        <v>0</v>
      </c>
      <c r="M264" s="11">
        <f t="shared" si="18"/>
        <v>57400</v>
      </c>
      <c r="N264" s="10">
        <f t="shared" si="19"/>
        <v>0.7321428571428571</v>
      </c>
    </row>
    <row r="265" spans="1:14" x14ac:dyDescent="0.3">
      <c r="A265" s="9" t="s">
        <v>327</v>
      </c>
      <c r="B265" s="9" t="s">
        <v>319</v>
      </c>
      <c r="C265" s="9" t="s">
        <v>36</v>
      </c>
      <c r="D265" s="9" t="s">
        <v>12</v>
      </c>
      <c r="E265" s="9">
        <v>2</v>
      </c>
      <c r="F265" s="11">
        <v>65300</v>
      </c>
      <c r="G265" s="9" t="str">
        <f>INDEX(Products!$B$2:$B$9,MATCH(D265,Products!$A$2:$A$9,0))</f>
        <v>Trà atiso thanh lọc</v>
      </c>
      <c r="H265" s="9" t="str">
        <f>INDEX(Products!$C$2:$C$9,MATCH(D265,Products!$A$2:$A$9,0))</f>
        <v>Thanh lọc</v>
      </c>
      <c r="I265" s="11">
        <f>INDEX(Products!$D$2:$D$9,MATCH(D265,Products!$A$2:$A$9,0))</f>
        <v>9000</v>
      </c>
      <c r="J265" s="10">
        <f>IFERROR(INDEX(PlatformFees!$C$2:$C$5,MATCH(C265,PlatformFees!$A$2:$A$5,0)),0)</f>
        <v>0.13</v>
      </c>
      <c r="K265" s="11">
        <f t="shared" si="16"/>
        <v>18000</v>
      </c>
      <c r="L265" s="11">
        <f t="shared" si="17"/>
        <v>8489</v>
      </c>
      <c r="M265" s="11">
        <f t="shared" si="18"/>
        <v>38811</v>
      </c>
      <c r="N265" s="10">
        <f t="shared" si="19"/>
        <v>0.59434915773353747</v>
      </c>
    </row>
    <row r="266" spans="1:14" x14ac:dyDescent="0.3">
      <c r="A266" s="9" t="s">
        <v>328</v>
      </c>
      <c r="B266" s="9" t="s">
        <v>319</v>
      </c>
      <c r="C266" s="9" t="s">
        <v>36</v>
      </c>
      <c r="D266" s="9" t="s">
        <v>20</v>
      </c>
      <c r="E266" s="9">
        <v>2</v>
      </c>
      <c r="F266" s="11">
        <v>106700</v>
      </c>
      <c r="G266" s="9" t="str">
        <f>INDEX(Products!$B$2:$B$9,MATCH(D266,Products!$A$2:$A$9,0))</f>
        <v>Trà cà leo gai giảm cân</v>
      </c>
      <c r="H266" s="9" t="str">
        <f>INDEX(Products!$C$2:$C$9,MATCH(D266,Products!$A$2:$A$9,0))</f>
        <v>Detox</v>
      </c>
      <c r="I266" s="11">
        <f>INDEX(Products!$D$2:$D$9,MATCH(D266,Products!$A$2:$A$9,0))</f>
        <v>15000</v>
      </c>
      <c r="J266" s="10">
        <f>IFERROR(INDEX(PlatformFees!$C$2:$C$5,MATCH(C266,PlatformFees!$A$2:$A$5,0)),0)</f>
        <v>0.13</v>
      </c>
      <c r="K266" s="11">
        <f t="shared" si="16"/>
        <v>30000</v>
      </c>
      <c r="L266" s="11">
        <f t="shared" si="17"/>
        <v>13871</v>
      </c>
      <c r="M266" s="11">
        <f t="shared" si="18"/>
        <v>62829</v>
      </c>
      <c r="N266" s="10">
        <f t="shared" si="19"/>
        <v>0.5888378631677601</v>
      </c>
    </row>
    <row r="267" spans="1:14" x14ac:dyDescent="0.3">
      <c r="A267" s="9" t="s">
        <v>329</v>
      </c>
      <c r="B267" s="9" t="s">
        <v>319</v>
      </c>
      <c r="C267" s="9" t="s">
        <v>38</v>
      </c>
      <c r="D267" s="9" t="s">
        <v>25</v>
      </c>
      <c r="E267" s="9">
        <v>2</v>
      </c>
      <c r="F267" s="11">
        <v>65700</v>
      </c>
      <c r="G267" s="9" t="str">
        <f>INDEX(Products!$B$2:$B$9,MATCH(D267,Products!$A$2:$A$9,0))</f>
        <v>Trà hoa đậu biếc</v>
      </c>
      <c r="H267" s="9" t="str">
        <f>INDEX(Products!$C$2:$C$9,MATCH(D267,Products!$A$2:$A$9,0))</f>
        <v>An thần</v>
      </c>
      <c r="I267" s="11">
        <f>INDEX(Products!$D$2:$D$9,MATCH(D267,Products!$A$2:$A$9,0))</f>
        <v>8800</v>
      </c>
      <c r="J267" s="10">
        <f>IFERROR(INDEX(PlatformFees!$C$2:$C$5,MATCH(C267,PlatformFees!$A$2:$A$5,0)),0)</f>
        <v>0.16</v>
      </c>
      <c r="K267" s="11">
        <f t="shared" si="16"/>
        <v>17600</v>
      </c>
      <c r="L267" s="11">
        <f t="shared" si="17"/>
        <v>10512</v>
      </c>
      <c r="M267" s="11">
        <f t="shared" si="18"/>
        <v>37588</v>
      </c>
      <c r="N267" s="10">
        <f t="shared" si="19"/>
        <v>0.57211567732115676</v>
      </c>
    </row>
    <row r="268" spans="1:14" x14ac:dyDescent="0.3">
      <c r="A268" s="9" t="s">
        <v>330</v>
      </c>
      <c r="B268" s="9" t="s">
        <v>331</v>
      </c>
      <c r="C268" s="9" t="s">
        <v>39</v>
      </c>
      <c r="D268" s="9" t="s">
        <v>30</v>
      </c>
      <c r="E268" s="9">
        <v>3</v>
      </c>
      <c r="F268" s="11">
        <v>100500</v>
      </c>
      <c r="G268" s="9" t="str">
        <f>INDEX(Products!$B$2:$B$9,MATCH(D268,Products!$A$2:$A$9,0))</f>
        <v>Trà mâm xôi vitamin</v>
      </c>
      <c r="H268" s="9" t="str">
        <f>INDEX(Products!$C$2:$C$9,MATCH(D268,Products!$A$2:$A$9,0))</f>
        <v>Bổ sung dưỡng chất</v>
      </c>
      <c r="I268" s="11">
        <f>INDEX(Products!$D$2:$D$9,MATCH(D268,Products!$A$2:$A$9,0))</f>
        <v>9800</v>
      </c>
      <c r="J268" s="10">
        <f>IFERROR(INDEX(PlatformFees!$C$2:$C$5,MATCH(C268,PlatformFees!$A$2:$A$5,0)),0)</f>
        <v>0</v>
      </c>
      <c r="K268" s="11">
        <f t="shared" si="16"/>
        <v>29400</v>
      </c>
      <c r="L268" s="11">
        <f t="shared" si="17"/>
        <v>0</v>
      </c>
      <c r="M268" s="11">
        <f t="shared" si="18"/>
        <v>71100</v>
      </c>
      <c r="N268" s="10">
        <f t="shared" si="19"/>
        <v>0.70746268656716416</v>
      </c>
    </row>
    <row r="269" spans="1:14" x14ac:dyDescent="0.3">
      <c r="A269" s="9" t="s">
        <v>332</v>
      </c>
      <c r="B269" s="9" t="s">
        <v>331</v>
      </c>
      <c r="C269" s="9" t="s">
        <v>38</v>
      </c>
      <c r="D269" s="9" t="s">
        <v>20</v>
      </c>
      <c r="E269" s="9">
        <v>1</v>
      </c>
      <c r="F269" s="11">
        <v>50800</v>
      </c>
      <c r="G269" s="9" t="str">
        <f>INDEX(Products!$B$2:$B$9,MATCH(D269,Products!$A$2:$A$9,0))</f>
        <v>Trà cà leo gai giảm cân</v>
      </c>
      <c r="H269" s="9" t="str">
        <f>INDEX(Products!$C$2:$C$9,MATCH(D269,Products!$A$2:$A$9,0))</f>
        <v>Detox</v>
      </c>
      <c r="I269" s="11">
        <f>INDEX(Products!$D$2:$D$9,MATCH(D269,Products!$A$2:$A$9,0))</f>
        <v>15000</v>
      </c>
      <c r="J269" s="10">
        <f>IFERROR(INDEX(PlatformFees!$C$2:$C$5,MATCH(C269,PlatformFees!$A$2:$A$5,0)),0)</f>
        <v>0.16</v>
      </c>
      <c r="K269" s="11">
        <f t="shared" si="16"/>
        <v>15000</v>
      </c>
      <c r="L269" s="11">
        <f t="shared" si="17"/>
        <v>8128</v>
      </c>
      <c r="M269" s="11">
        <f t="shared" si="18"/>
        <v>27672</v>
      </c>
      <c r="N269" s="10">
        <f t="shared" si="19"/>
        <v>0.54472440944881895</v>
      </c>
    </row>
    <row r="270" spans="1:14" x14ac:dyDescent="0.3">
      <c r="A270" s="9" t="s">
        <v>333</v>
      </c>
      <c r="B270" s="9" t="s">
        <v>331</v>
      </c>
      <c r="C270" s="9" t="s">
        <v>36</v>
      </c>
      <c r="D270" s="9" t="s">
        <v>20</v>
      </c>
      <c r="E270" s="9">
        <v>1</v>
      </c>
      <c r="F270" s="11">
        <v>55800</v>
      </c>
      <c r="G270" s="9" t="str">
        <f>INDEX(Products!$B$2:$B$9,MATCH(D270,Products!$A$2:$A$9,0))</f>
        <v>Trà cà leo gai giảm cân</v>
      </c>
      <c r="H270" s="9" t="str">
        <f>INDEX(Products!$C$2:$C$9,MATCH(D270,Products!$A$2:$A$9,0))</f>
        <v>Detox</v>
      </c>
      <c r="I270" s="11">
        <f>INDEX(Products!$D$2:$D$9,MATCH(D270,Products!$A$2:$A$9,0))</f>
        <v>15000</v>
      </c>
      <c r="J270" s="10">
        <f>IFERROR(INDEX(PlatformFees!$C$2:$C$5,MATCH(C270,PlatformFees!$A$2:$A$5,0)),0)</f>
        <v>0.13</v>
      </c>
      <c r="K270" s="11">
        <f t="shared" si="16"/>
        <v>15000</v>
      </c>
      <c r="L270" s="11">
        <f t="shared" si="17"/>
        <v>7254</v>
      </c>
      <c r="M270" s="11">
        <f t="shared" si="18"/>
        <v>33546</v>
      </c>
      <c r="N270" s="10">
        <f t="shared" si="19"/>
        <v>0.60118279569892474</v>
      </c>
    </row>
    <row r="271" spans="1:14" x14ac:dyDescent="0.3">
      <c r="A271" s="9" t="s">
        <v>334</v>
      </c>
      <c r="B271" s="9" t="s">
        <v>331</v>
      </c>
      <c r="C271" s="9" t="s">
        <v>36</v>
      </c>
      <c r="D271" s="9" t="s">
        <v>22</v>
      </c>
      <c r="E271" s="9">
        <v>2</v>
      </c>
      <c r="F271" s="11">
        <v>77500</v>
      </c>
      <c r="G271" s="9" t="str">
        <f>INDEX(Products!$B$2:$B$9,MATCH(D271,Products!$A$2:$A$9,0))</f>
        <v>Trà hoa cúc an thần</v>
      </c>
      <c r="H271" s="9" t="str">
        <f>INDEX(Products!$C$2:$C$9,MATCH(D271,Products!$A$2:$A$9,0))</f>
        <v>An thần</v>
      </c>
      <c r="I271" s="11">
        <f>INDEX(Products!$D$2:$D$9,MATCH(D271,Products!$A$2:$A$9,0))</f>
        <v>9500</v>
      </c>
      <c r="J271" s="10">
        <f>IFERROR(INDEX(PlatformFees!$C$2:$C$5,MATCH(C271,PlatformFees!$A$2:$A$5,0)),0)</f>
        <v>0.13</v>
      </c>
      <c r="K271" s="11">
        <f t="shared" si="16"/>
        <v>19000</v>
      </c>
      <c r="L271" s="11">
        <f t="shared" si="17"/>
        <v>10075</v>
      </c>
      <c r="M271" s="11">
        <f t="shared" si="18"/>
        <v>48425</v>
      </c>
      <c r="N271" s="10">
        <f t="shared" si="19"/>
        <v>0.62483870967741939</v>
      </c>
    </row>
    <row r="272" spans="1:14" x14ac:dyDescent="0.3">
      <c r="A272" s="9" t="s">
        <v>335</v>
      </c>
      <c r="B272" s="9" t="s">
        <v>331</v>
      </c>
      <c r="C272" s="9" t="s">
        <v>38</v>
      </c>
      <c r="D272" s="9" t="s">
        <v>12</v>
      </c>
      <c r="E272" s="9">
        <v>1</v>
      </c>
      <c r="F272" s="11">
        <v>32900</v>
      </c>
      <c r="G272" s="9" t="str">
        <f>INDEX(Products!$B$2:$B$9,MATCH(D272,Products!$A$2:$A$9,0))</f>
        <v>Trà atiso thanh lọc</v>
      </c>
      <c r="H272" s="9" t="str">
        <f>INDEX(Products!$C$2:$C$9,MATCH(D272,Products!$A$2:$A$9,0))</f>
        <v>Thanh lọc</v>
      </c>
      <c r="I272" s="11">
        <f>INDEX(Products!$D$2:$D$9,MATCH(D272,Products!$A$2:$A$9,0))</f>
        <v>9000</v>
      </c>
      <c r="J272" s="10">
        <f>IFERROR(INDEX(PlatformFees!$C$2:$C$5,MATCH(C272,PlatformFees!$A$2:$A$5,0)),0)</f>
        <v>0.16</v>
      </c>
      <c r="K272" s="11">
        <f t="shared" si="16"/>
        <v>9000</v>
      </c>
      <c r="L272" s="11">
        <f t="shared" si="17"/>
        <v>5264</v>
      </c>
      <c r="M272" s="11">
        <f t="shared" si="18"/>
        <v>18636</v>
      </c>
      <c r="N272" s="10">
        <f t="shared" si="19"/>
        <v>0.56644376899696047</v>
      </c>
    </row>
    <row r="273" spans="1:14" x14ac:dyDescent="0.3">
      <c r="A273" s="9" t="s">
        <v>336</v>
      </c>
      <c r="B273" s="9" t="s">
        <v>331</v>
      </c>
      <c r="C273" s="9" t="s">
        <v>36</v>
      </c>
      <c r="D273" s="9" t="s">
        <v>27</v>
      </c>
      <c r="E273" s="9">
        <v>2</v>
      </c>
      <c r="F273" s="11">
        <v>74400</v>
      </c>
      <c r="G273" s="9" t="str">
        <f>INDEX(Products!$B$2:$B$9,MATCH(D273,Products!$A$2:$A$9,0))</f>
        <v>Trà gừng mật ong</v>
      </c>
      <c r="H273" s="9" t="str">
        <f>INDEX(Products!$C$2:$C$9,MATCH(D273,Products!$A$2:$A$9,0))</f>
        <v>Giữ ấm</v>
      </c>
      <c r="I273" s="11">
        <f>INDEX(Products!$D$2:$D$9,MATCH(D273,Products!$A$2:$A$9,0))</f>
        <v>11000</v>
      </c>
      <c r="J273" s="10">
        <f>IFERROR(INDEX(PlatformFees!$C$2:$C$5,MATCH(C273,PlatformFees!$A$2:$A$5,0)),0)</f>
        <v>0.13</v>
      </c>
      <c r="K273" s="11">
        <f t="shared" si="16"/>
        <v>22000</v>
      </c>
      <c r="L273" s="11">
        <f t="shared" si="17"/>
        <v>9672</v>
      </c>
      <c r="M273" s="11">
        <f t="shared" si="18"/>
        <v>42728</v>
      </c>
      <c r="N273" s="10">
        <f t="shared" si="19"/>
        <v>0.57430107526881724</v>
      </c>
    </row>
    <row r="274" spans="1:14" x14ac:dyDescent="0.3">
      <c r="A274" s="9" t="s">
        <v>337</v>
      </c>
      <c r="B274" s="9" t="s">
        <v>331</v>
      </c>
      <c r="C274" s="9" t="s">
        <v>36</v>
      </c>
      <c r="D274" s="9" t="s">
        <v>22</v>
      </c>
      <c r="E274" s="9">
        <v>1</v>
      </c>
      <c r="F274" s="11">
        <v>35200</v>
      </c>
      <c r="G274" s="9" t="str">
        <f>INDEX(Products!$B$2:$B$9,MATCH(D274,Products!$A$2:$A$9,0))</f>
        <v>Trà hoa cúc an thần</v>
      </c>
      <c r="H274" s="9" t="str">
        <f>INDEX(Products!$C$2:$C$9,MATCH(D274,Products!$A$2:$A$9,0))</f>
        <v>An thần</v>
      </c>
      <c r="I274" s="11">
        <f>INDEX(Products!$D$2:$D$9,MATCH(D274,Products!$A$2:$A$9,0))</f>
        <v>9500</v>
      </c>
      <c r="J274" s="10">
        <f>IFERROR(INDEX(PlatformFees!$C$2:$C$5,MATCH(C274,PlatformFees!$A$2:$A$5,0)),0)</f>
        <v>0.13</v>
      </c>
      <c r="K274" s="11">
        <f t="shared" si="16"/>
        <v>9500</v>
      </c>
      <c r="L274" s="11">
        <f t="shared" si="17"/>
        <v>4576</v>
      </c>
      <c r="M274" s="11">
        <f t="shared" si="18"/>
        <v>21124</v>
      </c>
      <c r="N274" s="10">
        <f t="shared" si="19"/>
        <v>0.60011363636363635</v>
      </c>
    </row>
    <row r="275" spans="1:14" x14ac:dyDescent="0.3">
      <c r="A275" s="9" t="s">
        <v>338</v>
      </c>
      <c r="B275" s="9" t="s">
        <v>331</v>
      </c>
      <c r="C275" s="9" t="s">
        <v>36</v>
      </c>
      <c r="D275" s="9" t="s">
        <v>30</v>
      </c>
      <c r="E275" s="9">
        <v>2</v>
      </c>
      <c r="F275" s="11">
        <v>67900</v>
      </c>
      <c r="G275" s="9" t="str">
        <f>INDEX(Products!$B$2:$B$9,MATCH(D275,Products!$A$2:$A$9,0))</f>
        <v>Trà mâm xôi vitamin</v>
      </c>
      <c r="H275" s="9" t="str">
        <f>INDEX(Products!$C$2:$C$9,MATCH(D275,Products!$A$2:$A$9,0))</f>
        <v>Bổ sung dưỡng chất</v>
      </c>
      <c r="I275" s="11">
        <f>INDEX(Products!$D$2:$D$9,MATCH(D275,Products!$A$2:$A$9,0))</f>
        <v>9800</v>
      </c>
      <c r="J275" s="10">
        <f>IFERROR(INDEX(PlatformFees!$C$2:$C$5,MATCH(C275,PlatformFees!$A$2:$A$5,0)),0)</f>
        <v>0.13</v>
      </c>
      <c r="K275" s="11">
        <f t="shared" si="16"/>
        <v>19600</v>
      </c>
      <c r="L275" s="11">
        <f t="shared" si="17"/>
        <v>8827</v>
      </c>
      <c r="M275" s="11">
        <f t="shared" si="18"/>
        <v>39473</v>
      </c>
      <c r="N275" s="10">
        <f t="shared" si="19"/>
        <v>0.58134020618556703</v>
      </c>
    </row>
    <row r="276" spans="1:14" x14ac:dyDescent="0.3">
      <c r="A276" s="9" t="s">
        <v>339</v>
      </c>
      <c r="B276" s="9" t="s">
        <v>331</v>
      </c>
      <c r="C276" s="9" t="s">
        <v>39</v>
      </c>
      <c r="D276" s="9" t="s">
        <v>22</v>
      </c>
      <c r="E276" s="9">
        <v>2</v>
      </c>
      <c r="F276" s="11">
        <v>71700</v>
      </c>
      <c r="G276" s="9" t="str">
        <f>INDEX(Products!$B$2:$B$9,MATCH(D276,Products!$A$2:$A$9,0))</f>
        <v>Trà hoa cúc an thần</v>
      </c>
      <c r="H276" s="9" t="str">
        <f>INDEX(Products!$C$2:$C$9,MATCH(D276,Products!$A$2:$A$9,0))</f>
        <v>An thần</v>
      </c>
      <c r="I276" s="11">
        <f>INDEX(Products!$D$2:$D$9,MATCH(D276,Products!$A$2:$A$9,0))</f>
        <v>9500</v>
      </c>
      <c r="J276" s="10">
        <f>IFERROR(INDEX(PlatformFees!$C$2:$C$5,MATCH(C276,PlatformFees!$A$2:$A$5,0)),0)</f>
        <v>0</v>
      </c>
      <c r="K276" s="11">
        <f t="shared" si="16"/>
        <v>19000</v>
      </c>
      <c r="L276" s="11">
        <f t="shared" si="17"/>
        <v>0</v>
      </c>
      <c r="M276" s="11">
        <f t="shared" si="18"/>
        <v>52700</v>
      </c>
      <c r="N276" s="10">
        <f t="shared" si="19"/>
        <v>0.73500697350069732</v>
      </c>
    </row>
    <row r="277" spans="1:14" x14ac:dyDescent="0.3">
      <c r="A277" s="9" t="s">
        <v>340</v>
      </c>
      <c r="B277" s="9" t="s">
        <v>331</v>
      </c>
      <c r="C277" s="9" t="s">
        <v>39</v>
      </c>
      <c r="D277" s="9" t="s">
        <v>17</v>
      </c>
      <c r="E277" s="9">
        <v>1</v>
      </c>
      <c r="F277" s="11">
        <v>42300</v>
      </c>
      <c r="G277" s="9" t="str">
        <f>INDEX(Products!$B$2:$B$9,MATCH(D277,Products!$A$2:$A$9,0))</f>
        <v>Trà diếp cá rau má</v>
      </c>
      <c r="H277" s="9" t="str">
        <f>INDEX(Products!$C$2:$C$9,MATCH(D277,Products!$A$2:$A$9,0))</f>
        <v>Detox</v>
      </c>
      <c r="I277" s="11">
        <f>INDEX(Products!$D$2:$D$9,MATCH(D277,Products!$A$2:$A$9,0))</f>
        <v>10500</v>
      </c>
      <c r="J277" s="10">
        <f>IFERROR(INDEX(PlatformFees!$C$2:$C$5,MATCH(C277,PlatformFees!$A$2:$A$5,0)),0)</f>
        <v>0</v>
      </c>
      <c r="K277" s="11">
        <f t="shared" si="16"/>
        <v>10500</v>
      </c>
      <c r="L277" s="11">
        <f t="shared" si="17"/>
        <v>0</v>
      </c>
      <c r="M277" s="11">
        <f t="shared" si="18"/>
        <v>31800</v>
      </c>
      <c r="N277" s="10">
        <f t="shared" si="19"/>
        <v>0.75177304964539005</v>
      </c>
    </row>
    <row r="278" spans="1:14" x14ac:dyDescent="0.3">
      <c r="A278" s="9" t="s">
        <v>341</v>
      </c>
      <c r="B278" s="9" t="s">
        <v>331</v>
      </c>
      <c r="C278" s="9" t="s">
        <v>38</v>
      </c>
      <c r="D278" s="9" t="s">
        <v>17</v>
      </c>
      <c r="E278" s="9">
        <v>1</v>
      </c>
      <c r="F278" s="11">
        <v>43200</v>
      </c>
      <c r="G278" s="9" t="str">
        <f>INDEX(Products!$B$2:$B$9,MATCH(D278,Products!$A$2:$A$9,0))</f>
        <v>Trà diếp cá rau má</v>
      </c>
      <c r="H278" s="9" t="str">
        <f>INDEX(Products!$C$2:$C$9,MATCH(D278,Products!$A$2:$A$9,0))</f>
        <v>Detox</v>
      </c>
      <c r="I278" s="11">
        <f>INDEX(Products!$D$2:$D$9,MATCH(D278,Products!$A$2:$A$9,0))</f>
        <v>10500</v>
      </c>
      <c r="J278" s="10">
        <f>IFERROR(INDEX(PlatformFees!$C$2:$C$5,MATCH(C278,PlatformFees!$A$2:$A$5,0)),0)</f>
        <v>0.16</v>
      </c>
      <c r="K278" s="11">
        <f t="shared" si="16"/>
        <v>10500</v>
      </c>
      <c r="L278" s="11">
        <f t="shared" si="17"/>
        <v>6912</v>
      </c>
      <c r="M278" s="11">
        <f t="shared" si="18"/>
        <v>25788</v>
      </c>
      <c r="N278" s="10">
        <f t="shared" si="19"/>
        <v>0.5969444444444445</v>
      </c>
    </row>
    <row r="279" spans="1:14" x14ac:dyDescent="0.3">
      <c r="A279" s="9" t="s">
        <v>342</v>
      </c>
      <c r="B279" s="9" t="s">
        <v>331</v>
      </c>
      <c r="C279" s="9" t="s">
        <v>38</v>
      </c>
      <c r="D279" s="9" t="s">
        <v>25</v>
      </c>
      <c r="E279" s="9">
        <v>1</v>
      </c>
      <c r="F279" s="11">
        <v>33800</v>
      </c>
      <c r="G279" s="9" t="str">
        <f>INDEX(Products!$B$2:$B$9,MATCH(D279,Products!$A$2:$A$9,0))</f>
        <v>Trà hoa đậu biếc</v>
      </c>
      <c r="H279" s="9" t="str">
        <f>INDEX(Products!$C$2:$C$9,MATCH(D279,Products!$A$2:$A$9,0))</f>
        <v>An thần</v>
      </c>
      <c r="I279" s="11">
        <f>INDEX(Products!$D$2:$D$9,MATCH(D279,Products!$A$2:$A$9,0))</f>
        <v>8800</v>
      </c>
      <c r="J279" s="10">
        <f>IFERROR(INDEX(PlatformFees!$C$2:$C$5,MATCH(C279,PlatformFees!$A$2:$A$5,0)),0)</f>
        <v>0.16</v>
      </c>
      <c r="K279" s="11">
        <f t="shared" si="16"/>
        <v>8800</v>
      </c>
      <c r="L279" s="11">
        <f t="shared" si="17"/>
        <v>5408</v>
      </c>
      <c r="M279" s="11">
        <f t="shared" si="18"/>
        <v>19592</v>
      </c>
      <c r="N279" s="10">
        <f t="shared" si="19"/>
        <v>0.57964497041420115</v>
      </c>
    </row>
    <row r="280" spans="1:14" x14ac:dyDescent="0.3">
      <c r="A280" s="9" t="s">
        <v>343</v>
      </c>
      <c r="B280" s="9" t="s">
        <v>331</v>
      </c>
      <c r="C280" s="9" t="s">
        <v>36</v>
      </c>
      <c r="D280" s="9" t="s">
        <v>12</v>
      </c>
      <c r="E280" s="9">
        <v>1</v>
      </c>
      <c r="F280" s="11">
        <v>34500</v>
      </c>
      <c r="G280" s="9" t="str">
        <f>INDEX(Products!$B$2:$B$9,MATCH(D280,Products!$A$2:$A$9,0))</f>
        <v>Trà atiso thanh lọc</v>
      </c>
      <c r="H280" s="9" t="str">
        <f>INDEX(Products!$C$2:$C$9,MATCH(D280,Products!$A$2:$A$9,0))</f>
        <v>Thanh lọc</v>
      </c>
      <c r="I280" s="11">
        <f>INDEX(Products!$D$2:$D$9,MATCH(D280,Products!$A$2:$A$9,0))</f>
        <v>9000</v>
      </c>
      <c r="J280" s="10">
        <f>IFERROR(INDEX(PlatformFees!$C$2:$C$5,MATCH(C280,PlatformFees!$A$2:$A$5,0)),0)</f>
        <v>0.13</v>
      </c>
      <c r="K280" s="11">
        <f t="shared" si="16"/>
        <v>9000</v>
      </c>
      <c r="L280" s="11">
        <f t="shared" si="17"/>
        <v>4485</v>
      </c>
      <c r="M280" s="11">
        <f t="shared" si="18"/>
        <v>21015</v>
      </c>
      <c r="N280" s="10">
        <f t="shared" si="19"/>
        <v>0.60913043478260864</v>
      </c>
    </row>
    <row r="281" spans="1:14" x14ac:dyDescent="0.3">
      <c r="A281" s="9" t="s">
        <v>344</v>
      </c>
      <c r="B281" s="9" t="s">
        <v>331</v>
      </c>
      <c r="C281" s="9" t="s">
        <v>36</v>
      </c>
      <c r="D281" s="9" t="s">
        <v>17</v>
      </c>
      <c r="E281" s="9">
        <v>1</v>
      </c>
      <c r="F281" s="11">
        <v>42100</v>
      </c>
      <c r="G281" s="9" t="str">
        <f>INDEX(Products!$B$2:$B$9,MATCH(D281,Products!$A$2:$A$9,0))</f>
        <v>Trà diếp cá rau má</v>
      </c>
      <c r="H281" s="9" t="str">
        <f>INDEX(Products!$C$2:$C$9,MATCH(D281,Products!$A$2:$A$9,0))</f>
        <v>Detox</v>
      </c>
      <c r="I281" s="11">
        <f>INDEX(Products!$D$2:$D$9,MATCH(D281,Products!$A$2:$A$9,0))</f>
        <v>10500</v>
      </c>
      <c r="J281" s="10">
        <f>IFERROR(INDEX(PlatformFees!$C$2:$C$5,MATCH(C281,PlatformFees!$A$2:$A$5,0)),0)</f>
        <v>0.13</v>
      </c>
      <c r="K281" s="11">
        <f t="shared" si="16"/>
        <v>10500</v>
      </c>
      <c r="L281" s="11">
        <f t="shared" si="17"/>
        <v>5473</v>
      </c>
      <c r="M281" s="11">
        <f t="shared" si="18"/>
        <v>26127</v>
      </c>
      <c r="N281" s="10">
        <f t="shared" si="19"/>
        <v>0.62059382422802856</v>
      </c>
    </row>
    <row r="282" spans="1:14" x14ac:dyDescent="0.3">
      <c r="A282" s="9" t="s">
        <v>345</v>
      </c>
      <c r="B282" s="9" t="s">
        <v>331</v>
      </c>
      <c r="C282" s="9" t="s">
        <v>38</v>
      </c>
      <c r="D282" s="9" t="s">
        <v>25</v>
      </c>
      <c r="E282" s="9">
        <v>2</v>
      </c>
      <c r="F282" s="11">
        <v>65900</v>
      </c>
      <c r="G282" s="9" t="str">
        <f>INDEX(Products!$B$2:$B$9,MATCH(D282,Products!$A$2:$A$9,0))</f>
        <v>Trà hoa đậu biếc</v>
      </c>
      <c r="H282" s="9" t="str">
        <f>INDEX(Products!$C$2:$C$9,MATCH(D282,Products!$A$2:$A$9,0))</f>
        <v>An thần</v>
      </c>
      <c r="I282" s="11">
        <f>INDEX(Products!$D$2:$D$9,MATCH(D282,Products!$A$2:$A$9,0))</f>
        <v>8800</v>
      </c>
      <c r="J282" s="10">
        <f>IFERROR(INDEX(PlatformFees!$C$2:$C$5,MATCH(C282,PlatformFees!$A$2:$A$5,0)),0)</f>
        <v>0.16</v>
      </c>
      <c r="K282" s="11">
        <f t="shared" si="16"/>
        <v>17600</v>
      </c>
      <c r="L282" s="11">
        <f t="shared" si="17"/>
        <v>10544</v>
      </c>
      <c r="M282" s="11">
        <f t="shared" si="18"/>
        <v>37756</v>
      </c>
      <c r="N282" s="10">
        <f t="shared" si="19"/>
        <v>0.57292867981790596</v>
      </c>
    </row>
    <row r="283" spans="1:14" x14ac:dyDescent="0.3">
      <c r="A283" s="9" t="s">
        <v>346</v>
      </c>
      <c r="B283" s="9" t="s">
        <v>331</v>
      </c>
      <c r="C283" s="9" t="s">
        <v>36</v>
      </c>
      <c r="D283" s="9" t="s">
        <v>20</v>
      </c>
      <c r="E283" s="9">
        <v>2</v>
      </c>
      <c r="F283" s="11">
        <v>107300</v>
      </c>
      <c r="G283" s="9" t="str">
        <f>INDEX(Products!$B$2:$B$9,MATCH(D283,Products!$A$2:$A$9,0))</f>
        <v>Trà cà leo gai giảm cân</v>
      </c>
      <c r="H283" s="9" t="str">
        <f>INDEX(Products!$C$2:$C$9,MATCH(D283,Products!$A$2:$A$9,0))</f>
        <v>Detox</v>
      </c>
      <c r="I283" s="11">
        <f>INDEX(Products!$D$2:$D$9,MATCH(D283,Products!$A$2:$A$9,0))</f>
        <v>15000</v>
      </c>
      <c r="J283" s="10">
        <f>IFERROR(INDEX(PlatformFees!$C$2:$C$5,MATCH(C283,PlatformFees!$A$2:$A$5,0)),0)</f>
        <v>0.13</v>
      </c>
      <c r="K283" s="11">
        <f t="shared" si="16"/>
        <v>30000</v>
      </c>
      <c r="L283" s="11">
        <f t="shared" si="17"/>
        <v>13949</v>
      </c>
      <c r="M283" s="11">
        <f t="shared" si="18"/>
        <v>63351</v>
      </c>
      <c r="N283" s="10">
        <f t="shared" si="19"/>
        <v>0.59041006523765149</v>
      </c>
    </row>
    <row r="284" spans="1:14" x14ac:dyDescent="0.3">
      <c r="A284" s="9" t="s">
        <v>347</v>
      </c>
      <c r="B284" s="9" t="s">
        <v>331</v>
      </c>
      <c r="C284" s="9" t="s">
        <v>40</v>
      </c>
      <c r="D284" s="9" t="s">
        <v>12</v>
      </c>
      <c r="E284" s="9">
        <v>3</v>
      </c>
      <c r="F284" s="11">
        <v>102600</v>
      </c>
      <c r="G284" s="9" t="str">
        <f>INDEX(Products!$B$2:$B$9,MATCH(D284,Products!$A$2:$A$9,0))</f>
        <v>Trà atiso thanh lọc</v>
      </c>
      <c r="H284" s="9" t="str">
        <f>INDEX(Products!$C$2:$C$9,MATCH(D284,Products!$A$2:$A$9,0))</f>
        <v>Thanh lọc</v>
      </c>
      <c r="I284" s="11">
        <f>INDEX(Products!$D$2:$D$9,MATCH(D284,Products!$A$2:$A$9,0))</f>
        <v>9000</v>
      </c>
      <c r="J284" s="10">
        <f>IFERROR(INDEX(PlatformFees!$C$2:$C$5,MATCH(C284,PlatformFees!$A$2:$A$5,0)),0)</f>
        <v>0</v>
      </c>
      <c r="K284" s="11">
        <f t="shared" si="16"/>
        <v>27000</v>
      </c>
      <c r="L284" s="11">
        <f t="shared" si="17"/>
        <v>0</v>
      </c>
      <c r="M284" s="11">
        <f t="shared" si="18"/>
        <v>75600</v>
      </c>
      <c r="N284" s="10">
        <f t="shared" si="19"/>
        <v>0.73684210526315785</v>
      </c>
    </row>
    <row r="285" spans="1:14" x14ac:dyDescent="0.3">
      <c r="A285" s="9" t="s">
        <v>348</v>
      </c>
      <c r="B285" s="9" t="s">
        <v>331</v>
      </c>
      <c r="C285" s="9" t="s">
        <v>38</v>
      </c>
      <c r="D285" s="9" t="s">
        <v>30</v>
      </c>
      <c r="E285" s="9">
        <v>1</v>
      </c>
      <c r="F285" s="11">
        <v>37100</v>
      </c>
      <c r="G285" s="9" t="str">
        <f>INDEX(Products!$B$2:$B$9,MATCH(D285,Products!$A$2:$A$9,0))</f>
        <v>Trà mâm xôi vitamin</v>
      </c>
      <c r="H285" s="9" t="str">
        <f>INDEX(Products!$C$2:$C$9,MATCH(D285,Products!$A$2:$A$9,0))</f>
        <v>Bổ sung dưỡng chất</v>
      </c>
      <c r="I285" s="11">
        <f>INDEX(Products!$D$2:$D$9,MATCH(D285,Products!$A$2:$A$9,0))</f>
        <v>9800</v>
      </c>
      <c r="J285" s="10">
        <f>IFERROR(INDEX(PlatformFees!$C$2:$C$5,MATCH(C285,PlatformFees!$A$2:$A$5,0)),0)</f>
        <v>0.16</v>
      </c>
      <c r="K285" s="11">
        <f t="shared" si="16"/>
        <v>9800</v>
      </c>
      <c r="L285" s="11">
        <f t="shared" si="17"/>
        <v>5936</v>
      </c>
      <c r="M285" s="11">
        <f t="shared" si="18"/>
        <v>21364</v>
      </c>
      <c r="N285" s="10">
        <f t="shared" si="19"/>
        <v>0.57584905660377361</v>
      </c>
    </row>
    <row r="286" spans="1:14" x14ac:dyDescent="0.3">
      <c r="A286" s="9" t="s">
        <v>349</v>
      </c>
      <c r="B286" s="9" t="s">
        <v>331</v>
      </c>
      <c r="C286" s="9" t="s">
        <v>39</v>
      </c>
      <c r="D286" s="9" t="s">
        <v>20</v>
      </c>
      <c r="E286" s="9">
        <v>1</v>
      </c>
      <c r="F286" s="11">
        <v>53600</v>
      </c>
      <c r="G286" s="9" t="str">
        <f>INDEX(Products!$B$2:$B$9,MATCH(D286,Products!$A$2:$A$9,0))</f>
        <v>Trà cà leo gai giảm cân</v>
      </c>
      <c r="H286" s="9" t="str">
        <f>INDEX(Products!$C$2:$C$9,MATCH(D286,Products!$A$2:$A$9,0))</f>
        <v>Detox</v>
      </c>
      <c r="I286" s="11">
        <f>INDEX(Products!$D$2:$D$9,MATCH(D286,Products!$A$2:$A$9,0))</f>
        <v>15000</v>
      </c>
      <c r="J286" s="10">
        <f>IFERROR(INDEX(PlatformFees!$C$2:$C$5,MATCH(C286,PlatformFees!$A$2:$A$5,0)),0)</f>
        <v>0</v>
      </c>
      <c r="K286" s="11">
        <f t="shared" si="16"/>
        <v>15000</v>
      </c>
      <c r="L286" s="11">
        <f t="shared" si="17"/>
        <v>0</v>
      </c>
      <c r="M286" s="11">
        <f t="shared" si="18"/>
        <v>38600</v>
      </c>
      <c r="N286" s="10">
        <f t="shared" si="19"/>
        <v>0.72014925373134331</v>
      </c>
    </row>
    <row r="287" spans="1:14" x14ac:dyDescent="0.3">
      <c r="A287" s="9" t="s">
        <v>350</v>
      </c>
      <c r="B287" s="9" t="s">
        <v>331</v>
      </c>
      <c r="C287" s="9" t="s">
        <v>40</v>
      </c>
      <c r="D287" s="9" t="s">
        <v>12</v>
      </c>
      <c r="E287" s="9">
        <v>1</v>
      </c>
      <c r="F287" s="11">
        <v>33400</v>
      </c>
      <c r="G287" s="9" t="str">
        <f>INDEX(Products!$B$2:$B$9,MATCH(D287,Products!$A$2:$A$9,0))</f>
        <v>Trà atiso thanh lọc</v>
      </c>
      <c r="H287" s="9" t="str">
        <f>INDEX(Products!$C$2:$C$9,MATCH(D287,Products!$A$2:$A$9,0))</f>
        <v>Thanh lọc</v>
      </c>
      <c r="I287" s="11">
        <f>INDEX(Products!$D$2:$D$9,MATCH(D287,Products!$A$2:$A$9,0))</f>
        <v>9000</v>
      </c>
      <c r="J287" s="10">
        <f>IFERROR(INDEX(PlatformFees!$C$2:$C$5,MATCH(C287,PlatformFees!$A$2:$A$5,0)),0)</f>
        <v>0</v>
      </c>
      <c r="K287" s="11">
        <f t="shared" si="16"/>
        <v>9000</v>
      </c>
      <c r="L287" s="11">
        <f t="shared" si="17"/>
        <v>0</v>
      </c>
      <c r="M287" s="11">
        <f t="shared" si="18"/>
        <v>24400</v>
      </c>
      <c r="N287" s="10">
        <f t="shared" si="19"/>
        <v>0.73053892215568861</v>
      </c>
    </row>
    <row r="288" spans="1:14" x14ac:dyDescent="0.3">
      <c r="A288" s="9" t="s">
        <v>351</v>
      </c>
      <c r="B288" s="9" t="s">
        <v>331</v>
      </c>
      <c r="C288" s="9" t="s">
        <v>36</v>
      </c>
      <c r="D288" s="9" t="s">
        <v>15</v>
      </c>
      <c r="E288" s="9">
        <v>2</v>
      </c>
      <c r="F288" s="11">
        <v>63300</v>
      </c>
      <c r="G288" s="9" t="str">
        <f>INDEX(Products!$B$2:$B$9,MATCH(D288,Products!$A$2:$A$9,0))</f>
        <v>Trà lá nam sen ổi</v>
      </c>
      <c r="H288" s="9" t="str">
        <f>INDEX(Products!$C$2:$C$9,MATCH(D288,Products!$A$2:$A$9,0))</f>
        <v>Thanh lọc</v>
      </c>
      <c r="I288" s="11">
        <f>INDEX(Products!$D$2:$D$9,MATCH(D288,Products!$A$2:$A$9,0))</f>
        <v>8500</v>
      </c>
      <c r="J288" s="10">
        <f>IFERROR(INDEX(PlatformFees!$C$2:$C$5,MATCH(C288,PlatformFees!$A$2:$A$5,0)),0)</f>
        <v>0.13</v>
      </c>
      <c r="K288" s="11">
        <f t="shared" si="16"/>
        <v>17000</v>
      </c>
      <c r="L288" s="11">
        <f t="shared" si="17"/>
        <v>8229</v>
      </c>
      <c r="M288" s="11">
        <f t="shared" si="18"/>
        <v>38071</v>
      </c>
      <c r="N288" s="10">
        <f t="shared" si="19"/>
        <v>0.60143759873617697</v>
      </c>
    </row>
    <row r="289" spans="1:14" x14ac:dyDescent="0.3">
      <c r="A289" s="9" t="s">
        <v>352</v>
      </c>
      <c r="B289" s="9" t="s">
        <v>353</v>
      </c>
      <c r="C289" s="9" t="s">
        <v>39</v>
      </c>
      <c r="D289" s="9" t="s">
        <v>20</v>
      </c>
      <c r="E289" s="9">
        <v>2</v>
      </c>
      <c r="F289" s="11">
        <v>107600</v>
      </c>
      <c r="G289" s="9" t="str">
        <f>INDEX(Products!$B$2:$B$9,MATCH(D289,Products!$A$2:$A$9,0))</f>
        <v>Trà cà leo gai giảm cân</v>
      </c>
      <c r="H289" s="9" t="str">
        <f>INDEX(Products!$C$2:$C$9,MATCH(D289,Products!$A$2:$A$9,0))</f>
        <v>Detox</v>
      </c>
      <c r="I289" s="11">
        <f>INDEX(Products!$D$2:$D$9,MATCH(D289,Products!$A$2:$A$9,0))</f>
        <v>15000</v>
      </c>
      <c r="J289" s="10">
        <f>IFERROR(INDEX(PlatformFees!$C$2:$C$5,MATCH(C289,PlatformFees!$A$2:$A$5,0)),0)</f>
        <v>0</v>
      </c>
      <c r="K289" s="11">
        <f t="shared" si="16"/>
        <v>30000</v>
      </c>
      <c r="L289" s="11">
        <f t="shared" si="17"/>
        <v>0</v>
      </c>
      <c r="M289" s="11">
        <f t="shared" si="18"/>
        <v>77600</v>
      </c>
      <c r="N289" s="10">
        <f t="shared" si="19"/>
        <v>0.72118959107806691</v>
      </c>
    </row>
    <row r="290" spans="1:14" x14ac:dyDescent="0.3">
      <c r="A290" s="9" t="s">
        <v>354</v>
      </c>
      <c r="B290" s="9" t="s">
        <v>353</v>
      </c>
      <c r="C290" s="9" t="s">
        <v>38</v>
      </c>
      <c r="D290" s="9" t="s">
        <v>22</v>
      </c>
      <c r="E290" s="9">
        <v>1</v>
      </c>
      <c r="F290" s="11">
        <v>38300</v>
      </c>
      <c r="G290" s="9" t="str">
        <f>INDEX(Products!$B$2:$B$9,MATCH(D290,Products!$A$2:$A$9,0))</f>
        <v>Trà hoa cúc an thần</v>
      </c>
      <c r="H290" s="9" t="str">
        <f>INDEX(Products!$C$2:$C$9,MATCH(D290,Products!$A$2:$A$9,0))</f>
        <v>An thần</v>
      </c>
      <c r="I290" s="11">
        <f>INDEX(Products!$D$2:$D$9,MATCH(D290,Products!$A$2:$A$9,0))</f>
        <v>9500</v>
      </c>
      <c r="J290" s="10">
        <f>IFERROR(INDEX(PlatformFees!$C$2:$C$5,MATCH(C290,PlatformFees!$A$2:$A$5,0)),0)</f>
        <v>0.16</v>
      </c>
      <c r="K290" s="11">
        <f t="shared" si="16"/>
        <v>9500</v>
      </c>
      <c r="L290" s="11">
        <f t="shared" si="17"/>
        <v>6128</v>
      </c>
      <c r="M290" s="11">
        <f t="shared" si="18"/>
        <v>22672</v>
      </c>
      <c r="N290" s="10">
        <f t="shared" si="19"/>
        <v>0.59195822454308089</v>
      </c>
    </row>
    <row r="291" spans="1:14" x14ac:dyDescent="0.3">
      <c r="A291" s="9" t="s">
        <v>355</v>
      </c>
      <c r="B291" s="9" t="s">
        <v>353</v>
      </c>
      <c r="C291" s="9" t="s">
        <v>36</v>
      </c>
      <c r="D291" s="9" t="s">
        <v>22</v>
      </c>
      <c r="E291" s="9">
        <v>2</v>
      </c>
      <c r="F291" s="11">
        <v>75900</v>
      </c>
      <c r="G291" s="9" t="str">
        <f>INDEX(Products!$B$2:$B$9,MATCH(D291,Products!$A$2:$A$9,0))</f>
        <v>Trà hoa cúc an thần</v>
      </c>
      <c r="H291" s="9" t="str">
        <f>INDEX(Products!$C$2:$C$9,MATCH(D291,Products!$A$2:$A$9,0))</f>
        <v>An thần</v>
      </c>
      <c r="I291" s="11">
        <f>INDEX(Products!$D$2:$D$9,MATCH(D291,Products!$A$2:$A$9,0))</f>
        <v>9500</v>
      </c>
      <c r="J291" s="10">
        <f>IFERROR(INDEX(PlatformFees!$C$2:$C$5,MATCH(C291,PlatformFees!$A$2:$A$5,0)),0)</f>
        <v>0.13</v>
      </c>
      <c r="K291" s="11">
        <f t="shared" si="16"/>
        <v>19000</v>
      </c>
      <c r="L291" s="11">
        <f t="shared" si="17"/>
        <v>9867</v>
      </c>
      <c r="M291" s="11">
        <f t="shared" si="18"/>
        <v>47033</v>
      </c>
      <c r="N291" s="10">
        <f t="shared" si="19"/>
        <v>0.61967061923583666</v>
      </c>
    </row>
    <row r="292" spans="1:14" x14ac:dyDescent="0.3">
      <c r="A292" s="9" t="s">
        <v>356</v>
      </c>
      <c r="B292" s="9" t="s">
        <v>353</v>
      </c>
      <c r="C292" s="9" t="s">
        <v>36</v>
      </c>
      <c r="D292" s="9" t="s">
        <v>20</v>
      </c>
      <c r="E292" s="9">
        <v>1</v>
      </c>
      <c r="F292" s="11">
        <v>53100</v>
      </c>
      <c r="G292" s="9" t="str">
        <f>INDEX(Products!$B$2:$B$9,MATCH(D292,Products!$A$2:$A$9,0))</f>
        <v>Trà cà leo gai giảm cân</v>
      </c>
      <c r="H292" s="9" t="str">
        <f>INDEX(Products!$C$2:$C$9,MATCH(D292,Products!$A$2:$A$9,0))</f>
        <v>Detox</v>
      </c>
      <c r="I292" s="11">
        <f>INDEX(Products!$D$2:$D$9,MATCH(D292,Products!$A$2:$A$9,0))</f>
        <v>15000</v>
      </c>
      <c r="J292" s="10">
        <f>IFERROR(INDEX(PlatformFees!$C$2:$C$5,MATCH(C292,PlatformFees!$A$2:$A$5,0)),0)</f>
        <v>0.13</v>
      </c>
      <c r="K292" s="11">
        <f t="shared" si="16"/>
        <v>15000</v>
      </c>
      <c r="L292" s="11">
        <f t="shared" si="17"/>
        <v>6903</v>
      </c>
      <c r="M292" s="11">
        <f t="shared" si="18"/>
        <v>31197</v>
      </c>
      <c r="N292" s="10">
        <f t="shared" si="19"/>
        <v>0.58751412429378536</v>
      </c>
    </row>
    <row r="293" spans="1:14" x14ac:dyDescent="0.3">
      <c r="A293" s="9" t="s">
        <v>357</v>
      </c>
      <c r="B293" s="9" t="s">
        <v>353</v>
      </c>
      <c r="C293" s="9" t="s">
        <v>39</v>
      </c>
      <c r="D293" s="9" t="s">
        <v>20</v>
      </c>
      <c r="E293" s="9">
        <v>3</v>
      </c>
      <c r="F293" s="11">
        <v>153500</v>
      </c>
      <c r="G293" s="9" t="str">
        <f>INDEX(Products!$B$2:$B$9,MATCH(D293,Products!$A$2:$A$9,0))</f>
        <v>Trà cà leo gai giảm cân</v>
      </c>
      <c r="H293" s="9" t="str">
        <f>INDEX(Products!$C$2:$C$9,MATCH(D293,Products!$A$2:$A$9,0))</f>
        <v>Detox</v>
      </c>
      <c r="I293" s="11">
        <f>INDEX(Products!$D$2:$D$9,MATCH(D293,Products!$A$2:$A$9,0))</f>
        <v>15000</v>
      </c>
      <c r="J293" s="10">
        <f>IFERROR(INDEX(PlatformFees!$C$2:$C$5,MATCH(C293,PlatformFees!$A$2:$A$5,0)),0)</f>
        <v>0</v>
      </c>
      <c r="K293" s="11">
        <f t="shared" si="16"/>
        <v>45000</v>
      </c>
      <c r="L293" s="11">
        <f t="shared" si="17"/>
        <v>0</v>
      </c>
      <c r="M293" s="11">
        <f t="shared" si="18"/>
        <v>108500</v>
      </c>
      <c r="N293" s="10">
        <f t="shared" si="19"/>
        <v>0.70684039087947881</v>
      </c>
    </row>
    <row r="294" spans="1:14" x14ac:dyDescent="0.3">
      <c r="A294" s="9" t="s">
        <v>358</v>
      </c>
      <c r="B294" s="9" t="s">
        <v>353</v>
      </c>
      <c r="C294" s="9" t="s">
        <v>36</v>
      </c>
      <c r="D294" s="9" t="s">
        <v>22</v>
      </c>
      <c r="E294" s="9">
        <v>1</v>
      </c>
      <c r="F294" s="11">
        <v>38900</v>
      </c>
      <c r="G294" s="9" t="str">
        <f>INDEX(Products!$B$2:$B$9,MATCH(D294,Products!$A$2:$A$9,0))</f>
        <v>Trà hoa cúc an thần</v>
      </c>
      <c r="H294" s="9" t="str">
        <f>INDEX(Products!$C$2:$C$9,MATCH(D294,Products!$A$2:$A$9,0))</f>
        <v>An thần</v>
      </c>
      <c r="I294" s="11">
        <f>INDEX(Products!$D$2:$D$9,MATCH(D294,Products!$A$2:$A$9,0))</f>
        <v>9500</v>
      </c>
      <c r="J294" s="10">
        <f>IFERROR(INDEX(PlatformFees!$C$2:$C$5,MATCH(C294,PlatformFees!$A$2:$A$5,0)),0)</f>
        <v>0.13</v>
      </c>
      <c r="K294" s="11">
        <f t="shared" si="16"/>
        <v>9500</v>
      </c>
      <c r="L294" s="11">
        <f t="shared" si="17"/>
        <v>5057</v>
      </c>
      <c r="M294" s="11">
        <f t="shared" si="18"/>
        <v>24343</v>
      </c>
      <c r="N294" s="10">
        <f t="shared" si="19"/>
        <v>0.62578406169665812</v>
      </c>
    </row>
    <row r="295" spans="1:14" x14ac:dyDescent="0.3">
      <c r="A295" s="9" t="s">
        <v>359</v>
      </c>
      <c r="B295" s="9" t="s">
        <v>353</v>
      </c>
      <c r="C295" s="9" t="s">
        <v>38</v>
      </c>
      <c r="D295" s="9" t="s">
        <v>20</v>
      </c>
      <c r="E295" s="9">
        <v>1</v>
      </c>
      <c r="F295" s="11">
        <v>55600</v>
      </c>
      <c r="G295" s="9" t="str">
        <f>INDEX(Products!$B$2:$B$9,MATCH(D295,Products!$A$2:$A$9,0))</f>
        <v>Trà cà leo gai giảm cân</v>
      </c>
      <c r="H295" s="9" t="str">
        <f>INDEX(Products!$C$2:$C$9,MATCH(D295,Products!$A$2:$A$9,0))</f>
        <v>Detox</v>
      </c>
      <c r="I295" s="11">
        <f>INDEX(Products!$D$2:$D$9,MATCH(D295,Products!$A$2:$A$9,0))</f>
        <v>15000</v>
      </c>
      <c r="J295" s="10">
        <f>IFERROR(INDEX(PlatformFees!$C$2:$C$5,MATCH(C295,PlatformFees!$A$2:$A$5,0)),0)</f>
        <v>0.16</v>
      </c>
      <c r="K295" s="11">
        <f t="shared" si="16"/>
        <v>15000</v>
      </c>
      <c r="L295" s="11">
        <f t="shared" si="17"/>
        <v>8896</v>
      </c>
      <c r="M295" s="11">
        <f t="shared" si="18"/>
        <v>31704</v>
      </c>
      <c r="N295" s="10">
        <f t="shared" si="19"/>
        <v>0.57021582733812948</v>
      </c>
    </row>
    <row r="296" spans="1:14" x14ac:dyDescent="0.3">
      <c r="A296" s="9" t="s">
        <v>360</v>
      </c>
      <c r="B296" s="9" t="s">
        <v>353</v>
      </c>
      <c r="C296" s="9" t="s">
        <v>36</v>
      </c>
      <c r="D296" s="9" t="s">
        <v>12</v>
      </c>
      <c r="E296" s="9">
        <v>3</v>
      </c>
      <c r="F296" s="11">
        <v>100900</v>
      </c>
      <c r="G296" s="9" t="str">
        <f>INDEX(Products!$B$2:$B$9,MATCH(D296,Products!$A$2:$A$9,0))</f>
        <v>Trà atiso thanh lọc</v>
      </c>
      <c r="H296" s="9" t="str">
        <f>INDEX(Products!$C$2:$C$9,MATCH(D296,Products!$A$2:$A$9,0))</f>
        <v>Thanh lọc</v>
      </c>
      <c r="I296" s="11">
        <f>INDEX(Products!$D$2:$D$9,MATCH(D296,Products!$A$2:$A$9,0))</f>
        <v>9000</v>
      </c>
      <c r="J296" s="10">
        <f>IFERROR(INDEX(PlatformFees!$C$2:$C$5,MATCH(C296,PlatformFees!$A$2:$A$5,0)),0)</f>
        <v>0.13</v>
      </c>
      <c r="K296" s="11">
        <f t="shared" si="16"/>
        <v>27000</v>
      </c>
      <c r="L296" s="11">
        <f t="shared" si="17"/>
        <v>13117</v>
      </c>
      <c r="M296" s="11">
        <f t="shared" si="18"/>
        <v>60783</v>
      </c>
      <c r="N296" s="10">
        <f t="shared" si="19"/>
        <v>0.60240832507433106</v>
      </c>
    </row>
    <row r="297" spans="1:14" x14ac:dyDescent="0.3">
      <c r="A297" s="9" t="s">
        <v>361</v>
      </c>
      <c r="B297" s="9" t="s">
        <v>353</v>
      </c>
      <c r="C297" s="9" t="s">
        <v>36</v>
      </c>
      <c r="D297" s="9" t="s">
        <v>12</v>
      </c>
      <c r="E297" s="9">
        <v>2</v>
      </c>
      <c r="F297" s="11">
        <v>68700</v>
      </c>
      <c r="G297" s="9" t="str">
        <f>INDEX(Products!$B$2:$B$9,MATCH(D297,Products!$A$2:$A$9,0))</f>
        <v>Trà atiso thanh lọc</v>
      </c>
      <c r="H297" s="9" t="str">
        <f>INDEX(Products!$C$2:$C$9,MATCH(D297,Products!$A$2:$A$9,0))</f>
        <v>Thanh lọc</v>
      </c>
      <c r="I297" s="11">
        <f>INDEX(Products!$D$2:$D$9,MATCH(D297,Products!$A$2:$A$9,0))</f>
        <v>9000</v>
      </c>
      <c r="J297" s="10">
        <f>IFERROR(INDEX(PlatformFees!$C$2:$C$5,MATCH(C297,PlatformFees!$A$2:$A$5,0)),0)</f>
        <v>0.13</v>
      </c>
      <c r="K297" s="11">
        <f t="shared" si="16"/>
        <v>18000</v>
      </c>
      <c r="L297" s="11">
        <f t="shared" si="17"/>
        <v>8931</v>
      </c>
      <c r="M297" s="11">
        <f t="shared" si="18"/>
        <v>41769</v>
      </c>
      <c r="N297" s="10">
        <f t="shared" si="19"/>
        <v>0.6079912663755459</v>
      </c>
    </row>
    <row r="298" spans="1:14" x14ac:dyDescent="0.3">
      <c r="A298" s="9" t="s">
        <v>362</v>
      </c>
      <c r="B298" s="9" t="s">
        <v>353</v>
      </c>
      <c r="C298" s="9" t="s">
        <v>38</v>
      </c>
      <c r="D298" s="9" t="s">
        <v>20</v>
      </c>
      <c r="E298" s="9">
        <v>3</v>
      </c>
      <c r="F298" s="11">
        <v>168900</v>
      </c>
      <c r="G298" s="9" t="str">
        <f>INDEX(Products!$B$2:$B$9,MATCH(D298,Products!$A$2:$A$9,0))</f>
        <v>Trà cà leo gai giảm cân</v>
      </c>
      <c r="H298" s="9" t="str">
        <f>INDEX(Products!$C$2:$C$9,MATCH(D298,Products!$A$2:$A$9,0))</f>
        <v>Detox</v>
      </c>
      <c r="I298" s="11">
        <f>INDEX(Products!$D$2:$D$9,MATCH(D298,Products!$A$2:$A$9,0))</f>
        <v>15000</v>
      </c>
      <c r="J298" s="10">
        <f>IFERROR(INDEX(PlatformFees!$C$2:$C$5,MATCH(C298,PlatformFees!$A$2:$A$5,0)),0)</f>
        <v>0.16</v>
      </c>
      <c r="K298" s="11">
        <f t="shared" si="16"/>
        <v>45000</v>
      </c>
      <c r="L298" s="11">
        <f t="shared" si="17"/>
        <v>27024</v>
      </c>
      <c r="M298" s="11">
        <f t="shared" si="18"/>
        <v>96876</v>
      </c>
      <c r="N298" s="10">
        <f t="shared" si="19"/>
        <v>0.57357015985790405</v>
      </c>
    </row>
    <row r="299" spans="1:14" x14ac:dyDescent="0.3">
      <c r="A299" s="9" t="s">
        <v>363</v>
      </c>
      <c r="B299" s="9" t="s">
        <v>353</v>
      </c>
      <c r="C299" s="9" t="s">
        <v>36</v>
      </c>
      <c r="D299" s="9" t="s">
        <v>30</v>
      </c>
      <c r="E299" s="9">
        <v>1</v>
      </c>
      <c r="F299" s="11">
        <v>37000</v>
      </c>
      <c r="G299" s="9" t="str">
        <f>INDEX(Products!$B$2:$B$9,MATCH(D299,Products!$A$2:$A$9,0))</f>
        <v>Trà mâm xôi vitamin</v>
      </c>
      <c r="H299" s="9" t="str">
        <f>INDEX(Products!$C$2:$C$9,MATCH(D299,Products!$A$2:$A$9,0))</f>
        <v>Bổ sung dưỡng chất</v>
      </c>
      <c r="I299" s="11">
        <f>INDEX(Products!$D$2:$D$9,MATCH(D299,Products!$A$2:$A$9,0))</f>
        <v>9800</v>
      </c>
      <c r="J299" s="10">
        <f>IFERROR(INDEX(PlatformFees!$C$2:$C$5,MATCH(C299,PlatformFees!$A$2:$A$5,0)),0)</f>
        <v>0.13</v>
      </c>
      <c r="K299" s="11">
        <f t="shared" si="16"/>
        <v>9800</v>
      </c>
      <c r="L299" s="11">
        <f t="shared" si="17"/>
        <v>4810</v>
      </c>
      <c r="M299" s="11">
        <f t="shared" si="18"/>
        <v>22390</v>
      </c>
      <c r="N299" s="10">
        <f t="shared" si="19"/>
        <v>0.60513513513513517</v>
      </c>
    </row>
    <row r="300" spans="1:14" x14ac:dyDescent="0.3">
      <c r="A300" s="9" t="s">
        <v>364</v>
      </c>
      <c r="B300" s="9" t="s">
        <v>353</v>
      </c>
      <c r="C300" s="9" t="s">
        <v>38</v>
      </c>
      <c r="D300" s="9" t="s">
        <v>17</v>
      </c>
      <c r="E300" s="9">
        <v>2</v>
      </c>
      <c r="F300" s="11">
        <v>82000</v>
      </c>
      <c r="G300" s="9" t="str">
        <f>INDEX(Products!$B$2:$B$9,MATCH(D300,Products!$A$2:$A$9,0))</f>
        <v>Trà diếp cá rau má</v>
      </c>
      <c r="H300" s="9" t="str">
        <f>INDEX(Products!$C$2:$C$9,MATCH(D300,Products!$A$2:$A$9,0))</f>
        <v>Detox</v>
      </c>
      <c r="I300" s="11">
        <f>INDEX(Products!$D$2:$D$9,MATCH(D300,Products!$A$2:$A$9,0))</f>
        <v>10500</v>
      </c>
      <c r="J300" s="10">
        <f>IFERROR(INDEX(PlatformFees!$C$2:$C$5,MATCH(C300,PlatformFees!$A$2:$A$5,0)),0)</f>
        <v>0.16</v>
      </c>
      <c r="K300" s="11">
        <f t="shared" si="16"/>
        <v>21000</v>
      </c>
      <c r="L300" s="11">
        <f t="shared" si="17"/>
        <v>13120</v>
      </c>
      <c r="M300" s="11">
        <f t="shared" si="18"/>
        <v>47880</v>
      </c>
      <c r="N300" s="10">
        <f t="shared" si="19"/>
        <v>0.58390243902439021</v>
      </c>
    </row>
    <row r="301" spans="1:14" x14ac:dyDescent="0.3">
      <c r="A301" s="9" t="s">
        <v>365</v>
      </c>
      <c r="B301" s="9" t="s">
        <v>353</v>
      </c>
      <c r="C301" s="9" t="s">
        <v>36</v>
      </c>
      <c r="D301" s="9" t="s">
        <v>20</v>
      </c>
      <c r="E301" s="9">
        <v>1</v>
      </c>
      <c r="F301" s="11">
        <v>52700</v>
      </c>
      <c r="G301" s="9" t="str">
        <f>INDEX(Products!$B$2:$B$9,MATCH(D301,Products!$A$2:$A$9,0))</f>
        <v>Trà cà leo gai giảm cân</v>
      </c>
      <c r="H301" s="9" t="str">
        <f>INDEX(Products!$C$2:$C$9,MATCH(D301,Products!$A$2:$A$9,0))</f>
        <v>Detox</v>
      </c>
      <c r="I301" s="11">
        <f>INDEX(Products!$D$2:$D$9,MATCH(D301,Products!$A$2:$A$9,0))</f>
        <v>15000</v>
      </c>
      <c r="J301" s="10">
        <f>IFERROR(INDEX(PlatformFees!$C$2:$C$5,MATCH(C301,PlatformFees!$A$2:$A$5,0)),0)</f>
        <v>0.13</v>
      </c>
      <c r="K301" s="11">
        <f t="shared" si="16"/>
        <v>15000</v>
      </c>
      <c r="L301" s="11">
        <f t="shared" si="17"/>
        <v>6851</v>
      </c>
      <c r="M301" s="11">
        <f t="shared" si="18"/>
        <v>30849</v>
      </c>
      <c r="N301" s="10">
        <f t="shared" si="19"/>
        <v>0.58537001897533203</v>
      </c>
    </row>
    <row r="302" spans="1:14" x14ac:dyDescent="0.3">
      <c r="A302" s="9" t="s">
        <v>366</v>
      </c>
      <c r="B302" s="9" t="s">
        <v>353</v>
      </c>
      <c r="C302" s="9" t="s">
        <v>38</v>
      </c>
      <c r="D302" s="9" t="s">
        <v>15</v>
      </c>
      <c r="E302" s="9">
        <v>1</v>
      </c>
      <c r="F302" s="11">
        <v>31500</v>
      </c>
      <c r="G302" s="9" t="str">
        <f>INDEX(Products!$B$2:$B$9,MATCH(D302,Products!$A$2:$A$9,0))</f>
        <v>Trà lá nam sen ổi</v>
      </c>
      <c r="H302" s="9" t="str">
        <f>INDEX(Products!$C$2:$C$9,MATCH(D302,Products!$A$2:$A$9,0))</f>
        <v>Thanh lọc</v>
      </c>
      <c r="I302" s="11">
        <f>INDEX(Products!$D$2:$D$9,MATCH(D302,Products!$A$2:$A$9,0))</f>
        <v>8500</v>
      </c>
      <c r="J302" s="10">
        <f>IFERROR(INDEX(PlatformFees!$C$2:$C$5,MATCH(C302,PlatformFees!$A$2:$A$5,0)),0)</f>
        <v>0.16</v>
      </c>
      <c r="K302" s="11">
        <f t="shared" si="16"/>
        <v>8500</v>
      </c>
      <c r="L302" s="11">
        <f t="shared" si="17"/>
        <v>5040</v>
      </c>
      <c r="M302" s="11">
        <f t="shared" si="18"/>
        <v>17960</v>
      </c>
      <c r="N302" s="10">
        <f t="shared" si="19"/>
        <v>0.5701587301587302</v>
      </c>
    </row>
    <row r="303" spans="1:14" x14ac:dyDescent="0.3">
      <c r="A303" s="9" t="s">
        <v>367</v>
      </c>
      <c r="B303" s="9" t="s">
        <v>353</v>
      </c>
      <c r="C303" s="9" t="s">
        <v>39</v>
      </c>
      <c r="D303" s="9" t="s">
        <v>27</v>
      </c>
      <c r="E303" s="9">
        <v>2</v>
      </c>
      <c r="F303" s="11">
        <v>79000</v>
      </c>
      <c r="G303" s="9" t="str">
        <f>INDEX(Products!$B$2:$B$9,MATCH(D303,Products!$A$2:$A$9,0))</f>
        <v>Trà gừng mật ong</v>
      </c>
      <c r="H303" s="9" t="str">
        <f>INDEX(Products!$C$2:$C$9,MATCH(D303,Products!$A$2:$A$9,0))</f>
        <v>Giữ ấm</v>
      </c>
      <c r="I303" s="11">
        <f>INDEX(Products!$D$2:$D$9,MATCH(D303,Products!$A$2:$A$9,0))</f>
        <v>11000</v>
      </c>
      <c r="J303" s="10">
        <f>IFERROR(INDEX(PlatformFees!$C$2:$C$5,MATCH(C303,PlatformFees!$A$2:$A$5,0)),0)</f>
        <v>0</v>
      </c>
      <c r="K303" s="11">
        <f t="shared" si="16"/>
        <v>22000</v>
      </c>
      <c r="L303" s="11">
        <f t="shared" si="17"/>
        <v>0</v>
      </c>
      <c r="M303" s="11">
        <f t="shared" si="18"/>
        <v>57000</v>
      </c>
      <c r="N303" s="10">
        <f t="shared" si="19"/>
        <v>0.72151898734177211</v>
      </c>
    </row>
    <row r="304" spans="1:14" x14ac:dyDescent="0.3">
      <c r="A304" s="9" t="s">
        <v>368</v>
      </c>
      <c r="B304" s="9" t="s">
        <v>353</v>
      </c>
      <c r="C304" s="9" t="s">
        <v>38</v>
      </c>
      <c r="D304" s="9" t="s">
        <v>12</v>
      </c>
      <c r="E304" s="9">
        <v>3</v>
      </c>
      <c r="F304" s="11">
        <v>106200</v>
      </c>
      <c r="G304" s="9" t="str">
        <f>INDEX(Products!$B$2:$B$9,MATCH(D304,Products!$A$2:$A$9,0))</f>
        <v>Trà atiso thanh lọc</v>
      </c>
      <c r="H304" s="9" t="str">
        <f>INDEX(Products!$C$2:$C$9,MATCH(D304,Products!$A$2:$A$9,0))</f>
        <v>Thanh lọc</v>
      </c>
      <c r="I304" s="11">
        <f>INDEX(Products!$D$2:$D$9,MATCH(D304,Products!$A$2:$A$9,0))</f>
        <v>9000</v>
      </c>
      <c r="J304" s="10">
        <f>IFERROR(INDEX(PlatformFees!$C$2:$C$5,MATCH(C304,PlatformFees!$A$2:$A$5,0)),0)</f>
        <v>0.16</v>
      </c>
      <c r="K304" s="11">
        <f t="shared" si="16"/>
        <v>27000</v>
      </c>
      <c r="L304" s="11">
        <f t="shared" si="17"/>
        <v>16992</v>
      </c>
      <c r="M304" s="11">
        <f t="shared" si="18"/>
        <v>62208</v>
      </c>
      <c r="N304" s="10">
        <f t="shared" si="19"/>
        <v>0.58576271186440676</v>
      </c>
    </row>
    <row r="305" spans="1:14" x14ac:dyDescent="0.3">
      <c r="A305" s="9" t="s">
        <v>369</v>
      </c>
      <c r="B305" s="9" t="s">
        <v>353</v>
      </c>
      <c r="C305" s="9" t="s">
        <v>36</v>
      </c>
      <c r="D305" s="9" t="s">
        <v>15</v>
      </c>
      <c r="E305" s="9">
        <v>3</v>
      </c>
      <c r="F305" s="11">
        <v>96400</v>
      </c>
      <c r="G305" s="9" t="str">
        <f>INDEX(Products!$B$2:$B$9,MATCH(D305,Products!$A$2:$A$9,0))</f>
        <v>Trà lá nam sen ổi</v>
      </c>
      <c r="H305" s="9" t="str">
        <f>INDEX(Products!$C$2:$C$9,MATCH(D305,Products!$A$2:$A$9,0))</f>
        <v>Thanh lọc</v>
      </c>
      <c r="I305" s="11">
        <f>INDEX(Products!$D$2:$D$9,MATCH(D305,Products!$A$2:$A$9,0))</f>
        <v>8500</v>
      </c>
      <c r="J305" s="10">
        <f>IFERROR(INDEX(PlatformFees!$C$2:$C$5,MATCH(C305,PlatformFees!$A$2:$A$5,0)),0)</f>
        <v>0.13</v>
      </c>
      <c r="K305" s="11">
        <f t="shared" si="16"/>
        <v>25500</v>
      </c>
      <c r="L305" s="11">
        <f t="shared" si="17"/>
        <v>12532</v>
      </c>
      <c r="M305" s="11">
        <f t="shared" si="18"/>
        <v>58368</v>
      </c>
      <c r="N305" s="10">
        <f t="shared" si="19"/>
        <v>0.60547717842323656</v>
      </c>
    </row>
    <row r="306" spans="1:14" x14ac:dyDescent="0.3">
      <c r="A306" s="9" t="s">
        <v>370</v>
      </c>
      <c r="B306" s="9" t="s">
        <v>353</v>
      </c>
      <c r="C306" s="9" t="s">
        <v>40</v>
      </c>
      <c r="D306" s="9" t="s">
        <v>17</v>
      </c>
      <c r="E306" s="9">
        <v>1</v>
      </c>
      <c r="F306" s="11">
        <v>42700</v>
      </c>
      <c r="G306" s="9" t="str">
        <f>INDEX(Products!$B$2:$B$9,MATCH(D306,Products!$A$2:$A$9,0))</f>
        <v>Trà diếp cá rau má</v>
      </c>
      <c r="H306" s="9" t="str">
        <f>INDEX(Products!$C$2:$C$9,MATCH(D306,Products!$A$2:$A$9,0))</f>
        <v>Detox</v>
      </c>
      <c r="I306" s="11">
        <f>INDEX(Products!$D$2:$D$9,MATCH(D306,Products!$A$2:$A$9,0))</f>
        <v>10500</v>
      </c>
      <c r="J306" s="10">
        <f>IFERROR(INDEX(PlatformFees!$C$2:$C$5,MATCH(C306,PlatformFees!$A$2:$A$5,0)),0)</f>
        <v>0</v>
      </c>
      <c r="K306" s="11">
        <f t="shared" si="16"/>
        <v>10500</v>
      </c>
      <c r="L306" s="11">
        <f t="shared" si="17"/>
        <v>0</v>
      </c>
      <c r="M306" s="11">
        <f t="shared" si="18"/>
        <v>32200</v>
      </c>
      <c r="N306" s="10">
        <f t="shared" si="19"/>
        <v>0.75409836065573765</v>
      </c>
    </row>
    <row r="307" spans="1:14" x14ac:dyDescent="0.3">
      <c r="A307" s="9" t="s">
        <v>371</v>
      </c>
      <c r="B307" s="9" t="s">
        <v>372</v>
      </c>
      <c r="C307" s="9" t="s">
        <v>38</v>
      </c>
      <c r="D307" s="9" t="s">
        <v>12</v>
      </c>
      <c r="E307" s="9">
        <v>3</v>
      </c>
      <c r="F307" s="11">
        <v>103900</v>
      </c>
      <c r="G307" s="9" t="str">
        <f>INDEX(Products!$B$2:$B$9,MATCH(D307,Products!$A$2:$A$9,0))</f>
        <v>Trà atiso thanh lọc</v>
      </c>
      <c r="H307" s="9" t="str">
        <f>INDEX(Products!$C$2:$C$9,MATCH(D307,Products!$A$2:$A$9,0))</f>
        <v>Thanh lọc</v>
      </c>
      <c r="I307" s="11">
        <f>INDEX(Products!$D$2:$D$9,MATCH(D307,Products!$A$2:$A$9,0))</f>
        <v>9000</v>
      </c>
      <c r="J307" s="10">
        <f>IFERROR(INDEX(PlatformFees!$C$2:$C$5,MATCH(C307,PlatformFees!$A$2:$A$5,0)),0)</f>
        <v>0.16</v>
      </c>
      <c r="K307" s="11">
        <f t="shared" si="16"/>
        <v>27000</v>
      </c>
      <c r="L307" s="11">
        <f t="shared" si="17"/>
        <v>16624</v>
      </c>
      <c r="M307" s="11">
        <f t="shared" si="18"/>
        <v>60276</v>
      </c>
      <c r="N307" s="10">
        <f t="shared" si="19"/>
        <v>0.58013474494706452</v>
      </c>
    </row>
    <row r="308" spans="1:14" x14ac:dyDescent="0.3">
      <c r="A308" s="9" t="s">
        <v>373</v>
      </c>
      <c r="B308" s="9" t="s">
        <v>372</v>
      </c>
      <c r="C308" s="9" t="s">
        <v>36</v>
      </c>
      <c r="D308" s="9" t="s">
        <v>25</v>
      </c>
      <c r="E308" s="9">
        <v>1</v>
      </c>
      <c r="F308" s="11">
        <v>32700</v>
      </c>
      <c r="G308" s="9" t="str">
        <f>INDEX(Products!$B$2:$B$9,MATCH(D308,Products!$A$2:$A$9,0))</f>
        <v>Trà hoa đậu biếc</v>
      </c>
      <c r="H308" s="9" t="str">
        <f>INDEX(Products!$C$2:$C$9,MATCH(D308,Products!$A$2:$A$9,0))</f>
        <v>An thần</v>
      </c>
      <c r="I308" s="11">
        <f>INDEX(Products!$D$2:$D$9,MATCH(D308,Products!$A$2:$A$9,0))</f>
        <v>8800</v>
      </c>
      <c r="J308" s="10">
        <f>IFERROR(INDEX(PlatformFees!$C$2:$C$5,MATCH(C308,PlatformFees!$A$2:$A$5,0)),0)</f>
        <v>0.13</v>
      </c>
      <c r="K308" s="11">
        <f t="shared" si="16"/>
        <v>8800</v>
      </c>
      <c r="L308" s="11">
        <f t="shared" si="17"/>
        <v>4251</v>
      </c>
      <c r="M308" s="11">
        <f t="shared" si="18"/>
        <v>19649</v>
      </c>
      <c r="N308" s="10">
        <f t="shared" si="19"/>
        <v>0.60088685015290522</v>
      </c>
    </row>
    <row r="309" spans="1:14" x14ac:dyDescent="0.3">
      <c r="A309" s="9" t="s">
        <v>374</v>
      </c>
      <c r="B309" s="9" t="s">
        <v>372</v>
      </c>
      <c r="C309" s="9" t="s">
        <v>38</v>
      </c>
      <c r="D309" s="9" t="s">
        <v>15</v>
      </c>
      <c r="E309" s="9">
        <v>1</v>
      </c>
      <c r="F309" s="11">
        <v>32000</v>
      </c>
      <c r="G309" s="9" t="str">
        <f>INDEX(Products!$B$2:$B$9,MATCH(D309,Products!$A$2:$A$9,0))</f>
        <v>Trà lá nam sen ổi</v>
      </c>
      <c r="H309" s="9" t="str">
        <f>INDEX(Products!$C$2:$C$9,MATCH(D309,Products!$A$2:$A$9,0))</f>
        <v>Thanh lọc</v>
      </c>
      <c r="I309" s="11">
        <f>INDEX(Products!$D$2:$D$9,MATCH(D309,Products!$A$2:$A$9,0))</f>
        <v>8500</v>
      </c>
      <c r="J309" s="10">
        <f>IFERROR(INDEX(PlatformFees!$C$2:$C$5,MATCH(C309,PlatformFees!$A$2:$A$5,0)),0)</f>
        <v>0.16</v>
      </c>
      <c r="K309" s="11">
        <f t="shared" si="16"/>
        <v>8500</v>
      </c>
      <c r="L309" s="11">
        <f t="shared" si="17"/>
        <v>5120</v>
      </c>
      <c r="M309" s="11">
        <f t="shared" si="18"/>
        <v>18380</v>
      </c>
      <c r="N309" s="10">
        <f t="shared" si="19"/>
        <v>0.57437499999999997</v>
      </c>
    </row>
    <row r="310" spans="1:14" x14ac:dyDescent="0.3">
      <c r="A310" s="9" t="s">
        <v>375</v>
      </c>
      <c r="B310" s="9" t="s">
        <v>372</v>
      </c>
      <c r="C310" s="9" t="s">
        <v>39</v>
      </c>
      <c r="D310" s="9" t="s">
        <v>22</v>
      </c>
      <c r="E310" s="9">
        <v>1</v>
      </c>
      <c r="F310" s="11">
        <v>38700</v>
      </c>
      <c r="G310" s="9" t="str">
        <f>INDEX(Products!$B$2:$B$9,MATCH(D310,Products!$A$2:$A$9,0))</f>
        <v>Trà hoa cúc an thần</v>
      </c>
      <c r="H310" s="9" t="str">
        <f>INDEX(Products!$C$2:$C$9,MATCH(D310,Products!$A$2:$A$9,0))</f>
        <v>An thần</v>
      </c>
      <c r="I310" s="11">
        <f>INDEX(Products!$D$2:$D$9,MATCH(D310,Products!$A$2:$A$9,0))</f>
        <v>9500</v>
      </c>
      <c r="J310" s="10">
        <f>IFERROR(INDEX(PlatformFees!$C$2:$C$5,MATCH(C310,PlatformFees!$A$2:$A$5,0)),0)</f>
        <v>0</v>
      </c>
      <c r="K310" s="11">
        <f t="shared" si="16"/>
        <v>9500</v>
      </c>
      <c r="L310" s="11">
        <f t="shared" si="17"/>
        <v>0</v>
      </c>
      <c r="M310" s="11">
        <f t="shared" si="18"/>
        <v>29200</v>
      </c>
      <c r="N310" s="10">
        <f t="shared" si="19"/>
        <v>0.75452196382428938</v>
      </c>
    </row>
    <row r="311" spans="1:14" x14ac:dyDescent="0.3">
      <c r="A311" s="9" t="s">
        <v>376</v>
      </c>
      <c r="B311" s="9" t="s">
        <v>372</v>
      </c>
      <c r="C311" s="9" t="s">
        <v>36</v>
      </c>
      <c r="D311" s="9" t="s">
        <v>25</v>
      </c>
      <c r="E311" s="9">
        <v>1</v>
      </c>
      <c r="F311" s="11">
        <v>33800</v>
      </c>
      <c r="G311" s="9" t="str">
        <f>INDEX(Products!$B$2:$B$9,MATCH(D311,Products!$A$2:$A$9,0))</f>
        <v>Trà hoa đậu biếc</v>
      </c>
      <c r="H311" s="9" t="str">
        <f>INDEX(Products!$C$2:$C$9,MATCH(D311,Products!$A$2:$A$9,0))</f>
        <v>An thần</v>
      </c>
      <c r="I311" s="11">
        <f>INDEX(Products!$D$2:$D$9,MATCH(D311,Products!$A$2:$A$9,0))</f>
        <v>8800</v>
      </c>
      <c r="J311" s="10">
        <f>IFERROR(INDEX(PlatformFees!$C$2:$C$5,MATCH(C311,PlatformFees!$A$2:$A$5,0)),0)</f>
        <v>0.13</v>
      </c>
      <c r="K311" s="11">
        <f t="shared" si="16"/>
        <v>8800</v>
      </c>
      <c r="L311" s="11">
        <f t="shared" si="17"/>
        <v>4394</v>
      </c>
      <c r="M311" s="11">
        <f t="shared" si="18"/>
        <v>20606</v>
      </c>
      <c r="N311" s="10">
        <f t="shared" si="19"/>
        <v>0.60964497041420118</v>
      </c>
    </row>
    <row r="312" spans="1:14" x14ac:dyDescent="0.3">
      <c r="A312" s="9" t="s">
        <v>377</v>
      </c>
      <c r="B312" s="9" t="s">
        <v>372</v>
      </c>
      <c r="C312" s="9" t="s">
        <v>36</v>
      </c>
      <c r="D312" s="9" t="s">
        <v>22</v>
      </c>
      <c r="E312" s="9">
        <v>2</v>
      </c>
      <c r="F312" s="11">
        <v>75000</v>
      </c>
      <c r="G312" s="9" t="str">
        <f>INDEX(Products!$B$2:$B$9,MATCH(D312,Products!$A$2:$A$9,0))</f>
        <v>Trà hoa cúc an thần</v>
      </c>
      <c r="H312" s="9" t="str">
        <f>INDEX(Products!$C$2:$C$9,MATCH(D312,Products!$A$2:$A$9,0))</f>
        <v>An thần</v>
      </c>
      <c r="I312" s="11">
        <f>INDEX(Products!$D$2:$D$9,MATCH(D312,Products!$A$2:$A$9,0))</f>
        <v>9500</v>
      </c>
      <c r="J312" s="10">
        <f>IFERROR(INDEX(PlatformFees!$C$2:$C$5,MATCH(C312,PlatformFees!$A$2:$A$5,0)),0)</f>
        <v>0.13</v>
      </c>
      <c r="K312" s="11">
        <f t="shared" si="16"/>
        <v>19000</v>
      </c>
      <c r="L312" s="11">
        <f t="shared" si="17"/>
        <v>9750</v>
      </c>
      <c r="M312" s="11">
        <f t="shared" si="18"/>
        <v>46250</v>
      </c>
      <c r="N312" s="10">
        <f t="shared" si="19"/>
        <v>0.6166666666666667</v>
      </c>
    </row>
    <row r="313" spans="1:14" x14ac:dyDescent="0.3">
      <c r="A313" s="9" t="s">
        <v>378</v>
      </c>
      <c r="B313" s="9" t="s">
        <v>372</v>
      </c>
      <c r="C313" s="9" t="s">
        <v>36</v>
      </c>
      <c r="D313" s="9" t="s">
        <v>17</v>
      </c>
      <c r="E313" s="9">
        <v>2</v>
      </c>
      <c r="F313" s="11">
        <v>78300</v>
      </c>
      <c r="G313" s="9" t="str">
        <f>INDEX(Products!$B$2:$B$9,MATCH(D313,Products!$A$2:$A$9,0))</f>
        <v>Trà diếp cá rau má</v>
      </c>
      <c r="H313" s="9" t="str">
        <f>INDEX(Products!$C$2:$C$9,MATCH(D313,Products!$A$2:$A$9,0))</f>
        <v>Detox</v>
      </c>
      <c r="I313" s="11">
        <f>INDEX(Products!$D$2:$D$9,MATCH(D313,Products!$A$2:$A$9,0))</f>
        <v>10500</v>
      </c>
      <c r="J313" s="10">
        <f>IFERROR(INDEX(PlatformFees!$C$2:$C$5,MATCH(C313,PlatformFees!$A$2:$A$5,0)),0)</f>
        <v>0.13</v>
      </c>
      <c r="K313" s="11">
        <f t="shared" si="16"/>
        <v>21000</v>
      </c>
      <c r="L313" s="11">
        <f t="shared" si="17"/>
        <v>10179</v>
      </c>
      <c r="M313" s="11">
        <f t="shared" si="18"/>
        <v>47121</v>
      </c>
      <c r="N313" s="10">
        <f t="shared" si="19"/>
        <v>0.60180076628352486</v>
      </c>
    </row>
    <row r="314" spans="1:14" x14ac:dyDescent="0.3">
      <c r="A314" s="9" t="s">
        <v>379</v>
      </c>
      <c r="B314" s="9" t="s">
        <v>372</v>
      </c>
      <c r="C314" s="9" t="s">
        <v>36</v>
      </c>
      <c r="D314" s="9" t="s">
        <v>17</v>
      </c>
      <c r="E314" s="9">
        <v>3</v>
      </c>
      <c r="F314" s="11">
        <v>124100</v>
      </c>
      <c r="G314" s="9" t="str">
        <f>INDEX(Products!$B$2:$B$9,MATCH(D314,Products!$A$2:$A$9,0))</f>
        <v>Trà diếp cá rau má</v>
      </c>
      <c r="H314" s="9" t="str">
        <f>INDEX(Products!$C$2:$C$9,MATCH(D314,Products!$A$2:$A$9,0))</f>
        <v>Detox</v>
      </c>
      <c r="I314" s="11">
        <f>INDEX(Products!$D$2:$D$9,MATCH(D314,Products!$A$2:$A$9,0))</f>
        <v>10500</v>
      </c>
      <c r="J314" s="10">
        <f>IFERROR(INDEX(PlatformFees!$C$2:$C$5,MATCH(C314,PlatformFees!$A$2:$A$5,0)),0)</f>
        <v>0.13</v>
      </c>
      <c r="K314" s="11">
        <f t="shared" si="16"/>
        <v>31500</v>
      </c>
      <c r="L314" s="11">
        <f t="shared" si="17"/>
        <v>16133</v>
      </c>
      <c r="M314" s="11">
        <f t="shared" si="18"/>
        <v>76467</v>
      </c>
      <c r="N314" s="10">
        <f t="shared" si="19"/>
        <v>0.61617244157937145</v>
      </c>
    </row>
    <row r="315" spans="1:14" x14ac:dyDescent="0.3">
      <c r="A315" s="9" t="s">
        <v>380</v>
      </c>
      <c r="B315" s="9" t="s">
        <v>372</v>
      </c>
      <c r="C315" s="9" t="s">
        <v>38</v>
      </c>
      <c r="D315" s="9" t="s">
        <v>17</v>
      </c>
      <c r="E315" s="9">
        <v>1</v>
      </c>
      <c r="F315" s="11">
        <v>40500</v>
      </c>
      <c r="G315" s="9" t="str">
        <f>INDEX(Products!$B$2:$B$9,MATCH(D315,Products!$A$2:$A$9,0))</f>
        <v>Trà diếp cá rau má</v>
      </c>
      <c r="H315" s="9" t="str">
        <f>INDEX(Products!$C$2:$C$9,MATCH(D315,Products!$A$2:$A$9,0))</f>
        <v>Detox</v>
      </c>
      <c r="I315" s="11">
        <f>INDEX(Products!$D$2:$D$9,MATCH(D315,Products!$A$2:$A$9,0))</f>
        <v>10500</v>
      </c>
      <c r="J315" s="10">
        <f>IFERROR(INDEX(PlatformFees!$C$2:$C$5,MATCH(C315,PlatformFees!$A$2:$A$5,0)),0)</f>
        <v>0.16</v>
      </c>
      <c r="K315" s="11">
        <f t="shared" si="16"/>
        <v>10500</v>
      </c>
      <c r="L315" s="11">
        <f t="shared" si="17"/>
        <v>6480</v>
      </c>
      <c r="M315" s="11">
        <f t="shared" si="18"/>
        <v>23520</v>
      </c>
      <c r="N315" s="10">
        <f t="shared" si="19"/>
        <v>0.58074074074074078</v>
      </c>
    </row>
    <row r="316" spans="1:14" x14ac:dyDescent="0.3">
      <c r="A316" s="9" t="s">
        <v>381</v>
      </c>
      <c r="B316" s="9" t="s">
        <v>372</v>
      </c>
      <c r="C316" s="9" t="s">
        <v>38</v>
      </c>
      <c r="D316" s="9" t="s">
        <v>12</v>
      </c>
      <c r="E316" s="9">
        <v>1</v>
      </c>
      <c r="F316" s="11">
        <v>35800</v>
      </c>
      <c r="G316" s="9" t="str">
        <f>INDEX(Products!$B$2:$B$9,MATCH(D316,Products!$A$2:$A$9,0))</f>
        <v>Trà atiso thanh lọc</v>
      </c>
      <c r="H316" s="9" t="str">
        <f>INDEX(Products!$C$2:$C$9,MATCH(D316,Products!$A$2:$A$9,0))</f>
        <v>Thanh lọc</v>
      </c>
      <c r="I316" s="11">
        <f>INDEX(Products!$D$2:$D$9,MATCH(D316,Products!$A$2:$A$9,0))</f>
        <v>9000</v>
      </c>
      <c r="J316" s="10">
        <f>IFERROR(INDEX(PlatformFees!$C$2:$C$5,MATCH(C316,PlatformFees!$A$2:$A$5,0)),0)</f>
        <v>0.16</v>
      </c>
      <c r="K316" s="11">
        <f t="shared" si="16"/>
        <v>9000</v>
      </c>
      <c r="L316" s="11">
        <f t="shared" si="17"/>
        <v>5728</v>
      </c>
      <c r="M316" s="11">
        <f t="shared" si="18"/>
        <v>21072</v>
      </c>
      <c r="N316" s="10">
        <f t="shared" si="19"/>
        <v>0.58860335195530722</v>
      </c>
    </row>
    <row r="317" spans="1:14" x14ac:dyDescent="0.3">
      <c r="A317" s="9" t="s">
        <v>382</v>
      </c>
      <c r="B317" s="9" t="s">
        <v>372</v>
      </c>
      <c r="C317" s="9" t="s">
        <v>39</v>
      </c>
      <c r="D317" s="9" t="s">
        <v>27</v>
      </c>
      <c r="E317" s="9">
        <v>1</v>
      </c>
      <c r="F317" s="11">
        <v>38200</v>
      </c>
      <c r="G317" s="9" t="str">
        <f>INDEX(Products!$B$2:$B$9,MATCH(D317,Products!$A$2:$A$9,0))</f>
        <v>Trà gừng mật ong</v>
      </c>
      <c r="H317" s="9" t="str">
        <f>INDEX(Products!$C$2:$C$9,MATCH(D317,Products!$A$2:$A$9,0))</f>
        <v>Giữ ấm</v>
      </c>
      <c r="I317" s="11">
        <f>INDEX(Products!$D$2:$D$9,MATCH(D317,Products!$A$2:$A$9,0))</f>
        <v>11000</v>
      </c>
      <c r="J317" s="10">
        <f>IFERROR(INDEX(PlatformFees!$C$2:$C$5,MATCH(C317,PlatformFees!$A$2:$A$5,0)),0)</f>
        <v>0</v>
      </c>
      <c r="K317" s="11">
        <f t="shared" si="16"/>
        <v>11000</v>
      </c>
      <c r="L317" s="11">
        <f t="shared" si="17"/>
        <v>0</v>
      </c>
      <c r="M317" s="11">
        <f t="shared" si="18"/>
        <v>27200</v>
      </c>
      <c r="N317" s="10">
        <f t="shared" si="19"/>
        <v>0.7120418848167539</v>
      </c>
    </row>
    <row r="318" spans="1:14" x14ac:dyDescent="0.3">
      <c r="A318" s="9" t="s">
        <v>383</v>
      </c>
      <c r="B318" s="9" t="s">
        <v>372</v>
      </c>
      <c r="C318" s="9" t="s">
        <v>36</v>
      </c>
      <c r="D318" s="9" t="s">
        <v>25</v>
      </c>
      <c r="E318" s="9">
        <v>1</v>
      </c>
      <c r="F318" s="11">
        <v>31800</v>
      </c>
      <c r="G318" s="9" t="str">
        <f>INDEX(Products!$B$2:$B$9,MATCH(D318,Products!$A$2:$A$9,0))</f>
        <v>Trà hoa đậu biếc</v>
      </c>
      <c r="H318" s="9" t="str">
        <f>INDEX(Products!$C$2:$C$9,MATCH(D318,Products!$A$2:$A$9,0))</f>
        <v>An thần</v>
      </c>
      <c r="I318" s="11">
        <f>INDEX(Products!$D$2:$D$9,MATCH(D318,Products!$A$2:$A$9,0))</f>
        <v>8800</v>
      </c>
      <c r="J318" s="10">
        <f>IFERROR(INDEX(PlatformFees!$C$2:$C$5,MATCH(C318,PlatformFees!$A$2:$A$5,0)),0)</f>
        <v>0.13</v>
      </c>
      <c r="K318" s="11">
        <f t="shared" si="16"/>
        <v>8800</v>
      </c>
      <c r="L318" s="11">
        <f t="shared" si="17"/>
        <v>4134</v>
      </c>
      <c r="M318" s="11">
        <f t="shared" si="18"/>
        <v>18866</v>
      </c>
      <c r="N318" s="10">
        <f t="shared" si="19"/>
        <v>0.59327044025157227</v>
      </c>
    </row>
    <row r="319" spans="1:14" x14ac:dyDescent="0.3">
      <c r="A319" s="9" t="s">
        <v>384</v>
      </c>
      <c r="B319" s="9" t="s">
        <v>372</v>
      </c>
      <c r="C319" s="9" t="s">
        <v>38</v>
      </c>
      <c r="D319" s="9" t="s">
        <v>17</v>
      </c>
      <c r="E319" s="9">
        <v>2</v>
      </c>
      <c r="F319" s="11">
        <v>85000</v>
      </c>
      <c r="G319" s="9" t="str">
        <f>INDEX(Products!$B$2:$B$9,MATCH(D319,Products!$A$2:$A$9,0))</f>
        <v>Trà diếp cá rau má</v>
      </c>
      <c r="H319" s="9" t="str">
        <f>INDEX(Products!$C$2:$C$9,MATCH(D319,Products!$A$2:$A$9,0))</f>
        <v>Detox</v>
      </c>
      <c r="I319" s="11">
        <f>INDEX(Products!$D$2:$D$9,MATCH(D319,Products!$A$2:$A$9,0))</f>
        <v>10500</v>
      </c>
      <c r="J319" s="10">
        <f>IFERROR(INDEX(PlatformFees!$C$2:$C$5,MATCH(C319,PlatformFees!$A$2:$A$5,0)),0)</f>
        <v>0.16</v>
      </c>
      <c r="K319" s="11">
        <f t="shared" si="16"/>
        <v>21000</v>
      </c>
      <c r="L319" s="11">
        <f t="shared" si="17"/>
        <v>13600</v>
      </c>
      <c r="M319" s="11">
        <f t="shared" si="18"/>
        <v>50400</v>
      </c>
      <c r="N319" s="10">
        <f t="shared" si="19"/>
        <v>0.59294117647058819</v>
      </c>
    </row>
    <row r="320" spans="1:14" x14ac:dyDescent="0.3">
      <c r="A320" s="9" t="s">
        <v>385</v>
      </c>
      <c r="B320" s="9" t="s">
        <v>372</v>
      </c>
      <c r="C320" s="9" t="s">
        <v>39</v>
      </c>
      <c r="D320" s="9" t="s">
        <v>12</v>
      </c>
      <c r="E320" s="9">
        <v>3</v>
      </c>
      <c r="F320" s="11">
        <v>97100</v>
      </c>
      <c r="G320" s="9" t="str">
        <f>INDEX(Products!$B$2:$B$9,MATCH(D320,Products!$A$2:$A$9,0))</f>
        <v>Trà atiso thanh lọc</v>
      </c>
      <c r="H320" s="9" t="str">
        <f>INDEX(Products!$C$2:$C$9,MATCH(D320,Products!$A$2:$A$9,0))</f>
        <v>Thanh lọc</v>
      </c>
      <c r="I320" s="11">
        <f>INDEX(Products!$D$2:$D$9,MATCH(D320,Products!$A$2:$A$9,0))</f>
        <v>9000</v>
      </c>
      <c r="J320" s="10">
        <f>IFERROR(INDEX(PlatformFees!$C$2:$C$5,MATCH(C320,PlatformFees!$A$2:$A$5,0)),0)</f>
        <v>0</v>
      </c>
      <c r="K320" s="11">
        <f t="shared" si="16"/>
        <v>27000</v>
      </c>
      <c r="L320" s="11">
        <f t="shared" si="17"/>
        <v>0</v>
      </c>
      <c r="M320" s="11">
        <f t="shared" si="18"/>
        <v>70100</v>
      </c>
      <c r="N320" s="10">
        <f t="shared" si="19"/>
        <v>0.72193614830072095</v>
      </c>
    </row>
    <row r="321" spans="1:14" x14ac:dyDescent="0.3">
      <c r="A321" s="9" t="s">
        <v>386</v>
      </c>
      <c r="B321" s="9" t="s">
        <v>372</v>
      </c>
      <c r="C321" s="9" t="s">
        <v>36</v>
      </c>
      <c r="D321" s="9" t="s">
        <v>30</v>
      </c>
      <c r="E321" s="9">
        <v>1</v>
      </c>
      <c r="F321" s="11">
        <v>35400</v>
      </c>
      <c r="G321" s="9" t="str">
        <f>INDEX(Products!$B$2:$B$9,MATCH(D321,Products!$A$2:$A$9,0))</f>
        <v>Trà mâm xôi vitamin</v>
      </c>
      <c r="H321" s="9" t="str">
        <f>INDEX(Products!$C$2:$C$9,MATCH(D321,Products!$A$2:$A$9,0))</f>
        <v>Bổ sung dưỡng chất</v>
      </c>
      <c r="I321" s="11">
        <f>INDEX(Products!$D$2:$D$9,MATCH(D321,Products!$A$2:$A$9,0))</f>
        <v>9800</v>
      </c>
      <c r="J321" s="10">
        <f>IFERROR(INDEX(PlatformFees!$C$2:$C$5,MATCH(C321,PlatformFees!$A$2:$A$5,0)),0)</f>
        <v>0.13</v>
      </c>
      <c r="K321" s="11">
        <f t="shared" si="16"/>
        <v>9800</v>
      </c>
      <c r="L321" s="11">
        <f t="shared" si="17"/>
        <v>4602</v>
      </c>
      <c r="M321" s="11">
        <f t="shared" si="18"/>
        <v>20998</v>
      </c>
      <c r="N321" s="10">
        <f t="shared" si="19"/>
        <v>0.5931638418079096</v>
      </c>
    </row>
    <row r="322" spans="1:14" x14ac:dyDescent="0.3">
      <c r="A322" s="9" t="s">
        <v>387</v>
      </c>
      <c r="B322" s="9" t="s">
        <v>372</v>
      </c>
      <c r="C322" s="9" t="s">
        <v>38</v>
      </c>
      <c r="D322" s="9" t="s">
        <v>25</v>
      </c>
      <c r="E322" s="9">
        <v>2</v>
      </c>
      <c r="F322" s="11">
        <v>64700</v>
      </c>
      <c r="G322" s="9" t="str">
        <f>INDEX(Products!$B$2:$B$9,MATCH(D322,Products!$A$2:$A$9,0))</f>
        <v>Trà hoa đậu biếc</v>
      </c>
      <c r="H322" s="9" t="str">
        <f>INDEX(Products!$C$2:$C$9,MATCH(D322,Products!$A$2:$A$9,0))</f>
        <v>An thần</v>
      </c>
      <c r="I322" s="11">
        <f>INDEX(Products!$D$2:$D$9,MATCH(D322,Products!$A$2:$A$9,0))</f>
        <v>8800</v>
      </c>
      <c r="J322" s="10">
        <f>IFERROR(INDEX(PlatformFees!$C$2:$C$5,MATCH(C322,PlatformFees!$A$2:$A$5,0)),0)</f>
        <v>0.16</v>
      </c>
      <c r="K322" s="11">
        <f t="shared" ref="K322:K385" si="20">E322*I322</f>
        <v>17600</v>
      </c>
      <c r="L322" s="11">
        <f t="shared" ref="L322:L385" si="21">F322*J322</f>
        <v>10352</v>
      </c>
      <c r="M322" s="11">
        <f t="shared" ref="M322:M385" si="22">F322-L322-K322</f>
        <v>36748</v>
      </c>
      <c r="N322" s="10">
        <f t="shared" ref="N322:N385" si="23">IFERROR(M322/F322,0)</f>
        <v>0.56797527047913443</v>
      </c>
    </row>
    <row r="323" spans="1:14" x14ac:dyDescent="0.3">
      <c r="A323" s="9" t="s">
        <v>388</v>
      </c>
      <c r="B323" s="9" t="s">
        <v>372</v>
      </c>
      <c r="C323" s="9" t="s">
        <v>36</v>
      </c>
      <c r="D323" s="9" t="s">
        <v>30</v>
      </c>
      <c r="E323" s="9">
        <v>1</v>
      </c>
      <c r="F323" s="11">
        <v>36300</v>
      </c>
      <c r="G323" s="9" t="str">
        <f>INDEX(Products!$B$2:$B$9,MATCH(D323,Products!$A$2:$A$9,0))</f>
        <v>Trà mâm xôi vitamin</v>
      </c>
      <c r="H323" s="9" t="str">
        <f>INDEX(Products!$C$2:$C$9,MATCH(D323,Products!$A$2:$A$9,0))</f>
        <v>Bổ sung dưỡng chất</v>
      </c>
      <c r="I323" s="11">
        <f>INDEX(Products!$D$2:$D$9,MATCH(D323,Products!$A$2:$A$9,0))</f>
        <v>9800</v>
      </c>
      <c r="J323" s="10">
        <f>IFERROR(INDEX(PlatformFees!$C$2:$C$5,MATCH(C323,PlatformFees!$A$2:$A$5,0)),0)</f>
        <v>0.13</v>
      </c>
      <c r="K323" s="11">
        <f t="shared" si="20"/>
        <v>9800</v>
      </c>
      <c r="L323" s="11">
        <f t="shared" si="21"/>
        <v>4719</v>
      </c>
      <c r="M323" s="11">
        <f t="shared" si="22"/>
        <v>21781</v>
      </c>
      <c r="N323" s="10">
        <f t="shared" si="23"/>
        <v>0.60002754820936643</v>
      </c>
    </row>
    <row r="324" spans="1:14" x14ac:dyDescent="0.3">
      <c r="A324" s="9" t="s">
        <v>389</v>
      </c>
      <c r="B324" s="9" t="s">
        <v>372</v>
      </c>
      <c r="C324" s="9" t="s">
        <v>38</v>
      </c>
      <c r="D324" s="9" t="s">
        <v>27</v>
      </c>
      <c r="E324" s="9">
        <v>1</v>
      </c>
      <c r="F324" s="11">
        <v>37200</v>
      </c>
      <c r="G324" s="9" t="str">
        <f>INDEX(Products!$B$2:$B$9,MATCH(D324,Products!$A$2:$A$9,0))</f>
        <v>Trà gừng mật ong</v>
      </c>
      <c r="H324" s="9" t="str">
        <f>INDEX(Products!$C$2:$C$9,MATCH(D324,Products!$A$2:$A$9,0))</f>
        <v>Giữ ấm</v>
      </c>
      <c r="I324" s="11">
        <f>INDEX(Products!$D$2:$D$9,MATCH(D324,Products!$A$2:$A$9,0))</f>
        <v>11000</v>
      </c>
      <c r="J324" s="10">
        <f>IFERROR(INDEX(PlatformFees!$C$2:$C$5,MATCH(C324,PlatformFees!$A$2:$A$5,0)),0)</f>
        <v>0.16</v>
      </c>
      <c r="K324" s="11">
        <f t="shared" si="20"/>
        <v>11000</v>
      </c>
      <c r="L324" s="11">
        <f t="shared" si="21"/>
        <v>5952</v>
      </c>
      <c r="M324" s="11">
        <f t="shared" si="22"/>
        <v>20248</v>
      </c>
      <c r="N324" s="10">
        <f t="shared" si="23"/>
        <v>0.54430107526881721</v>
      </c>
    </row>
    <row r="325" spans="1:14" x14ac:dyDescent="0.3">
      <c r="A325" s="9" t="s">
        <v>390</v>
      </c>
      <c r="B325" s="9" t="s">
        <v>372</v>
      </c>
      <c r="C325" s="9" t="s">
        <v>39</v>
      </c>
      <c r="D325" s="9" t="s">
        <v>15</v>
      </c>
      <c r="E325" s="9">
        <v>2</v>
      </c>
      <c r="F325" s="11">
        <v>61700</v>
      </c>
      <c r="G325" s="9" t="str">
        <f>INDEX(Products!$B$2:$B$9,MATCH(D325,Products!$A$2:$A$9,0))</f>
        <v>Trà lá nam sen ổi</v>
      </c>
      <c r="H325" s="9" t="str">
        <f>INDEX(Products!$C$2:$C$9,MATCH(D325,Products!$A$2:$A$9,0))</f>
        <v>Thanh lọc</v>
      </c>
      <c r="I325" s="11">
        <f>INDEX(Products!$D$2:$D$9,MATCH(D325,Products!$A$2:$A$9,0))</f>
        <v>8500</v>
      </c>
      <c r="J325" s="10">
        <f>IFERROR(INDEX(PlatformFees!$C$2:$C$5,MATCH(C325,PlatformFees!$A$2:$A$5,0)),0)</f>
        <v>0</v>
      </c>
      <c r="K325" s="11">
        <f t="shared" si="20"/>
        <v>17000</v>
      </c>
      <c r="L325" s="11">
        <f t="shared" si="21"/>
        <v>0</v>
      </c>
      <c r="M325" s="11">
        <f t="shared" si="22"/>
        <v>44700</v>
      </c>
      <c r="N325" s="10">
        <f t="shared" si="23"/>
        <v>0.72447325769854132</v>
      </c>
    </row>
    <row r="326" spans="1:14" x14ac:dyDescent="0.3">
      <c r="A326" s="9" t="s">
        <v>391</v>
      </c>
      <c r="B326" s="9" t="s">
        <v>392</v>
      </c>
      <c r="C326" s="9" t="s">
        <v>36</v>
      </c>
      <c r="D326" s="9" t="s">
        <v>17</v>
      </c>
      <c r="E326" s="9">
        <v>1</v>
      </c>
      <c r="F326" s="11">
        <v>39700</v>
      </c>
      <c r="G326" s="9" t="str">
        <f>INDEX(Products!$B$2:$B$9,MATCH(D326,Products!$A$2:$A$9,0))</f>
        <v>Trà diếp cá rau má</v>
      </c>
      <c r="H326" s="9" t="str">
        <f>INDEX(Products!$C$2:$C$9,MATCH(D326,Products!$A$2:$A$9,0))</f>
        <v>Detox</v>
      </c>
      <c r="I326" s="11">
        <f>INDEX(Products!$D$2:$D$9,MATCH(D326,Products!$A$2:$A$9,0))</f>
        <v>10500</v>
      </c>
      <c r="J326" s="10">
        <f>IFERROR(INDEX(PlatformFees!$C$2:$C$5,MATCH(C326,PlatformFees!$A$2:$A$5,0)),0)</f>
        <v>0.13</v>
      </c>
      <c r="K326" s="11">
        <f t="shared" si="20"/>
        <v>10500</v>
      </c>
      <c r="L326" s="11">
        <f t="shared" si="21"/>
        <v>5161</v>
      </c>
      <c r="M326" s="11">
        <f t="shared" si="22"/>
        <v>24039</v>
      </c>
      <c r="N326" s="10">
        <f t="shared" si="23"/>
        <v>0.60551637279596982</v>
      </c>
    </row>
    <row r="327" spans="1:14" x14ac:dyDescent="0.3">
      <c r="A327" s="9" t="s">
        <v>393</v>
      </c>
      <c r="B327" s="9" t="s">
        <v>392</v>
      </c>
      <c r="C327" s="9" t="s">
        <v>39</v>
      </c>
      <c r="D327" s="9" t="s">
        <v>12</v>
      </c>
      <c r="E327" s="9">
        <v>3</v>
      </c>
      <c r="F327" s="11">
        <v>97900</v>
      </c>
      <c r="G327" s="9" t="str">
        <f>INDEX(Products!$B$2:$B$9,MATCH(D327,Products!$A$2:$A$9,0))</f>
        <v>Trà atiso thanh lọc</v>
      </c>
      <c r="H327" s="9" t="str">
        <f>INDEX(Products!$C$2:$C$9,MATCH(D327,Products!$A$2:$A$9,0))</f>
        <v>Thanh lọc</v>
      </c>
      <c r="I327" s="11">
        <f>INDEX(Products!$D$2:$D$9,MATCH(D327,Products!$A$2:$A$9,0))</f>
        <v>9000</v>
      </c>
      <c r="J327" s="10">
        <f>IFERROR(INDEX(PlatformFees!$C$2:$C$5,MATCH(C327,PlatformFees!$A$2:$A$5,0)),0)</f>
        <v>0</v>
      </c>
      <c r="K327" s="11">
        <f t="shared" si="20"/>
        <v>27000</v>
      </c>
      <c r="L327" s="11">
        <f t="shared" si="21"/>
        <v>0</v>
      </c>
      <c r="M327" s="11">
        <f t="shared" si="22"/>
        <v>70900</v>
      </c>
      <c r="N327" s="10">
        <f t="shared" si="23"/>
        <v>0.72420837589376919</v>
      </c>
    </row>
    <row r="328" spans="1:14" x14ac:dyDescent="0.3">
      <c r="A328" s="9" t="s">
        <v>394</v>
      </c>
      <c r="B328" s="9" t="s">
        <v>392</v>
      </c>
      <c r="C328" s="9" t="s">
        <v>38</v>
      </c>
      <c r="D328" s="9" t="s">
        <v>30</v>
      </c>
      <c r="E328" s="9">
        <v>1</v>
      </c>
      <c r="F328" s="11">
        <v>34500</v>
      </c>
      <c r="G328" s="9" t="str">
        <f>INDEX(Products!$B$2:$B$9,MATCH(D328,Products!$A$2:$A$9,0))</f>
        <v>Trà mâm xôi vitamin</v>
      </c>
      <c r="H328" s="9" t="str">
        <f>INDEX(Products!$C$2:$C$9,MATCH(D328,Products!$A$2:$A$9,0))</f>
        <v>Bổ sung dưỡng chất</v>
      </c>
      <c r="I328" s="11">
        <f>INDEX(Products!$D$2:$D$9,MATCH(D328,Products!$A$2:$A$9,0))</f>
        <v>9800</v>
      </c>
      <c r="J328" s="10">
        <f>IFERROR(INDEX(PlatformFees!$C$2:$C$5,MATCH(C328,PlatformFees!$A$2:$A$5,0)),0)</f>
        <v>0.16</v>
      </c>
      <c r="K328" s="11">
        <f t="shared" si="20"/>
        <v>9800</v>
      </c>
      <c r="L328" s="11">
        <f t="shared" si="21"/>
        <v>5520</v>
      </c>
      <c r="M328" s="11">
        <f t="shared" si="22"/>
        <v>19180</v>
      </c>
      <c r="N328" s="10">
        <f t="shared" si="23"/>
        <v>0.55594202898550726</v>
      </c>
    </row>
    <row r="329" spans="1:14" x14ac:dyDescent="0.3">
      <c r="A329" s="9" t="s">
        <v>395</v>
      </c>
      <c r="B329" s="9" t="s">
        <v>392</v>
      </c>
      <c r="C329" s="9" t="s">
        <v>40</v>
      </c>
      <c r="D329" s="9" t="s">
        <v>25</v>
      </c>
      <c r="E329" s="9">
        <v>1</v>
      </c>
      <c r="F329" s="11">
        <v>32200</v>
      </c>
      <c r="G329" s="9" t="str">
        <f>INDEX(Products!$B$2:$B$9,MATCH(D329,Products!$A$2:$A$9,0))</f>
        <v>Trà hoa đậu biếc</v>
      </c>
      <c r="H329" s="9" t="str">
        <f>INDEX(Products!$C$2:$C$9,MATCH(D329,Products!$A$2:$A$9,0))</f>
        <v>An thần</v>
      </c>
      <c r="I329" s="11">
        <f>INDEX(Products!$D$2:$D$9,MATCH(D329,Products!$A$2:$A$9,0))</f>
        <v>8800</v>
      </c>
      <c r="J329" s="10">
        <f>IFERROR(INDEX(PlatformFees!$C$2:$C$5,MATCH(C329,PlatformFees!$A$2:$A$5,0)),0)</f>
        <v>0</v>
      </c>
      <c r="K329" s="11">
        <f t="shared" si="20"/>
        <v>8800</v>
      </c>
      <c r="L329" s="11">
        <f t="shared" si="21"/>
        <v>0</v>
      </c>
      <c r="M329" s="11">
        <f t="shared" si="22"/>
        <v>23400</v>
      </c>
      <c r="N329" s="10">
        <f t="shared" si="23"/>
        <v>0.72670807453416153</v>
      </c>
    </row>
    <row r="330" spans="1:14" x14ac:dyDescent="0.3">
      <c r="A330" s="9" t="s">
        <v>396</v>
      </c>
      <c r="B330" s="9" t="s">
        <v>392</v>
      </c>
      <c r="C330" s="9" t="s">
        <v>36</v>
      </c>
      <c r="D330" s="9" t="s">
        <v>15</v>
      </c>
      <c r="E330" s="9">
        <v>2</v>
      </c>
      <c r="F330" s="11">
        <v>60000</v>
      </c>
      <c r="G330" s="9" t="str">
        <f>INDEX(Products!$B$2:$B$9,MATCH(D330,Products!$A$2:$A$9,0))</f>
        <v>Trà lá nam sen ổi</v>
      </c>
      <c r="H330" s="9" t="str">
        <f>INDEX(Products!$C$2:$C$9,MATCH(D330,Products!$A$2:$A$9,0))</f>
        <v>Thanh lọc</v>
      </c>
      <c r="I330" s="11">
        <f>INDEX(Products!$D$2:$D$9,MATCH(D330,Products!$A$2:$A$9,0))</f>
        <v>8500</v>
      </c>
      <c r="J330" s="10">
        <f>IFERROR(INDEX(PlatformFees!$C$2:$C$5,MATCH(C330,PlatformFees!$A$2:$A$5,0)),0)</f>
        <v>0.13</v>
      </c>
      <c r="K330" s="11">
        <f t="shared" si="20"/>
        <v>17000</v>
      </c>
      <c r="L330" s="11">
        <f t="shared" si="21"/>
        <v>7800</v>
      </c>
      <c r="M330" s="11">
        <f t="shared" si="22"/>
        <v>35200</v>
      </c>
      <c r="N330" s="10">
        <f t="shared" si="23"/>
        <v>0.58666666666666667</v>
      </c>
    </row>
    <row r="331" spans="1:14" x14ac:dyDescent="0.3">
      <c r="A331" s="9" t="s">
        <v>397</v>
      </c>
      <c r="B331" s="9" t="s">
        <v>392</v>
      </c>
      <c r="C331" s="9" t="s">
        <v>39</v>
      </c>
      <c r="D331" s="9" t="s">
        <v>12</v>
      </c>
      <c r="E331" s="9">
        <v>3</v>
      </c>
      <c r="F331" s="11">
        <v>102300</v>
      </c>
      <c r="G331" s="9" t="str">
        <f>INDEX(Products!$B$2:$B$9,MATCH(D331,Products!$A$2:$A$9,0))</f>
        <v>Trà atiso thanh lọc</v>
      </c>
      <c r="H331" s="9" t="str">
        <f>INDEX(Products!$C$2:$C$9,MATCH(D331,Products!$A$2:$A$9,0))</f>
        <v>Thanh lọc</v>
      </c>
      <c r="I331" s="11">
        <f>INDEX(Products!$D$2:$D$9,MATCH(D331,Products!$A$2:$A$9,0))</f>
        <v>9000</v>
      </c>
      <c r="J331" s="10">
        <f>IFERROR(INDEX(PlatformFees!$C$2:$C$5,MATCH(C331,PlatformFees!$A$2:$A$5,0)),0)</f>
        <v>0</v>
      </c>
      <c r="K331" s="11">
        <f t="shared" si="20"/>
        <v>27000</v>
      </c>
      <c r="L331" s="11">
        <f t="shared" si="21"/>
        <v>0</v>
      </c>
      <c r="M331" s="11">
        <f t="shared" si="22"/>
        <v>75300</v>
      </c>
      <c r="N331" s="10">
        <f t="shared" si="23"/>
        <v>0.73607038123167157</v>
      </c>
    </row>
    <row r="332" spans="1:14" x14ac:dyDescent="0.3">
      <c r="A332" s="9" t="s">
        <v>398</v>
      </c>
      <c r="B332" s="9" t="s">
        <v>392</v>
      </c>
      <c r="C332" s="9" t="s">
        <v>39</v>
      </c>
      <c r="D332" s="9" t="s">
        <v>27</v>
      </c>
      <c r="E332" s="9">
        <v>2</v>
      </c>
      <c r="F332" s="11">
        <v>79600</v>
      </c>
      <c r="G332" s="9" t="str">
        <f>INDEX(Products!$B$2:$B$9,MATCH(D332,Products!$A$2:$A$9,0))</f>
        <v>Trà gừng mật ong</v>
      </c>
      <c r="H332" s="9" t="str">
        <f>INDEX(Products!$C$2:$C$9,MATCH(D332,Products!$A$2:$A$9,0))</f>
        <v>Giữ ấm</v>
      </c>
      <c r="I332" s="11">
        <f>INDEX(Products!$D$2:$D$9,MATCH(D332,Products!$A$2:$A$9,0))</f>
        <v>11000</v>
      </c>
      <c r="J332" s="10">
        <f>IFERROR(INDEX(PlatformFees!$C$2:$C$5,MATCH(C332,PlatformFees!$A$2:$A$5,0)),0)</f>
        <v>0</v>
      </c>
      <c r="K332" s="11">
        <f t="shared" si="20"/>
        <v>22000</v>
      </c>
      <c r="L332" s="11">
        <f t="shared" si="21"/>
        <v>0</v>
      </c>
      <c r="M332" s="11">
        <f t="shared" si="22"/>
        <v>57600</v>
      </c>
      <c r="N332" s="10">
        <f t="shared" si="23"/>
        <v>0.72361809045226133</v>
      </c>
    </row>
    <row r="333" spans="1:14" x14ac:dyDescent="0.3">
      <c r="A333" s="9" t="s">
        <v>399</v>
      </c>
      <c r="B333" s="9" t="s">
        <v>392</v>
      </c>
      <c r="C333" s="9" t="s">
        <v>39</v>
      </c>
      <c r="D333" s="9" t="s">
        <v>25</v>
      </c>
      <c r="E333" s="9">
        <v>2</v>
      </c>
      <c r="F333" s="11">
        <v>65000</v>
      </c>
      <c r="G333" s="9" t="str">
        <f>INDEX(Products!$B$2:$B$9,MATCH(D333,Products!$A$2:$A$9,0))</f>
        <v>Trà hoa đậu biếc</v>
      </c>
      <c r="H333" s="9" t="str">
        <f>INDEX(Products!$C$2:$C$9,MATCH(D333,Products!$A$2:$A$9,0))</f>
        <v>An thần</v>
      </c>
      <c r="I333" s="11">
        <f>INDEX(Products!$D$2:$D$9,MATCH(D333,Products!$A$2:$A$9,0))</f>
        <v>8800</v>
      </c>
      <c r="J333" s="10">
        <f>IFERROR(INDEX(PlatformFees!$C$2:$C$5,MATCH(C333,PlatformFees!$A$2:$A$5,0)),0)</f>
        <v>0</v>
      </c>
      <c r="K333" s="11">
        <f t="shared" si="20"/>
        <v>17600</v>
      </c>
      <c r="L333" s="11">
        <f t="shared" si="21"/>
        <v>0</v>
      </c>
      <c r="M333" s="11">
        <f t="shared" si="22"/>
        <v>47400</v>
      </c>
      <c r="N333" s="10">
        <f t="shared" si="23"/>
        <v>0.72923076923076924</v>
      </c>
    </row>
    <row r="334" spans="1:14" x14ac:dyDescent="0.3">
      <c r="A334" s="9" t="s">
        <v>400</v>
      </c>
      <c r="B334" s="9" t="s">
        <v>392</v>
      </c>
      <c r="C334" s="9" t="s">
        <v>40</v>
      </c>
      <c r="D334" s="9" t="s">
        <v>17</v>
      </c>
      <c r="E334" s="9">
        <v>2</v>
      </c>
      <c r="F334" s="11">
        <v>77900</v>
      </c>
      <c r="G334" s="9" t="str">
        <f>INDEX(Products!$B$2:$B$9,MATCH(D334,Products!$A$2:$A$9,0))</f>
        <v>Trà diếp cá rau má</v>
      </c>
      <c r="H334" s="9" t="str">
        <f>INDEX(Products!$C$2:$C$9,MATCH(D334,Products!$A$2:$A$9,0))</f>
        <v>Detox</v>
      </c>
      <c r="I334" s="11">
        <f>INDEX(Products!$D$2:$D$9,MATCH(D334,Products!$A$2:$A$9,0))</f>
        <v>10500</v>
      </c>
      <c r="J334" s="10">
        <f>IFERROR(INDEX(PlatformFees!$C$2:$C$5,MATCH(C334,PlatformFees!$A$2:$A$5,0)),0)</f>
        <v>0</v>
      </c>
      <c r="K334" s="11">
        <f t="shared" si="20"/>
        <v>21000</v>
      </c>
      <c r="L334" s="11">
        <f t="shared" si="21"/>
        <v>0</v>
      </c>
      <c r="M334" s="11">
        <f t="shared" si="22"/>
        <v>56900</v>
      </c>
      <c r="N334" s="10">
        <f t="shared" si="23"/>
        <v>0.73042362002567396</v>
      </c>
    </row>
    <row r="335" spans="1:14" x14ac:dyDescent="0.3">
      <c r="A335" s="9" t="s">
        <v>401</v>
      </c>
      <c r="B335" s="9" t="s">
        <v>392</v>
      </c>
      <c r="C335" s="9" t="s">
        <v>36</v>
      </c>
      <c r="D335" s="9" t="s">
        <v>17</v>
      </c>
      <c r="E335" s="9">
        <v>1</v>
      </c>
      <c r="F335" s="11">
        <v>41400</v>
      </c>
      <c r="G335" s="9" t="str">
        <f>INDEX(Products!$B$2:$B$9,MATCH(D335,Products!$A$2:$A$9,0))</f>
        <v>Trà diếp cá rau má</v>
      </c>
      <c r="H335" s="9" t="str">
        <f>INDEX(Products!$C$2:$C$9,MATCH(D335,Products!$A$2:$A$9,0))</f>
        <v>Detox</v>
      </c>
      <c r="I335" s="11">
        <f>INDEX(Products!$D$2:$D$9,MATCH(D335,Products!$A$2:$A$9,0))</f>
        <v>10500</v>
      </c>
      <c r="J335" s="10">
        <f>IFERROR(INDEX(PlatformFees!$C$2:$C$5,MATCH(C335,PlatformFees!$A$2:$A$5,0)),0)</f>
        <v>0.13</v>
      </c>
      <c r="K335" s="11">
        <f t="shared" si="20"/>
        <v>10500</v>
      </c>
      <c r="L335" s="11">
        <f t="shared" si="21"/>
        <v>5382</v>
      </c>
      <c r="M335" s="11">
        <f t="shared" si="22"/>
        <v>25518</v>
      </c>
      <c r="N335" s="10">
        <f t="shared" si="23"/>
        <v>0.61637681159420288</v>
      </c>
    </row>
    <row r="336" spans="1:14" x14ac:dyDescent="0.3">
      <c r="A336" s="9" t="s">
        <v>402</v>
      </c>
      <c r="B336" s="9" t="s">
        <v>392</v>
      </c>
      <c r="C336" s="9" t="s">
        <v>36</v>
      </c>
      <c r="D336" s="9" t="s">
        <v>12</v>
      </c>
      <c r="E336" s="9">
        <v>2</v>
      </c>
      <c r="F336" s="11">
        <v>67900</v>
      </c>
      <c r="G336" s="9" t="str">
        <f>INDEX(Products!$B$2:$B$9,MATCH(D336,Products!$A$2:$A$9,0))</f>
        <v>Trà atiso thanh lọc</v>
      </c>
      <c r="H336" s="9" t="str">
        <f>INDEX(Products!$C$2:$C$9,MATCH(D336,Products!$A$2:$A$9,0))</f>
        <v>Thanh lọc</v>
      </c>
      <c r="I336" s="11">
        <f>INDEX(Products!$D$2:$D$9,MATCH(D336,Products!$A$2:$A$9,0))</f>
        <v>9000</v>
      </c>
      <c r="J336" s="10">
        <f>IFERROR(INDEX(PlatformFees!$C$2:$C$5,MATCH(C336,PlatformFees!$A$2:$A$5,0)),0)</f>
        <v>0.13</v>
      </c>
      <c r="K336" s="11">
        <f t="shared" si="20"/>
        <v>18000</v>
      </c>
      <c r="L336" s="11">
        <f t="shared" si="21"/>
        <v>8827</v>
      </c>
      <c r="M336" s="11">
        <f t="shared" si="22"/>
        <v>41073</v>
      </c>
      <c r="N336" s="10">
        <f t="shared" si="23"/>
        <v>0.60490427098674526</v>
      </c>
    </row>
    <row r="337" spans="1:14" x14ac:dyDescent="0.3">
      <c r="A337" s="9" t="s">
        <v>403</v>
      </c>
      <c r="B337" s="9" t="s">
        <v>404</v>
      </c>
      <c r="C337" s="9" t="s">
        <v>36</v>
      </c>
      <c r="D337" s="9" t="s">
        <v>17</v>
      </c>
      <c r="E337" s="9">
        <v>3</v>
      </c>
      <c r="F337" s="11">
        <v>127900</v>
      </c>
      <c r="G337" s="9" t="str">
        <f>INDEX(Products!$B$2:$B$9,MATCH(D337,Products!$A$2:$A$9,0))</f>
        <v>Trà diếp cá rau má</v>
      </c>
      <c r="H337" s="9" t="str">
        <f>INDEX(Products!$C$2:$C$9,MATCH(D337,Products!$A$2:$A$9,0))</f>
        <v>Detox</v>
      </c>
      <c r="I337" s="11">
        <f>INDEX(Products!$D$2:$D$9,MATCH(D337,Products!$A$2:$A$9,0))</f>
        <v>10500</v>
      </c>
      <c r="J337" s="10">
        <f>IFERROR(INDEX(PlatformFees!$C$2:$C$5,MATCH(C337,PlatformFees!$A$2:$A$5,0)),0)</f>
        <v>0.13</v>
      </c>
      <c r="K337" s="11">
        <f t="shared" si="20"/>
        <v>31500</v>
      </c>
      <c r="L337" s="11">
        <f t="shared" si="21"/>
        <v>16627</v>
      </c>
      <c r="M337" s="11">
        <f t="shared" si="22"/>
        <v>79773</v>
      </c>
      <c r="N337" s="10">
        <f t="shared" si="23"/>
        <v>0.62371383893666932</v>
      </c>
    </row>
    <row r="338" spans="1:14" x14ac:dyDescent="0.3">
      <c r="A338" s="9" t="s">
        <v>405</v>
      </c>
      <c r="B338" s="9" t="s">
        <v>404</v>
      </c>
      <c r="C338" s="9" t="s">
        <v>39</v>
      </c>
      <c r="D338" s="9" t="s">
        <v>25</v>
      </c>
      <c r="E338" s="9">
        <v>2</v>
      </c>
      <c r="F338" s="11">
        <v>65400</v>
      </c>
      <c r="G338" s="9" t="str">
        <f>INDEX(Products!$B$2:$B$9,MATCH(D338,Products!$A$2:$A$9,0))</f>
        <v>Trà hoa đậu biếc</v>
      </c>
      <c r="H338" s="9" t="str">
        <f>INDEX(Products!$C$2:$C$9,MATCH(D338,Products!$A$2:$A$9,0))</f>
        <v>An thần</v>
      </c>
      <c r="I338" s="11">
        <f>INDEX(Products!$D$2:$D$9,MATCH(D338,Products!$A$2:$A$9,0))</f>
        <v>8800</v>
      </c>
      <c r="J338" s="10">
        <f>IFERROR(INDEX(PlatformFees!$C$2:$C$5,MATCH(C338,PlatformFees!$A$2:$A$5,0)),0)</f>
        <v>0</v>
      </c>
      <c r="K338" s="11">
        <f t="shared" si="20"/>
        <v>17600</v>
      </c>
      <c r="L338" s="11">
        <f t="shared" si="21"/>
        <v>0</v>
      </c>
      <c r="M338" s="11">
        <f t="shared" si="22"/>
        <v>47800</v>
      </c>
      <c r="N338" s="10">
        <f t="shared" si="23"/>
        <v>0.73088685015290522</v>
      </c>
    </row>
    <row r="339" spans="1:14" x14ac:dyDescent="0.3">
      <c r="A339" s="9" t="s">
        <v>406</v>
      </c>
      <c r="B339" s="9" t="s">
        <v>404</v>
      </c>
      <c r="C339" s="9" t="s">
        <v>38</v>
      </c>
      <c r="D339" s="9" t="s">
        <v>30</v>
      </c>
      <c r="E339" s="9">
        <v>3</v>
      </c>
      <c r="F339" s="11">
        <v>110000</v>
      </c>
      <c r="G339" s="9" t="str">
        <f>INDEX(Products!$B$2:$B$9,MATCH(D339,Products!$A$2:$A$9,0))</f>
        <v>Trà mâm xôi vitamin</v>
      </c>
      <c r="H339" s="9" t="str">
        <f>INDEX(Products!$C$2:$C$9,MATCH(D339,Products!$A$2:$A$9,0))</f>
        <v>Bổ sung dưỡng chất</v>
      </c>
      <c r="I339" s="11">
        <f>INDEX(Products!$D$2:$D$9,MATCH(D339,Products!$A$2:$A$9,0))</f>
        <v>9800</v>
      </c>
      <c r="J339" s="10">
        <f>IFERROR(INDEX(PlatformFees!$C$2:$C$5,MATCH(C339,PlatformFees!$A$2:$A$5,0)),0)</f>
        <v>0.16</v>
      </c>
      <c r="K339" s="11">
        <f t="shared" si="20"/>
        <v>29400</v>
      </c>
      <c r="L339" s="11">
        <f t="shared" si="21"/>
        <v>17600</v>
      </c>
      <c r="M339" s="11">
        <f t="shared" si="22"/>
        <v>63000</v>
      </c>
      <c r="N339" s="10">
        <f t="shared" si="23"/>
        <v>0.57272727272727275</v>
      </c>
    </row>
    <row r="340" spans="1:14" x14ac:dyDescent="0.3">
      <c r="A340" s="9" t="s">
        <v>407</v>
      </c>
      <c r="B340" s="9" t="s">
        <v>404</v>
      </c>
      <c r="C340" s="9" t="s">
        <v>36</v>
      </c>
      <c r="D340" s="9" t="s">
        <v>27</v>
      </c>
      <c r="E340" s="9">
        <v>3</v>
      </c>
      <c r="F340" s="11">
        <v>112900</v>
      </c>
      <c r="G340" s="9" t="str">
        <f>INDEX(Products!$B$2:$B$9,MATCH(D340,Products!$A$2:$A$9,0))</f>
        <v>Trà gừng mật ong</v>
      </c>
      <c r="H340" s="9" t="str">
        <f>INDEX(Products!$C$2:$C$9,MATCH(D340,Products!$A$2:$A$9,0))</f>
        <v>Giữ ấm</v>
      </c>
      <c r="I340" s="11">
        <f>INDEX(Products!$D$2:$D$9,MATCH(D340,Products!$A$2:$A$9,0))</f>
        <v>11000</v>
      </c>
      <c r="J340" s="10">
        <f>IFERROR(INDEX(PlatformFees!$C$2:$C$5,MATCH(C340,PlatformFees!$A$2:$A$5,0)),0)</f>
        <v>0.13</v>
      </c>
      <c r="K340" s="11">
        <f t="shared" si="20"/>
        <v>33000</v>
      </c>
      <c r="L340" s="11">
        <f t="shared" si="21"/>
        <v>14677</v>
      </c>
      <c r="M340" s="11">
        <f t="shared" si="22"/>
        <v>65223</v>
      </c>
      <c r="N340" s="10">
        <f t="shared" si="23"/>
        <v>0.57770593445527019</v>
      </c>
    </row>
    <row r="341" spans="1:14" x14ac:dyDescent="0.3">
      <c r="A341" s="9" t="s">
        <v>408</v>
      </c>
      <c r="B341" s="9" t="s">
        <v>404</v>
      </c>
      <c r="C341" s="9" t="s">
        <v>38</v>
      </c>
      <c r="D341" s="9" t="s">
        <v>20</v>
      </c>
      <c r="E341" s="9">
        <v>1</v>
      </c>
      <c r="F341" s="11">
        <v>53300</v>
      </c>
      <c r="G341" s="9" t="str">
        <f>INDEX(Products!$B$2:$B$9,MATCH(D341,Products!$A$2:$A$9,0))</f>
        <v>Trà cà leo gai giảm cân</v>
      </c>
      <c r="H341" s="9" t="str">
        <f>INDEX(Products!$C$2:$C$9,MATCH(D341,Products!$A$2:$A$9,0))</f>
        <v>Detox</v>
      </c>
      <c r="I341" s="11">
        <f>INDEX(Products!$D$2:$D$9,MATCH(D341,Products!$A$2:$A$9,0))</f>
        <v>15000</v>
      </c>
      <c r="J341" s="10">
        <f>IFERROR(INDEX(PlatformFees!$C$2:$C$5,MATCH(C341,PlatformFees!$A$2:$A$5,0)),0)</f>
        <v>0.16</v>
      </c>
      <c r="K341" s="11">
        <f t="shared" si="20"/>
        <v>15000</v>
      </c>
      <c r="L341" s="11">
        <f t="shared" si="21"/>
        <v>8528</v>
      </c>
      <c r="M341" s="11">
        <f t="shared" si="22"/>
        <v>29772</v>
      </c>
      <c r="N341" s="10">
        <f t="shared" si="23"/>
        <v>0.55857410881801128</v>
      </c>
    </row>
    <row r="342" spans="1:14" x14ac:dyDescent="0.3">
      <c r="A342" s="9" t="s">
        <v>409</v>
      </c>
      <c r="B342" s="9" t="s">
        <v>404</v>
      </c>
      <c r="C342" s="9" t="s">
        <v>39</v>
      </c>
      <c r="D342" s="9" t="s">
        <v>27</v>
      </c>
      <c r="E342" s="9">
        <v>3</v>
      </c>
      <c r="F342" s="11">
        <v>111500</v>
      </c>
      <c r="G342" s="9" t="str">
        <f>INDEX(Products!$B$2:$B$9,MATCH(D342,Products!$A$2:$A$9,0))</f>
        <v>Trà gừng mật ong</v>
      </c>
      <c r="H342" s="9" t="str">
        <f>INDEX(Products!$C$2:$C$9,MATCH(D342,Products!$A$2:$A$9,0))</f>
        <v>Giữ ấm</v>
      </c>
      <c r="I342" s="11">
        <f>INDEX(Products!$D$2:$D$9,MATCH(D342,Products!$A$2:$A$9,0))</f>
        <v>11000</v>
      </c>
      <c r="J342" s="10">
        <f>IFERROR(INDEX(PlatformFees!$C$2:$C$5,MATCH(C342,PlatformFees!$A$2:$A$5,0)),0)</f>
        <v>0</v>
      </c>
      <c r="K342" s="11">
        <f t="shared" si="20"/>
        <v>33000</v>
      </c>
      <c r="L342" s="11">
        <f t="shared" si="21"/>
        <v>0</v>
      </c>
      <c r="M342" s="11">
        <f t="shared" si="22"/>
        <v>78500</v>
      </c>
      <c r="N342" s="10">
        <f t="shared" si="23"/>
        <v>0.70403587443946192</v>
      </c>
    </row>
    <row r="343" spans="1:14" x14ac:dyDescent="0.3">
      <c r="A343" s="9" t="s">
        <v>410</v>
      </c>
      <c r="B343" s="9" t="s">
        <v>404</v>
      </c>
      <c r="C343" s="9" t="s">
        <v>38</v>
      </c>
      <c r="D343" s="9" t="s">
        <v>12</v>
      </c>
      <c r="E343" s="9">
        <v>3</v>
      </c>
      <c r="F343" s="11">
        <v>101700</v>
      </c>
      <c r="G343" s="9" t="str">
        <f>INDEX(Products!$B$2:$B$9,MATCH(D343,Products!$A$2:$A$9,0))</f>
        <v>Trà atiso thanh lọc</v>
      </c>
      <c r="H343" s="9" t="str">
        <f>INDEX(Products!$C$2:$C$9,MATCH(D343,Products!$A$2:$A$9,0))</f>
        <v>Thanh lọc</v>
      </c>
      <c r="I343" s="11">
        <f>INDEX(Products!$D$2:$D$9,MATCH(D343,Products!$A$2:$A$9,0))</f>
        <v>9000</v>
      </c>
      <c r="J343" s="10">
        <f>IFERROR(INDEX(PlatformFees!$C$2:$C$5,MATCH(C343,PlatformFees!$A$2:$A$5,0)),0)</f>
        <v>0.16</v>
      </c>
      <c r="K343" s="11">
        <f t="shared" si="20"/>
        <v>27000</v>
      </c>
      <c r="L343" s="11">
        <f t="shared" si="21"/>
        <v>16272</v>
      </c>
      <c r="M343" s="11">
        <f t="shared" si="22"/>
        <v>58428</v>
      </c>
      <c r="N343" s="10">
        <f t="shared" si="23"/>
        <v>0.57451327433628319</v>
      </c>
    </row>
    <row r="344" spans="1:14" x14ac:dyDescent="0.3">
      <c r="A344" s="9" t="s">
        <v>411</v>
      </c>
      <c r="B344" s="9" t="s">
        <v>404</v>
      </c>
      <c r="C344" s="9" t="s">
        <v>36</v>
      </c>
      <c r="D344" s="9" t="s">
        <v>20</v>
      </c>
      <c r="E344" s="9">
        <v>1</v>
      </c>
      <c r="F344" s="11">
        <v>52800</v>
      </c>
      <c r="G344" s="9" t="str">
        <f>INDEX(Products!$B$2:$B$9,MATCH(D344,Products!$A$2:$A$9,0))</f>
        <v>Trà cà leo gai giảm cân</v>
      </c>
      <c r="H344" s="9" t="str">
        <f>INDEX(Products!$C$2:$C$9,MATCH(D344,Products!$A$2:$A$9,0))</f>
        <v>Detox</v>
      </c>
      <c r="I344" s="11">
        <f>INDEX(Products!$D$2:$D$9,MATCH(D344,Products!$A$2:$A$9,0))</f>
        <v>15000</v>
      </c>
      <c r="J344" s="10">
        <f>IFERROR(INDEX(PlatformFees!$C$2:$C$5,MATCH(C344,PlatformFees!$A$2:$A$5,0)),0)</f>
        <v>0.13</v>
      </c>
      <c r="K344" s="11">
        <f t="shared" si="20"/>
        <v>15000</v>
      </c>
      <c r="L344" s="11">
        <f t="shared" si="21"/>
        <v>6864</v>
      </c>
      <c r="M344" s="11">
        <f t="shared" si="22"/>
        <v>30936</v>
      </c>
      <c r="N344" s="10">
        <f t="shared" si="23"/>
        <v>0.58590909090909093</v>
      </c>
    </row>
    <row r="345" spans="1:14" x14ac:dyDescent="0.3">
      <c r="A345" s="9" t="s">
        <v>412</v>
      </c>
      <c r="B345" s="9" t="s">
        <v>404</v>
      </c>
      <c r="C345" s="9" t="s">
        <v>40</v>
      </c>
      <c r="D345" s="9" t="s">
        <v>20</v>
      </c>
      <c r="E345" s="9">
        <v>1</v>
      </c>
      <c r="F345" s="11">
        <v>54700</v>
      </c>
      <c r="G345" s="9" t="str">
        <f>INDEX(Products!$B$2:$B$9,MATCH(D345,Products!$A$2:$A$9,0))</f>
        <v>Trà cà leo gai giảm cân</v>
      </c>
      <c r="H345" s="9" t="str">
        <f>INDEX(Products!$C$2:$C$9,MATCH(D345,Products!$A$2:$A$9,0))</f>
        <v>Detox</v>
      </c>
      <c r="I345" s="11">
        <f>INDEX(Products!$D$2:$D$9,MATCH(D345,Products!$A$2:$A$9,0))</f>
        <v>15000</v>
      </c>
      <c r="J345" s="10">
        <f>IFERROR(INDEX(PlatformFees!$C$2:$C$5,MATCH(C345,PlatformFees!$A$2:$A$5,0)),0)</f>
        <v>0</v>
      </c>
      <c r="K345" s="11">
        <f t="shared" si="20"/>
        <v>15000</v>
      </c>
      <c r="L345" s="11">
        <f t="shared" si="21"/>
        <v>0</v>
      </c>
      <c r="M345" s="11">
        <f t="shared" si="22"/>
        <v>39700</v>
      </c>
      <c r="N345" s="10">
        <f t="shared" si="23"/>
        <v>0.72577696526508229</v>
      </c>
    </row>
    <row r="346" spans="1:14" x14ac:dyDescent="0.3">
      <c r="A346" s="9" t="s">
        <v>413</v>
      </c>
      <c r="B346" s="9" t="s">
        <v>404</v>
      </c>
      <c r="C346" s="9" t="s">
        <v>36</v>
      </c>
      <c r="D346" s="9" t="s">
        <v>22</v>
      </c>
      <c r="E346" s="9">
        <v>1</v>
      </c>
      <c r="F346" s="11">
        <v>35200</v>
      </c>
      <c r="G346" s="9" t="str">
        <f>INDEX(Products!$B$2:$B$9,MATCH(D346,Products!$A$2:$A$9,0))</f>
        <v>Trà hoa cúc an thần</v>
      </c>
      <c r="H346" s="9" t="str">
        <f>INDEX(Products!$C$2:$C$9,MATCH(D346,Products!$A$2:$A$9,0))</f>
        <v>An thần</v>
      </c>
      <c r="I346" s="11">
        <f>INDEX(Products!$D$2:$D$9,MATCH(D346,Products!$A$2:$A$9,0))</f>
        <v>9500</v>
      </c>
      <c r="J346" s="10">
        <f>IFERROR(INDEX(PlatformFees!$C$2:$C$5,MATCH(C346,PlatformFees!$A$2:$A$5,0)),0)</f>
        <v>0.13</v>
      </c>
      <c r="K346" s="11">
        <f t="shared" si="20"/>
        <v>9500</v>
      </c>
      <c r="L346" s="11">
        <f t="shared" si="21"/>
        <v>4576</v>
      </c>
      <c r="M346" s="11">
        <f t="shared" si="22"/>
        <v>21124</v>
      </c>
      <c r="N346" s="10">
        <f t="shared" si="23"/>
        <v>0.60011363636363635</v>
      </c>
    </row>
    <row r="347" spans="1:14" x14ac:dyDescent="0.3">
      <c r="A347" s="9" t="s">
        <v>414</v>
      </c>
      <c r="B347" s="9" t="s">
        <v>404</v>
      </c>
      <c r="C347" s="9" t="s">
        <v>36</v>
      </c>
      <c r="D347" s="9" t="s">
        <v>22</v>
      </c>
      <c r="E347" s="9">
        <v>1</v>
      </c>
      <c r="F347" s="11">
        <v>36000</v>
      </c>
      <c r="G347" s="9" t="str">
        <f>INDEX(Products!$B$2:$B$9,MATCH(D347,Products!$A$2:$A$9,0))</f>
        <v>Trà hoa cúc an thần</v>
      </c>
      <c r="H347" s="9" t="str">
        <f>INDEX(Products!$C$2:$C$9,MATCH(D347,Products!$A$2:$A$9,0))</f>
        <v>An thần</v>
      </c>
      <c r="I347" s="11">
        <f>INDEX(Products!$D$2:$D$9,MATCH(D347,Products!$A$2:$A$9,0))</f>
        <v>9500</v>
      </c>
      <c r="J347" s="10">
        <f>IFERROR(INDEX(PlatformFees!$C$2:$C$5,MATCH(C347,PlatformFees!$A$2:$A$5,0)),0)</f>
        <v>0.13</v>
      </c>
      <c r="K347" s="11">
        <f t="shared" si="20"/>
        <v>9500</v>
      </c>
      <c r="L347" s="11">
        <f t="shared" si="21"/>
        <v>4680</v>
      </c>
      <c r="M347" s="11">
        <f t="shared" si="22"/>
        <v>21820</v>
      </c>
      <c r="N347" s="10">
        <f t="shared" si="23"/>
        <v>0.60611111111111116</v>
      </c>
    </row>
    <row r="348" spans="1:14" x14ac:dyDescent="0.3">
      <c r="A348" s="9" t="s">
        <v>415</v>
      </c>
      <c r="B348" s="9" t="s">
        <v>404</v>
      </c>
      <c r="C348" s="9" t="s">
        <v>39</v>
      </c>
      <c r="D348" s="9" t="s">
        <v>30</v>
      </c>
      <c r="E348" s="9">
        <v>2</v>
      </c>
      <c r="F348" s="11">
        <v>73200</v>
      </c>
      <c r="G348" s="9" t="str">
        <f>INDEX(Products!$B$2:$B$9,MATCH(D348,Products!$A$2:$A$9,0))</f>
        <v>Trà mâm xôi vitamin</v>
      </c>
      <c r="H348" s="9" t="str">
        <f>INDEX(Products!$C$2:$C$9,MATCH(D348,Products!$A$2:$A$9,0))</f>
        <v>Bổ sung dưỡng chất</v>
      </c>
      <c r="I348" s="11">
        <f>INDEX(Products!$D$2:$D$9,MATCH(D348,Products!$A$2:$A$9,0))</f>
        <v>9800</v>
      </c>
      <c r="J348" s="10">
        <f>IFERROR(INDEX(PlatformFees!$C$2:$C$5,MATCH(C348,PlatformFees!$A$2:$A$5,0)),0)</f>
        <v>0</v>
      </c>
      <c r="K348" s="11">
        <f t="shared" si="20"/>
        <v>19600</v>
      </c>
      <c r="L348" s="11">
        <f t="shared" si="21"/>
        <v>0</v>
      </c>
      <c r="M348" s="11">
        <f t="shared" si="22"/>
        <v>53600</v>
      </c>
      <c r="N348" s="10">
        <f t="shared" si="23"/>
        <v>0.73224043715846998</v>
      </c>
    </row>
    <row r="349" spans="1:14" x14ac:dyDescent="0.3">
      <c r="A349" s="9" t="s">
        <v>416</v>
      </c>
      <c r="B349" s="9" t="s">
        <v>404</v>
      </c>
      <c r="C349" s="9" t="s">
        <v>36</v>
      </c>
      <c r="D349" s="9" t="s">
        <v>20</v>
      </c>
      <c r="E349" s="9">
        <v>1</v>
      </c>
      <c r="F349" s="11">
        <v>56100</v>
      </c>
      <c r="G349" s="9" t="str">
        <f>INDEX(Products!$B$2:$B$9,MATCH(D349,Products!$A$2:$A$9,0))</f>
        <v>Trà cà leo gai giảm cân</v>
      </c>
      <c r="H349" s="9" t="str">
        <f>INDEX(Products!$C$2:$C$9,MATCH(D349,Products!$A$2:$A$9,0))</f>
        <v>Detox</v>
      </c>
      <c r="I349" s="11">
        <f>INDEX(Products!$D$2:$D$9,MATCH(D349,Products!$A$2:$A$9,0))</f>
        <v>15000</v>
      </c>
      <c r="J349" s="10">
        <f>IFERROR(INDEX(PlatformFees!$C$2:$C$5,MATCH(C349,PlatformFees!$A$2:$A$5,0)),0)</f>
        <v>0.13</v>
      </c>
      <c r="K349" s="11">
        <f t="shared" si="20"/>
        <v>15000</v>
      </c>
      <c r="L349" s="11">
        <f t="shared" si="21"/>
        <v>7293</v>
      </c>
      <c r="M349" s="11">
        <f t="shared" si="22"/>
        <v>33807</v>
      </c>
      <c r="N349" s="10">
        <f t="shared" si="23"/>
        <v>0.60262032085561501</v>
      </c>
    </row>
    <row r="350" spans="1:14" x14ac:dyDescent="0.3">
      <c r="A350" s="9" t="s">
        <v>417</v>
      </c>
      <c r="B350" s="9" t="s">
        <v>404</v>
      </c>
      <c r="C350" s="9" t="s">
        <v>36</v>
      </c>
      <c r="D350" s="9" t="s">
        <v>22</v>
      </c>
      <c r="E350" s="9">
        <v>3</v>
      </c>
      <c r="F350" s="11">
        <v>109800</v>
      </c>
      <c r="G350" s="9" t="str">
        <f>INDEX(Products!$B$2:$B$9,MATCH(D350,Products!$A$2:$A$9,0))</f>
        <v>Trà hoa cúc an thần</v>
      </c>
      <c r="H350" s="9" t="str">
        <f>INDEX(Products!$C$2:$C$9,MATCH(D350,Products!$A$2:$A$9,0))</f>
        <v>An thần</v>
      </c>
      <c r="I350" s="11">
        <f>INDEX(Products!$D$2:$D$9,MATCH(D350,Products!$A$2:$A$9,0))</f>
        <v>9500</v>
      </c>
      <c r="J350" s="10">
        <f>IFERROR(INDEX(PlatformFees!$C$2:$C$5,MATCH(C350,PlatformFees!$A$2:$A$5,0)),0)</f>
        <v>0.13</v>
      </c>
      <c r="K350" s="11">
        <f t="shared" si="20"/>
        <v>28500</v>
      </c>
      <c r="L350" s="11">
        <f t="shared" si="21"/>
        <v>14274</v>
      </c>
      <c r="M350" s="11">
        <f t="shared" si="22"/>
        <v>67026</v>
      </c>
      <c r="N350" s="10">
        <f t="shared" si="23"/>
        <v>0.6104371584699454</v>
      </c>
    </row>
    <row r="351" spans="1:14" x14ac:dyDescent="0.3">
      <c r="A351" s="9" t="s">
        <v>418</v>
      </c>
      <c r="B351" s="9" t="s">
        <v>404</v>
      </c>
      <c r="C351" s="9" t="s">
        <v>38</v>
      </c>
      <c r="D351" s="9" t="s">
        <v>30</v>
      </c>
      <c r="E351" s="9">
        <v>1</v>
      </c>
      <c r="F351" s="11">
        <v>35300</v>
      </c>
      <c r="G351" s="9" t="str">
        <f>INDEX(Products!$B$2:$B$9,MATCH(D351,Products!$A$2:$A$9,0))</f>
        <v>Trà mâm xôi vitamin</v>
      </c>
      <c r="H351" s="9" t="str">
        <f>INDEX(Products!$C$2:$C$9,MATCH(D351,Products!$A$2:$A$9,0))</f>
        <v>Bổ sung dưỡng chất</v>
      </c>
      <c r="I351" s="11">
        <f>INDEX(Products!$D$2:$D$9,MATCH(D351,Products!$A$2:$A$9,0))</f>
        <v>9800</v>
      </c>
      <c r="J351" s="10">
        <f>IFERROR(INDEX(PlatformFees!$C$2:$C$5,MATCH(C351,PlatformFees!$A$2:$A$5,0)),0)</f>
        <v>0.16</v>
      </c>
      <c r="K351" s="11">
        <f t="shared" si="20"/>
        <v>9800</v>
      </c>
      <c r="L351" s="11">
        <f t="shared" si="21"/>
        <v>5648</v>
      </c>
      <c r="M351" s="11">
        <f t="shared" si="22"/>
        <v>19852</v>
      </c>
      <c r="N351" s="10">
        <f t="shared" si="23"/>
        <v>0.56237960339943338</v>
      </c>
    </row>
    <row r="352" spans="1:14" x14ac:dyDescent="0.3">
      <c r="A352" s="9" t="s">
        <v>419</v>
      </c>
      <c r="B352" s="9" t="s">
        <v>420</v>
      </c>
      <c r="C352" s="9" t="s">
        <v>39</v>
      </c>
      <c r="D352" s="9" t="s">
        <v>27</v>
      </c>
      <c r="E352" s="9">
        <v>3</v>
      </c>
      <c r="F352" s="11">
        <v>119700</v>
      </c>
      <c r="G352" s="9" t="str">
        <f>INDEX(Products!$B$2:$B$9,MATCH(D352,Products!$A$2:$A$9,0))</f>
        <v>Trà gừng mật ong</v>
      </c>
      <c r="H352" s="9" t="str">
        <f>INDEX(Products!$C$2:$C$9,MATCH(D352,Products!$A$2:$A$9,0))</f>
        <v>Giữ ấm</v>
      </c>
      <c r="I352" s="11">
        <f>INDEX(Products!$D$2:$D$9,MATCH(D352,Products!$A$2:$A$9,0))</f>
        <v>11000</v>
      </c>
      <c r="J352" s="10">
        <f>IFERROR(INDEX(PlatformFees!$C$2:$C$5,MATCH(C352,PlatformFees!$A$2:$A$5,0)),0)</f>
        <v>0</v>
      </c>
      <c r="K352" s="11">
        <f t="shared" si="20"/>
        <v>33000</v>
      </c>
      <c r="L352" s="11">
        <f t="shared" si="21"/>
        <v>0</v>
      </c>
      <c r="M352" s="11">
        <f t="shared" si="22"/>
        <v>86700</v>
      </c>
      <c r="N352" s="10">
        <f t="shared" si="23"/>
        <v>0.72431077694235591</v>
      </c>
    </row>
    <row r="353" spans="1:14" x14ac:dyDescent="0.3">
      <c r="A353" s="9" t="s">
        <v>421</v>
      </c>
      <c r="B353" s="9" t="s">
        <v>420</v>
      </c>
      <c r="C353" s="9" t="s">
        <v>40</v>
      </c>
      <c r="D353" s="9" t="s">
        <v>30</v>
      </c>
      <c r="E353" s="9">
        <v>2</v>
      </c>
      <c r="F353" s="11">
        <v>67000</v>
      </c>
      <c r="G353" s="9" t="str">
        <f>INDEX(Products!$B$2:$B$9,MATCH(D353,Products!$A$2:$A$9,0))</f>
        <v>Trà mâm xôi vitamin</v>
      </c>
      <c r="H353" s="9" t="str">
        <f>INDEX(Products!$C$2:$C$9,MATCH(D353,Products!$A$2:$A$9,0))</f>
        <v>Bổ sung dưỡng chất</v>
      </c>
      <c r="I353" s="11">
        <f>INDEX(Products!$D$2:$D$9,MATCH(D353,Products!$A$2:$A$9,0))</f>
        <v>9800</v>
      </c>
      <c r="J353" s="10">
        <f>IFERROR(INDEX(PlatformFees!$C$2:$C$5,MATCH(C353,PlatformFees!$A$2:$A$5,0)),0)</f>
        <v>0</v>
      </c>
      <c r="K353" s="11">
        <f t="shared" si="20"/>
        <v>19600</v>
      </c>
      <c r="L353" s="11">
        <f t="shared" si="21"/>
        <v>0</v>
      </c>
      <c r="M353" s="11">
        <f t="shared" si="22"/>
        <v>47400</v>
      </c>
      <c r="N353" s="10">
        <f t="shared" si="23"/>
        <v>0.70746268656716416</v>
      </c>
    </row>
    <row r="354" spans="1:14" x14ac:dyDescent="0.3">
      <c r="A354" s="9" t="s">
        <v>422</v>
      </c>
      <c r="B354" s="9" t="s">
        <v>420</v>
      </c>
      <c r="C354" s="9" t="s">
        <v>38</v>
      </c>
      <c r="D354" s="9" t="s">
        <v>20</v>
      </c>
      <c r="E354" s="9">
        <v>1</v>
      </c>
      <c r="F354" s="11">
        <v>52800</v>
      </c>
      <c r="G354" s="9" t="str">
        <f>INDEX(Products!$B$2:$B$9,MATCH(D354,Products!$A$2:$A$9,0))</f>
        <v>Trà cà leo gai giảm cân</v>
      </c>
      <c r="H354" s="9" t="str">
        <f>INDEX(Products!$C$2:$C$9,MATCH(D354,Products!$A$2:$A$9,0))</f>
        <v>Detox</v>
      </c>
      <c r="I354" s="11">
        <f>INDEX(Products!$D$2:$D$9,MATCH(D354,Products!$A$2:$A$9,0))</f>
        <v>15000</v>
      </c>
      <c r="J354" s="10">
        <f>IFERROR(INDEX(PlatformFees!$C$2:$C$5,MATCH(C354,PlatformFees!$A$2:$A$5,0)),0)</f>
        <v>0.16</v>
      </c>
      <c r="K354" s="11">
        <f t="shared" si="20"/>
        <v>15000</v>
      </c>
      <c r="L354" s="11">
        <f t="shared" si="21"/>
        <v>8448</v>
      </c>
      <c r="M354" s="11">
        <f t="shared" si="22"/>
        <v>29352</v>
      </c>
      <c r="N354" s="10">
        <f t="shared" si="23"/>
        <v>0.55590909090909091</v>
      </c>
    </row>
    <row r="355" spans="1:14" x14ac:dyDescent="0.3">
      <c r="A355" s="9" t="s">
        <v>423</v>
      </c>
      <c r="B355" s="9" t="s">
        <v>420</v>
      </c>
      <c r="C355" s="9" t="s">
        <v>36</v>
      </c>
      <c r="D355" s="9" t="s">
        <v>17</v>
      </c>
      <c r="E355" s="9">
        <v>2</v>
      </c>
      <c r="F355" s="11">
        <v>79100</v>
      </c>
      <c r="G355" s="9" t="str">
        <f>INDEX(Products!$B$2:$B$9,MATCH(D355,Products!$A$2:$A$9,0))</f>
        <v>Trà diếp cá rau má</v>
      </c>
      <c r="H355" s="9" t="str">
        <f>INDEX(Products!$C$2:$C$9,MATCH(D355,Products!$A$2:$A$9,0))</f>
        <v>Detox</v>
      </c>
      <c r="I355" s="11">
        <f>INDEX(Products!$D$2:$D$9,MATCH(D355,Products!$A$2:$A$9,0))</f>
        <v>10500</v>
      </c>
      <c r="J355" s="10">
        <f>IFERROR(INDEX(PlatformFees!$C$2:$C$5,MATCH(C355,PlatformFees!$A$2:$A$5,0)),0)</f>
        <v>0.13</v>
      </c>
      <c r="K355" s="11">
        <f t="shared" si="20"/>
        <v>21000</v>
      </c>
      <c r="L355" s="11">
        <f t="shared" si="21"/>
        <v>10283</v>
      </c>
      <c r="M355" s="11">
        <f t="shared" si="22"/>
        <v>47817</v>
      </c>
      <c r="N355" s="10">
        <f t="shared" si="23"/>
        <v>0.60451327433628321</v>
      </c>
    </row>
    <row r="356" spans="1:14" x14ac:dyDescent="0.3">
      <c r="A356" s="9" t="s">
        <v>424</v>
      </c>
      <c r="B356" s="9" t="s">
        <v>420</v>
      </c>
      <c r="C356" s="9" t="s">
        <v>40</v>
      </c>
      <c r="D356" s="9" t="s">
        <v>15</v>
      </c>
      <c r="E356" s="9">
        <v>1</v>
      </c>
      <c r="F356" s="11">
        <v>32400</v>
      </c>
      <c r="G356" s="9" t="str">
        <f>INDEX(Products!$B$2:$B$9,MATCH(D356,Products!$A$2:$A$9,0))</f>
        <v>Trà lá nam sen ổi</v>
      </c>
      <c r="H356" s="9" t="str">
        <f>INDEX(Products!$C$2:$C$9,MATCH(D356,Products!$A$2:$A$9,0))</f>
        <v>Thanh lọc</v>
      </c>
      <c r="I356" s="11">
        <f>INDEX(Products!$D$2:$D$9,MATCH(D356,Products!$A$2:$A$9,0))</f>
        <v>8500</v>
      </c>
      <c r="J356" s="10">
        <f>IFERROR(INDEX(PlatformFees!$C$2:$C$5,MATCH(C356,PlatformFees!$A$2:$A$5,0)),0)</f>
        <v>0</v>
      </c>
      <c r="K356" s="11">
        <f t="shared" si="20"/>
        <v>8500</v>
      </c>
      <c r="L356" s="11">
        <f t="shared" si="21"/>
        <v>0</v>
      </c>
      <c r="M356" s="11">
        <f t="shared" si="22"/>
        <v>23900</v>
      </c>
      <c r="N356" s="10">
        <f t="shared" si="23"/>
        <v>0.73765432098765427</v>
      </c>
    </row>
    <row r="357" spans="1:14" x14ac:dyDescent="0.3">
      <c r="A357" s="9" t="s">
        <v>425</v>
      </c>
      <c r="B357" s="9" t="s">
        <v>420</v>
      </c>
      <c r="C357" s="9" t="s">
        <v>36</v>
      </c>
      <c r="D357" s="9" t="s">
        <v>25</v>
      </c>
      <c r="E357" s="9">
        <v>3</v>
      </c>
      <c r="F357" s="11">
        <v>103800</v>
      </c>
      <c r="G357" s="9" t="str">
        <f>INDEX(Products!$B$2:$B$9,MATCH(D357,Products!$A$2:$A$9,0))</f>
        <v>Trà hoa đậu biếc</v>
      </c>
      <c r="H357" s="9" t="str">
        <f>INDEX(Products!$C$2:$C$9,MATCH(D357,Products!$A$2:$A$9,0))</f>
        <v>An thần</v>
      </c>
      <c r="I357" s="11">
        <f>INDEX(Products!$D$2:$D$9,MATCH(D357,Products!$A$2:$A$9,0))</f>
        <v>8800</v>
      </c>
      <c r="J357" s="10">
        <f>IFERROR(INDEX(PlatformFees!$C$2:$C$5,MATCH(C357,PlatformFees!$A$2:$A$5,0)),0)</f>
        <v>0.13</v>
      </c>
      <c r="K357" s="11">
        <f t="shared" si="20"/>
        <v>26400</v>
      </c>
      <c r="L357" s="11">
        <f t="shared" si="21"/>
        <v>13494</v>
      </c>
      <c r="M357" s="11">
        <f t="shared" si="22"/>
        <v>63906</v>
      </c>
      <c r="N357" s="10">
        <f t="shared" si="23"/>
        <v>0.61566473988439308</v>
      </c>
    </row>
    <row r="358" spans="1:14" x14ac:dyDescent="0.3">
      <c r="A358" s="9" t="s">
        <v>426</v>
      </c>
      <c r="B358" s="9" t="s">
        <v>420</v>
      </c>
      <c r="C358" s="9" t="s">
        <v>36</v>
      </c>
      <c r="D358" s="9" t="s">
        <v>17</v>
      </c>
      <c r="E358" s="9">
        <v>2</v>
      </c>
      <c r="F358" s="11">
        <v>78500</v>
      </c>
      <c r="G358" s="9" t="str">
        <f>INDEX(Products!$B$2:$B$9,MATCH(D358,Products!$A$2:$A$9,0))</f>
        <v>Trà diếp cá rau má</v>
      </c>
      <c r="H358" s="9" t="str">
        <f>INDEX(Products!$C$2:$C$9,MATCH(D358,Products!$A$2:$A$9,0))</f>
        <v>Detox</v>
      </c>
      <c r="I358" s="11">
        <f>INDEX(Products!$D$2:$D$9,MATCH(D358,Products!$A$2:$A$9,0))</f>
        <v>10500</v>
      </c>
      <c r="J358" s="10">
        <f>IFERROR(INDEX(PlatformFees!$C$2:$C$5,MATCH(C358,PlatformFees!$A$2:$A$5,0)),0)</f>
        <v>0.13</v>
      </c>
      <c r="K358" s="11">
        <f t="shared" si="20"/>
        <v>21000</v>
      </c>
      <c r="L358" s="11">
        <f t="shared" si="21"/>
        <v>10205</v>
      </c>
      <c r="M358" s="11">
        <f t="shared" si="22"/>
        <v>47295</v>
      </c>
      <c r="N358" s="10">
        <f t="shared" si="23"/>
        <v>0.60248407643312107</v>
      </c>
    </row>
    <row r="359" spans="1:14" x14ac:dyDescent="0.3">
      <c r="A359" s="9" t="s">
        <v>427</v>
      </c>
      <c r="B359" s="9" t="s">
        <v>420</v>
      </c>
      <c r="C359" s="9" t="s">
        <v>36</v>
      </c>
      <c r="D359" s="9" t="s">
        <v>15</v>
      </c>
      <c r="E359" s="9">
        <v>3</v>
      </c>
      <c r="F359" s="11">
        <v>96500</v>
      </c>
      <c r="G359" s="9" t="str">
        <f>INDEX(Products!$B$2:$B$9,MATCH(D359,Products!$A$2:$A$9,0))</f>
        <v>Trà lá nam sen ổi</v>
      </c>
      <c r="H359" s="9" t="str">
        <f>INDEX(Products!$C$2:$C$9,MATCH(D359,Products!$A$2:$A$9,0))</f>
        <v>Thanh lọc</v>
      </c>
      <c r="I359" s="11">
        <f>INDEX(Products!$D$2:$D$9,MATCH(D359,Products!$A$2:$A$9,0))</f>
        <v>8500</v>
      </c>
      <c r="J359" s="10">
        <f>IFERROR(INDEX(PlatformFees!$C$2:$C$5,MATCH(C359,PlatformFees!$A$2:$A$5,0)),0)</f>
        <v>0.13</v>
      </c>
      <c r="K359" s="11">
        <f t="shared" si="20"/>
        <v>25500</v>
      </c>
      <c r="L359" s="11">
        <f t="shared" si="21"/>
        <v>12545</v>
      </c>
      <c r="M359" s="11">
        <f t="shared" si="22"/>
        <v>58455</v>
      </c>
      <c r="N359" s="10">
        <f t="shared" si="23"/>
        <v>0.60575129533678751</v>
      </c>
    </row>
    <row r="360" spans="1:14" x14ac:dyDescent="0.3">
      <c r="A360" s="9" t="s">
        <v>428</v>
      </c>
      <c r="B360" s="9" t="s">
        <v>420</v>
      </c>
      <c r="C360" s="9" t="s">
        <v>39</v>
      </c>
      <c r="D360" s="9" t="s">
        <v>15</v>
      </c>
      <c r="E360" s="9">
        <v>2</v>
      </c>
      <c r="F360" s="11">
        <v>59200</v>
      </c>
      <c r="G360" s="9" t="str">
        <f>INDEX(Products!$B$2:$B$9,MATCH(D360,Products!$A$2:$A$9,0))</f>
        <v>Trà lá nam sen ổi</v>
      </c>
      <c r="H360" s="9" t="str">
        <f>INDEX(Products!$C$2:$C$9,MATCH(D360,Products!$A$2:$A$9,0))</f>
        <v>Thanh lọc</v>
      </c>
      <c r="I360" s="11">
        <f>INDEX(Products!$D$2:$D$9,MATCH(D360,Products!$A$2:$A$9,0))</f>
        <v>8500</v>
      </c>
      <c r="J360" s="10">
        <f>IFERROR(INDEX(PlatformFees!$C$2:$C$5,MATCH(C360,PlatformFees!$A$2:$A$5,0)),0)</f>
        <v>0</v>
      </c>
      <c r="K360" s="11">
        <f t="shared" si="20"/>
        <v>17000</v>
      </c>
      <c r="L360" s="11">
        <f t="shared" si="21"/>
        <v>0</v>
      </c>
      <c r="M360" s="11">
        <f t="shared" si="22"/>
        <v>42200</v>
      </c>
      <c r="N360" s="10">
        <f t="shared" si="23"/>
        <v>0.71283783783783783</v>
      </c>
    </row>
    <row r="361" spans="1:14" x14ac:dyDescent="0.3">
      <c r="A361" s="9" t="s">
        <v>429</v>
      </c>
      <c r="B361" s="9" t="s">
        <v>420</v>
      </c>
      <c r="C361" s="9" t="s">
        <v>36</v>
      </c>
      <c r="D361" s="9" t="s">
        <v>25</v>
      </c>
      <c r="E361" s="9">
        <v>2</v>
      </c>
      <c r="F361" s="11">
        <v>67100</v>
      </c>
      <c r="G361" s="9" t="str">
        <f>INDEX(Products!$B$2:$B$9,MATCH(D361,Products!$A$2:$A$9,0))</f>
        <v>Trà hoa đậu biếc</v>
      </c>
      <c r="H361" s="9" t="str">
        <f>INDEX(Products!$C$2:$C$9,MATCH(D361,Products!$A$2:$A$9,0))</f>
        <v>An thần</v>
      </c>
      <c r="I361" s="11">
        <f>INDEX(Products!$D$2:$D$9,MATCH(D361,Products!$A$2:$A$9,0))</f>
        <v>8800</v>
      </c>
      <c r="J361" s="10">
        <f>IFERROR(INDEX(PlatformFees!$C$2:$C$5,MATCH(C361,PlatformFees!$A$2:$A$5,0)),0)</f>
        <v>0.13</v>
      </c>
      <c r="K361" s="11">
        <f t="shared" si="20"/>
        <v>17600</v>
      </c>
      <c r="L361" s="11">
        <f t="shared" si="21"/>
        <v>8723</v>
      </c>
      <c r="M361" s="11">
        <f t="shared" si="22"/>
        <v>40777</v>
      </c>
      <c r="N361" s="10">
        <f t="shared" si="23"/>
        <v>0.60770491803278692</v>
      </c>
    </row>
    <row r="362" spans="1:14" x14ac:dyDescent="0.3">
      <c r="A362" s="9" t="s">
        <v>430</v>
      </c>
      <c r="B362" s="9" t="s">
        <v>420</v>
      </c>
      <c r="C362" s="9" t="s">
        <v>39</v>
      </c>
      <c r="D362" s="9" t="s">
        <v>27</v>
      </c>
      <c r="E362" s="9">
        <v>1</v>
      </c>
      <c r="F362" s="11">
        <v>39100</v>
      </c>
      <c r="G362" s="9" t="str">
        <f>INDEX(Products!$B$2:$B$9,MATCH(D362,Products!$A$2:$A$9,0))</f>
        <v>Trà gừng mật ong</v>
      </c>
      <c r="H362" s="9" t="str">
        <f>INDEX(Products!$C$2:$C$9,MATCH(D362,Products!$A$2:$A$9,0))</f>
        <v>Giữ ấm</v>
      </c>
      <c r="I362" s="11">
        <f>INDEX(Products!$D$2:$D$9,MATCH(D362,Products!$A$2:$A$9,0))</f>
        <v>11000</v>
      </c>
      <c r="J362" s="10">
        <f>IFERROR(INDEX(PlatformFees!$C$2:$C$5,MATCH(C362,PlatformFees!$A$2:$A$5,0)),0)</f>
        <v>0</v>
      </c>
      <c r="K362" s="11">
        <f t="shared" si="20"/>
        <v>11000</v>
      </c>
      <c r="L362" s="11">
        <f t="shared" si="21"/>
        <v>0</v>
      </c>
      <c r="M362" s="11">
        <f t="shared" si="22"/>
        <v>28100</v>
      </c>
      <c r="N362" s="10">
        <f t="shared" si="23"/>
        <v>0.71867007672634275</v>
      </c>
    </row>
    <row r="363" spans="1:14" x14ac:dyDescent="0.3">
      <c r="A363" s="9" t="s">
        <v>431</v>
      </c>
      <c r="B363" s="9" t="s">
        <v>420</v>
      </c>
      <c r="C363" s="9" t="s">
        <v>36</v>
      </c>
      <c r="D363" s="9" t="s">
        <v>27</v>
      </c>
      <c r="E363" s="9">
        <v>2</v>
      </c>
      <c r="F363" s="11">
        <v>81600</v>
      </c>
      <c r="G363" s="9" t="str">
        <f>INDEX(Products!$B$2:$B$9,MATCH(D363,Products!$A$2:$A$9,0))</f>
        <v>Trà gừng mật ong</v>
      </c>
      <c r="H363" s="9" t="str">
        <f>INDEX(Products!$C$2:$C$9,MATCH(D363,Products!$A$2:$A$9,0))</f>
        <v>Giữ ấm</v>
      </c>
      <c r="I363" s="11">
        <f>INDEX(Products!$D$2:$D$9,MATCH(D363,Products!$A$2:$A$9,0))</f>
        <v>11000</v>
      </c>
      <c r="J363" s="10">
        <f>IFERROR(INDEX(PlatformFees!$C$2:$C$5,MATCH(C363,PlatformFees!$A$2:$A$5,0)),0)</f>
        <v>0.13</v>
      </c>
      <c r="K363" s="11">
        <f t="shared" si="20"/>
        <v>22000</v>
      </c>
      <c r="L363" s="11">
        <f t="shared" si="21"/>
        <v>10608</v>
      </c>
      <c r="M363" s="11">
        <f t="shared" si="22"/>
        <v>48992</v>
      </c>
      <c r="N363" s="10">
        <f t="shared" si="23"/>
        <v>0.60039215686274505</v>
      </c>
    </row>
    <row r="364" spans="1:14" x14ac:dyDescent="0.3">
      <c r="A364" s="9" t="s">
        <v>432</v>
      </c>
      <c r="B364" s="9" t="s">
        <v>420</v>
      </c>
      <c r="C364" s="9" t="s">
        <v>36</v>
      </c>
      <c r="D364" s="9" t="s">
        <v>22</v>
      </c>
      <c r="E364" s="9">
        <v>2</v>
      </c>
      <c r="F364" s="11">
        <v>78100</v>
      </c>
      <c r="G364" s="9" t="str">
        <f>INDEX(Products!$B$2:$B$9,MATCH(D364,Products!$A$2:$A$9,0))</f>
        <v>Trà hoa cúc an thần</v>
      </c>
      <c r="H364" s="9" t="str">
        <f>INDEX(Products!$C$2:$C$9,MATCH(D364,Products!$A$2:$A$9,0))</f>
        <v>An thần</v>
      </c>
      <c r="I364" s="11">
        <f>INDEX(Products!$D$2:$D$9,MATCH(D364,Products!$A$2:$A$9,0))</f>
        <v>9500</v>
      </c>
      <c r="J364" s="10">
        <f>IFERROR(INDEX(PlatformFees!$C$2:$C$5,MATCH(C364,PlatformFees!$A$2:$A$5,0)),0)</f>
        <v>0.13</v>
      </c>
      <c r="K364" s="11">
        <f t="shared" si="20"/>
        <v>19000</v>
      </c>
      <c r="L364" s="11">
        <f t="shared" si="21"/>
        <v>10153</v>
      </c>
      <c r="M364" s="11">
        <f t="shared" si="22"/>
        <v>48947</v>
      </c>
      <c r="N364" s="10">
        <f t="shared" si="23"/>
        <v>0.62672215108834828</v>
      </c>
    </row>
    <row r="365" spans="1:14" x14ac:dyDescent="0.3">
      <c r="A365" s="9" t="s">
        <v>433</v>
      </c>
      <c r="B365" s="9" t="s">
        <v>420</v>
      </c>
      <c r="C365" s="9" t="s">
        <v>38</v>
      </c>
      <c r="D365" s="9" t="s">
        <v>17</v>
      </c>
      <c r="E365" s="9">
        <v>2</v>
      </c>
      <c r="F365" s="11">
        <v>81900</v>
      </c>
      <c r="G365" s="9" t="str">
        <f>INDEX(Products!$B$2:$B$9,MATCH(D365,Products!$A$2:$A$9,0))</f>
        <v>Trà diếp cá rau má</v>
      </c>
      <c r="H365" s="9" t="str">
        <f>INDEX(Products!$C$2:$C$9,MATCH(D365,Products!$A$2:$A$9,0))</f>
        <v>Detox</v>
      </c>
      <c r="I365" s="11">
        <f>INDEX(Products!$D$2:$D$9,MATCH(D365,Products!$A$2:$A$9,0))</f>
        <v>10500</v>
      </c>
      <c r="J365" s="10">
        <f>IFERROR(INDEX(PlatformFees!$C$2:$C$5,MATCH(C365,PlatformFees!$A$2:$A$5,0)),0)</f>
        <v>0.16</v>
      </c>
      <c r="K365" s="11">
        <f t="shared" si="20"/>
        <v>21000</v>
      </c>
      <c r="L365" s="11">
        <f t="shared" si="21"/>
        <v>13104</v>
      </c>
      <c r="M365" s="11">
        <f t="shared" si="22"/>
        <v>47796</v>
      </c>
      <c r="N365" s="10">
        <f t="shared" si="23"/>
        <v>0.58358974358974358</v>
      </c>
    </row>
    <row r="366" spans="1:14" x14ac:dyDescent="0.3">
      <c r="A366" s="9" t="s">
        <v>434</v>
      </c>
      <c r="B366" s="9" t="s">
        <v>420</v>
      </c>
      <c r="C366" s="9" t="s">
        <v>36</v>
      </c>
      <c r="D366" s="9" t="s">
        <v>15</v>
      </c>
      <c r="E366" s="9">
        <v>1</v>
      </c>
      <c r="F366" s="11">
        <v>32300</v>
      </c>
      <c r="G366" s="9" t="str">
        <f>INDEX(Products!$B$2:$B$9,MATCH(D366,Products!$A$2:$A$9,0))</f>
        <v>Trà lá nam sen ổi</v>
      </c>
      <c r="H366" s="9" t="str">
        <f>INDEX(Products!$C$2:$C$9,MATCH(D366,Products!$A$2:$A$9,0))</f>
        <v>Thanh lọc</v>
      </c>
      <c r="I366" s="11">
        <f>INDEX(Products!$D$2:$D$9,MATCH(D366,Products!$A$2:$A$9,0))</f>
        <v>8500</v>
      </c>
      <c r="J366" s="10">
        <f>IFERROR(INDEX(PlatformFees!$C$2:$C$5,MATCH(C366,PlatformFees!$A$2:$A$5,0)),0)</f>
        <v>0.13</v>
      </c>
      <c r="K366" s="11">
        <f t="shared" si="20"/>
        <v>8500</v>
      </c>
      <c r="L366" s="11">
        <f t="shared" si="21"/>
        <v>4199</v>
      </c>
      <c r="M366" s="11">
        <f t="shared" si="22"/>
        <v>19601</v>
      </c>
      <c r="N366" s="10">
        <f t="shared" si="23"/>
        <v>0.60684210526315785</v>
      </c>
    </row>
    <row r="367" spans="1:14" x14ac:dyDescent="0.3">
      <c r="A367" s="9" t="s">
        <v>435</v>
      </c>
      <c r="B367" s="9" t="s">
        <v>420</v>
      </c>
      <c r="C367" s="9" t="s">
        <v>36</v>
      </c>
      <c r="D367" s="9" t="s">
        <v>17</v>
      </c>
      <c r="E367" s="9">
        <v>3</v>
      </c>
      <c r="F367" s="11">
        <v>122600</v>
      </c>
      <c r="G367" s="9" t="str">
        <f>INDEX(Products!$B$2:$B$9,MATCH(D367,Products!$A$2:$A$9,0))</f>
        <v>Trà diếp cá rau má</v>
      </c>
      <c r="H367" s="9" t="str">
        <f>INDEX(Products!$C$2:$C$9,MATCH(D367,Products!$A$2:$A$9,0))</f>
        <v>Detox</v>
      </c>
      <c r="I367" s="11">
        <f>INDEX(Products!$D$2:$D$9,MATCH(D367,Products!$A$2:$A$9,0))</f>
        <v>10500</v>
      </c>
      <c r="J367" s="10">
        <f>IFERROR(INDEX(PlatformFees!$C$2:$C$5,MATCH(C367,PlatformFees!$A$2:$A$5,0)),0)</f>
        <v>0.13</v>
      </c>
      <c r="K367" s="11">
        <f t="shared" si="20"/>
        <v>31500</v>
      </c>
      <c r="L367" s="11">
        <f t="shared" si="21"/>
        <v>15938</v>
      </c>
      <c r="M367" s="11">
        <f t="shared" si="22"/>
        <v>75162</v>
      </c>
      <c r="N367" s="10">
        <f t="shared" si="23"/>
        <v>0.61306688417618271</v>
      </c>
    </row>
    <row r="368" spans="1:14" x14ac:dyDescent="0.3">
      <c r="A368" s="9" t="s">
        <v>436</v>
      </c>
      <c r="B368" s="9" t="s">
        <v>420</v>
      </c>
      <c r="C368" s="9" t="s">
        <v>36</v>
      </c>
      <c r="D368" s="9" t="s">
        <v>30</v>
      </c>
      <c r="E368" s="9">
        <v>3</v>
      </c>
      <c r="F368" s="11">
        <v>109400</v>
      </c>
      <c r="G368" s="9" t="str">
        <f>INDEX(Products!$B$2:$B$9,MATCH(D368,Products!$A$2:$A$9,0))</f>
        <v>Trà mâm xôi vitamin</v>
      </c>
      <c r="H368" s="9" t="str">
        <f>INDEX(Products!$C$2:$C$9,MATCH(D368,Products!$A$2:$A$9,0))</f>
        <v>Bổ sung dưỡng chất</v>
      </c>
      <c r="I368" s="11">
        <f>INDEX(Products!$D$2:$D$9,MATCH(D368,Products!$A$2:$A$9,0))</f>
        <v>9800</v>
      </c>
      <c r="J368" s="10">
        <f>IFERROR(INDEX(PlatformFees!$C$2:$C$5,MATCH(C368,PlatformFees!$A$2:$A$5,0)),0)</f>
        <v>0.13</v>
      </c>
      <c r="K368" s="11">
        <f t="shared" si="20"/>
        <v>29400</v>
      </c>
      <c r="L368" s="11">
        <f t="shared" si="21"/>
        <v>14222</v>
      </c>
      <c r="M368" s="11">
        <f t="shared" si="22"/>
        <v>65778</v>
      </c>
      <c r="N368" s="10">
        <f t="shared" si="23"/>
        <v>0.6012614259597806</v>
      </c>
    </row>
    <row r="369" spans="1:14" x14ac:dyDescent="0.3">
      <c r="A369" s="9" t="s">
        <v>437</v>
      </c>
      <c r="B369" s="9" t="s">
        <v>420</v>
      </c>
      <c r="C369" s="9" t="s">
        <v>39</v>
      </c>
      <c r="D369" s="9" t="s">
        <v>15</v>
      </c>
      <c r="E369" s="9">
        <v>1</v>
      </c>
      <c r="F369" s="11">
        <v>30400</v>
      </c>
      <c r="G369" s="9" t="str">
        <f>INDEX(Products!$B$2:$B$9,MATCH(D369,Products!$A$2:$A$9,0))</f>
        <v>Trà lá nam sen ổi</v>
      </c>
      <c r="H369" s="9" t="str">
        <f>INDEX(Products!$C$2:$C$9,MATCH(D369,Products!$A$2:$A$9,0))</f>
        <v>Thanh lọc</v>
      </c>
      <c r="I369" s="11">
        <f>INDEX(Products!$D$2:$D$9,MATCH(D369,Products!$A$2:$A$9,0))</f>
        <v>8500</v>
      </c>
      <c r="J369" s="10">
        <f>IFERROR(INDEX(PlatformFees!$C$2:$C$5,MATCH(C369,PlatformFees!$A$2:$A$5,0)),0)</f>
        <v>0</v>
      </c>
      <c r="K369" s="11">
        <f t="shared" si="20"/>
        <v>8500</v>
      </c>
      <c r="L369" s="11">
        <f t="shared" si="21"/>
        <v>0</v>
      </c>
      <c r="M369" s="11">
        <f t="shared" si="22"/>
        <v>21900</v>
      </c>
      <c r="N369" s="10">
        <f t="shared" si="23"/>
        <v>0.72039473684210531</v>
      </c>
    </row>
    <row r="370" spans="1:14" x14ac:dyDescent="0.3">
      <c r="A370" s="9" t="s">
        <v>438</v>
      </c>
      <c r="B370" s="9" t="s">
        <v>420</v>
      </c>
      <c r="C370" s="9" t="s">
        <v>40</v>
      </c>
      <c r="D370" s="9" t="s">
        <v>15</v>
      </c>
      <c r="E370" s="9">
        <v>2</v>
      </c>
      <c r="F370" s="11">
        <v>59500</v>
      </c>
      <c r="G370" s="9" t="str">
        <f>INDEX(Products!$B$2:$B$9,MATCH(D370,Products!$A$2:$A$9,0))</f>
        <v>Trà lá nam sen ổi</v>
      </c>
      <c r="H370" s="9" t="str">
        <f>INDEX(Products!$C$2:$C$9,MATCH(D370,Products!$A$2:$A$9,0))</f>
        <v>Thanh lọc</v>
      </c>
      <c r="I370" s="11">
        <f>INDEX(Products!$D$2:$D$9,MATCH(D370,Products!$A$2:$A$9,0))</f>
        <v>8500</v>
      </c>
      <c r="J370" s="10">
        <f>IFERROR(INDEX(PlatformFees!$C$2:$C$5,MATCH(C370,PlatformFees!$A$2:$A$5,0)),0)</f>
        <v>0</v>
      </c>
      <c r="K370" s="11">
        <f t="shared" si="20"/>
        <v>17000</v>
      </c>
      <c r="L370" s="11">
        <f t="shared" si="21"/>
        <v>0</v>
      </c>
      <c r="M370" s="11">
        <f t="shared" si="22"/>
        <v>42500</v>
      </c>
      <c r="N370" s="10">
        <f t="shared" si="23"/>
        <v>0.7142857142857143</v>
      </c>
    </row>
    <row r="371" spans="1:14" x14ac:dyDescent="0.3">
      <c r="A371" s="9" t="s">
        <v>439</v>
      </c>
      <c r="B371" s="9" t="s">
        <v>420</v>
      </c>
      <c r="C371" s="9" t="s">
        <v>40</v>
      </c>
      <c r="D371" s="9" t="s">
        <v>27</v>
      </c>
      <c r="E371" s="9">
        <v>1</v>
      </c>
      <c r="F371" s="11">
        <v>40900</v>
      </c>
      <c r="G371" s="9" t="str">
        <f>INDEX(Products!$B$2:$B$9,MATCH(D371,Products!$A$2:$A$9,0))</f>
        <v>Trà gừng mật ong</v>
      </c>
      <c r="H371" s="9" t="str">
        <f>INDEX(Products!$C$2:$C$9,MATCH(D371,Products!$A$2:$A$9,0))</f>
        <v>Giữ ấm</v>
      </c>
      <c r="I371" s="11">
        <f>INDEX(Products!$D$2:$D$9,MATCH(D371,Products!$A$2:$A$9,0))</f>
        <v>11000</v>
      </c>
      <c r="J371" s="10">
        <f>IFERROR(INDEX(PlatformFees!$C$2:$C$5,MATCH(C371,PlatformFees!$A$2:$A$5,0)),0)</f>
        <v>0</v>
      </c>
      <c r="K371" s="11">
        <f t="shared" si="20"/>
        <v>11000</v>
      </c>
      <c r="L371" s="11">
        <f t="shared" si="21"/>
        <v>0</v>
      </c>
      <c r="M371" s="11">
        <f t="shared" si="22"/>
        <v>29900</v>
      </c>
      <c r="N371" s="10">
        <f t="shared" si="23"/>
        <v>0.73105134474327627</v>
      </c>
    </row>
    <row r="372" spans="1:14" x14ac:dyDescent="0.3">
      <c r="A372" s="9" t="s">
        <v>440</v>
      </c>
      <c r="B372" s="9" t="s">
        <v>420</v>
      </c>
      <c r="C372" s="9" t="s">
        <v>36</v>
      </c>
      <c r="D372" s="9" t="s">
        <v>17</v>
      </c>
      <c r="E372" s="9">
        <v>1</v>
      </c>
      <c r="F372" s="11">
        <v>39700</v>
      </c>
      <c r="G372" s="9" t="str">
        <f>INDEX(Products!$B$2:$B$9,MATCH(D372,Products!$A$2:$A$9,0))</f>
        <v>Trà diếp cá rau má</v>
      </c>
      <c r="H372" s="9" t="str">
        <f>INDEX(Products!$C$2:$C$9,MATCH(D372,Products!$A$2:$A$9,0))</f>
        <v>Detox</v>
      </c>
      <c r="I372" s="11">
        <f>INDEX(Products!$D$2:$D$9,MATCH(D372,Products!$A$2:$A$9,0))</f>
        <v>10500</v>
      </c>
      <c r="J372" s="10">
        <f>IFERROR(INDEX(PlatformFees!$C$2:$C$5,MATCH(C372,PlatformFees!$A$2:$A$5,0)),0)</f>
        <v>0.13</v>
      </c>
      <c r="K372" s="11">
        <f t="shared" si="20"/>
        <v>10500</v>
      </c>
      <c r="L372" s="11">
        <f t="shared" si="21"/>
        <v>5161</v>
      </c>
      <c r="M372" s="11">
        <f t="shared" si="22"/>
        <v>24039</v>
      </c>
      <c r="N372" s="10">
        <f t="shared" si="23"/>
        <v>0.60551637279596982</v>
      </c>
    </row>
    <row r="373" spans="1:14" x14ac:dyDescent="0.3">
      <c r="A373" s="9" t="s">
        <v>441</v>
      </c>
      <c r="B373" s="9" t="s">
        <v>420</v>
      </c>
      <c r="C373" s="9" t="s">
        <v>40</v>
      </c>
      <c r="D373" s="9" t="s">
        <v>20</v>
      </c>
      <c r="E373" s="9">
        <v>1</v>
      </c>
      <c r="F373" s="11">
        <v>52500</v>
      </c>
      <c r="G373" s="9" t="str">
        <f>INDEX(Products!$B$2:$B$9,MATCH(D373,Products!$A$2:$A$9,0))</f>
        <v>Trà cà leo gai giảm cân</v>
      </c>
      <c r="H373" s="9" t="str">
        <f>INDEX(Products!$C$2:$C$9,MATCH(D373,Products!$A$2:$A$9,0))</f>
        <v>Detox</v>
      </c>
      <c r="I373" s="11">
        <f>INDEX(Products!$D$2:$D$9,MATCH(D373,Products!$A$2:$A$9,0))</f>
        <v>15000</v>
      </c>
      <c r="J373" s="10">
        <f>IFERROR(INDEX(PlatformFees!$C$2:$C$5,MATCH(C373,PlatformFees!$A$2:$A$5,0)),0)</f>
        <v>0</v>
      </c>
      <c r="K373" s="11">
        <f t="shared" si="20"/>
        <v>15000</v>
      </c>
      <c r="L373" s="11">
        <f t="shared" si="21"/>
        <v>0</v>
      </c>
      <c r="M373" s="11">
        <f t="shared" si="22"/>
        <v>37500</v>
      </c>
      <c r="N373" s="10">
        <f t="shared" si="23"/>
        <v>0.7142857142857143</v>
      </c>
    </row>
    <row r="374" spans="1:14" x14ac:dyDescent="0.3">
      <c r="A374" s="9" t="s">
        <v>442</v>
      </c>
      <c r="B374" s="9" t="s">
        <v>420</v>
      </c>
      <c r="C374" s="9" t="s">
        <v>36</v>
      </c>
      <c r="D374" s="9" t="s">
        <v>25</v>
      </c>
      <c r="E374" s="9">
        <v>1</v>
      </c>
      <c r="F374" s="11">
        <v>34200</v>
      </c>
      <c r="G374" s="9" t="str">
        <f>INDEX(Products!$B$2:$B$9,MATCH(D374,Products!$A$2:$A$9,0))</f>
        <v>Trà hoa đậu biếc</v>
      </c>
      <c r="H374" s="9" t="str">
        <f>INDEX(Products!$C$2:$C$9,MATCH(D374,Products!$A$2:$A$9,0))</f>
        <v>An thần</v>
      </c>
      <c r="I374" s="11">
        <f>INDEX(Products!$D$2:$D$9,MATCH(D374,Products!$A$2:$A$9,0))</f>
        <v>8800</v>
      </c>
      <c r="J374" s="10">
        <f>IFERROR(INDEX(PlatformFees!$C$2:$C$5,MATCH(C374,PlatformFees!$A$2:$A$5,0)),0)</f>
        <v>0.13</v>
      </c>
      <c r="K374" s="11">
        <f t="shared" si="20"/>
        <v>8800</v>
      </c>
      <c r="L374" s="11">
        <f t="shared" si="21"/>
        <v>4446</v>
      </c>
      <c r="M374" s="11">
        <f t="shared" si="22"/>
        <v>20954</v>
      </c>
      <c r="N374" s="10">
        <f t="shared" si="23"/>
        <v>0.61269005847953217</v>
      </c>
    </row>
    <row r="375" spans="1:14" x14ac:dyDescent="0.3">
      <c r="A375" s="9" t="s">
        <v>443</v>
      </c>
      <c r="B375" s="9" t="s">
        <v>420</v>
      </c>
      <c r="C375" s="9" t="s">
        <v>36</v>
      </c>
      <c r="D375" s="9" t="s">
        <v>17</v>
      </c>
      <c r="E375" s="9">
        <v>2</v>
      </c>
      <c r="F375" s="11">
        <v>83700</v>
      </c>
      <c r="G375" s="9" t="str">
        <f>INDEX(Products!$B$2:$B$9,MATCH(D375,Products!$A$2:$A$9,0))</f>
        <v>Trà diếp cá rau má</v>
      </c>
      <c r="H375" s="9" t="str">
        <f>INDEX(Products!$C$2:$C$9,MATCH(D375,Products!$A$2:$A$9,0))</f>
        <v>Detox</v>
      </c>
      <c r="I375" s="11">
        <f>INDEX(Products!$D$2:$D$9,MATCH(D375,Products!$A$2:$A$9,0))</f>
        <v>10500</v>
      </c>
      <c r="J375" s="10">
        <f>IFERROR(INDEX(PlatformFees!$C$2:$C$5,MATCH(C375,PlatformFees!$A$2:$A$5,0)),0)</f>
        <v>0.13</v>
      </c>
      <c r="K375" s="11">
        <f t="shared" si="20"/>
        <v>21000</v>
      </c>
      <c r="L375" s="11">
        <f t="shared" si="21"/>
        <v>10881</v>
      </c>
      <c r="M375" s="11">
        <f t="shared" si="22"/>
        <v>51819</v>
      </c>
      <c r="N375" s="10">
        <f t="shared" si="23"/>
        <v>0.61910394265232971</v>
      </c>
    </row>
    <row r="376" spans="1:14" x14ac:dyDescent="0.3">
      <c r="A376" s="9" t="s">
        <v>444</v>
      </c>
      <c r="B376" s="9" t="s">
        <v>420</v>
      </c>
      <c r="C376" s="9" t="s">
        <v>36</v>
      </c>
      <c r="D376" s="9" t="s">
        <v>25</v>
      </c>
      <c r="E376" s="9">
        <v>2</v>
      </c>
      <c r="F376" s="11">
        <v>67200</v>
      </c>
      <c r="G376" s="9" t="str">
        <f>INDEX(Products!$B$2:$B$9,MATCH(D376,Products!$A$2:$A$9,0))</f>
        <v>Trà hoa đậu biếc</v>
      </c>
      <c r="H376" s="9" t="str">
        <f>INDEX(Products!$C$2:$C$9,MATCH(D376,Products!$A$2:$A$9,0))</f>
        <v>An thần</v>
      </c>
      <c r="I376" s="11">
        <f>INDEX(Products!$D$2:$D$9,MATCH(D376,Products!$A$2:$A$9,0))</f>
        <v>8800</v>
      </c>
      <c r="J376" s="10">
        <f>IFERROR(INDEX(PlatformFees!$C$2:$C$5,MATCH(C376,PlatformFees!$A$2:$A$5,0)),0)</f>
        <v>0.13</v>
      </c>
      <c r="K376" s="11">
        <f t="shared" si="20"/>
        <v>17600</v>
      </c>
      <c r="L376" s="11">
        <f t="shared" si="21"/>
        <v>8736</v>
      </c>
      <c r="M376" s="11">
        <f t="shared" si="22"/>
        <v>40864</v>
      </c>
      <c r="N376" s="10">
        <f t="shared" si="23"/>
        <v>0.60809523809523813</v>
      </c>
    </row>
    <row r="377" spans="1:14" x14ac:dyDescent="0.3">
      <c r="A377" s="9" t="s">
        <v>445</v>
      </c>
      <c r="B377" s="9" t="s">
        <v>446</v>
      </c>
      <c r="C377" s="9" t="s">
        <v>36</v>
      </c>
      <c r="D377" s="9" t="s">
        <v>17</v>
      </c>
      <c r="E377" s="9">
        <v>1</v>
      </c>
      <c r="F377" s="11">
        <v>41200</v>
      </c>
      <c r="G377" s="9" t="str">
        <f>INDEX(Products!$B$2:$B$9,MATCH(D377,Products!$A$2:$A$9,0))</f>
        <v>Trà diếp cá rau má</v>
      </c>
      <c r="H377" s="9" t="str">
        <f>INDEX(Products!$C$2:$C$9,MATCH(D377,Products!$A$2:$A$9,0))</f>
        <v>Detox</v>
      </c>
      <c r="I377" s="11">
        <f>INDEX(Products!$D$2:$D$9,MATCH(D377,Products!$A$2:$A$9,0))</f>
        <v>10500</v>
      </c>
      <c r="J377" s="10">
        <f>IFERROR(INDEX(PlatformFees!$C$2:$C$5,MATCH(C377,PlatformFees!$A$2:$A$5,0)),0)</f>
        <v>0.13</v>
      </c>
      <c r="K377" s="11">
        <f t="shared" si="20"/>
        <v>10500</v>
      </c>
      <c r="L377" s="11">
        <f t="shared" si="21"/>
        <v>5356</v>
      </c>
      <c r="M377" s="11">
        <f t="shared" si="22"/>
        <v>25344</v>
      </c>
      <c r="N377" s="10">
        <f t="shared" si="23"/>
        <v>0.61514563106796116</v>
      </c>
    </row>
    <row r="378" spans="1:14" x14ac:dyDescent="0.3">
      <c r="A378" s="9" t="s">
        <v>447</v>
      </c>
      <c r="B378" s="9" t="s">
        <v>446</v>
      </c>
      <c r="C378" s="9" t="s">
        <v>39</v>
      </c>
      <c r="D378" s="9" t="s">
        <v>22</v>
      </c>
      <c r="E378" s="9">
        <v>1</v>
      </c>
      <c r="F378" s="11">
        <v>38200</v>
      </c>
      <c r="G378" s="9" t="str">
        <f>INDEX(Products!$B$2:$B$9,MATCH(D378,Products!$A$2:$A$9,0))</f>
        <v>Trà hoa cúc an thần</v>
      </c>
      <c r="H378" s="9" t="str">
        <f>INDEX(Products!$C$2:$C$9,MATCH(D378,Products!$A$2:$A$9,0))</f>
        <v>An thần</v>
      </c>
      <c r="I378" s="11">
        <f>INDEX(Products!$D$2:$D$9,MATCH(D378,Products!$A$2:$A$9,0))</f>
        <v>9500</v>
      </c>
      <c r="J378" s="10">
        <f>IFERROR(INDEX(PlatformFees!$C$2:$C$5,MATCH(C378,PlatformFees!$A$2:$A$5,0)),0)</f>
        <v>0</v>
      </c>
      <c r="K378" s="11">
        <f t="shared" si="20"/>
        <v>9500</v>
      </c>
      <c r="L378" s="11">
        <f t="shared" si="21"/>
        <v>0</v>
      </c>
      <c r="M378" s="11">
        <f t="shared" si="22"/>
        <v>28700</v>
      </c>
      <c r="N378" s="10">
        <f t="shared" si="23"/>
        <v>0.75130890052356025</v>
      </c>
    </row>
    <row r="379" spans="1:14" x14ac:dyDescent="0.3">
      <c r="A379" s="9" t="s">
        <v>448</v>
      </c>
      <c r="B379" s="9" t="s">
        <v>446</v>
      </c>
      <c r="C379" s="9" t="s">
        <v>36</v>
      </c>
      <c r="D379" s="9" t="s">
        <v>15</v>
      </c>
      <c r="E379" s="9">
        <v>1</v>
      </c>
      <c r="F379" s="11">
        <v>30900</v>
      </c>
      <c r="G379" s="9" t="str">
        <f>INDEX(Products!$B$2:$B$9,MATCH(D379,Products!$A$2:$A$9,0))</f>
        <v>Trà lá nam sen ổi</v>
      </c>
      <c r="H379" s="9" t="str">
        <f>INDEX(Products!$C$2:$C$9,MATCH(D379,Products!$A$2:$A$9,0))</f>
        <v>Thanh lọc</v>
      </c>
      <c r="I379" s="11">
        <f>INDEX(Products!$D$2:$D$9,MATCH(D379,Products!$A$2:$A$9,0))</f>
        <v>8500</v>
      </c>
      <c r="J379" s="10">
        <f>IFERROR(INDEX(PlatformFees!$C$2:$C$5,MATCH(C379,PlatformFees!$A$2:$A$5,0)),0)</f>
        <v>0.13</v>
      </c>
      <c r="K379" s="11">
        <f t="shared" si="20"/>
        <v>8500</v>
      </c>
      <c r="L379" s="11">
        <f t="shared" si="21"/>
        <v>4017</v>
      </c>
      <c r="M379" s="11">
        <f t="shared" si="22"/>
        <v>18383</v>
      </c>
      <c r="N379" s="10">
        <f t="shared" si="23"/>
        <v>0.59491909385113273</v>
      </c>
    </row>
    <row r="380" spans="1:14" x14ac:dyDescent="0.3">
      <c r="A380" s="9" t="s">
        <v>449</v>
      </c>
      <c r="B380" s="9" t="s">
        <v>446</v>
      </c>
      <c r="C380" s="9" t="s">
        <v>39</v>
      </c>
      <c r="D380" s="9" t="s">
        <v>22</v>
      </c>
      <c r="E380" s="9">
        <v>1</v>
      </c>
      <c r="F380" s="11">
        <v>38500</v>
      </c>
      <c r="G380" s="9" t="str">
        <f>INDEX(Products!$B$2:$B$9,MATCH(D380,Products!$A$2:$A$9,0))</f>
        <v>Trà hoa cúc an thần</v>
      </c>
      <c r="H380" s="9" t="str">
        <f>INDEX(Products!$C$2:$C$9,MATCH(D380,Products!$A$2:$A$9,0))</f>
        <v>An thần</v>
      </c>
      <c r="I380" s="11">
        <f>INDEX(Products!$D$2:$D$9,MATCH(D380,Products!$A$2:$A$9,0))</f>
        <v>9500</v>
      </c>
      <c r="J380" s="10">
        <f>IFERROR(INDEX(PlatformFees!$C$2:$C$5,MATCH(C380,PlatformFees!$A$2:$A$5,0)),0)</f>
        <v>0</v>
      </c>
      <c r="K380" s="11">
        <f t="shared" si="20"/>
        <v>9500</v>
      </c>
      <c r="L380" s="11">
        <f t="shared" si="21"/>
        <v>0</v>
      </c>
      <c r="M380" s="11">
        <f t="shared" si="22"/>
        <v>29000</v>
      </c>
      <c r="N380" s="10">
        <f t="shared" si="23"/>
        <v>0.75324675324675328</v>
      </c>
    </row>
    <row r="381" spans="1:14" x14ac:dyDescent="0.3">
      <c r="A381" s="9" t="s">
        <v>450</v>
      </c>
      <c r="B381" s="9" t="s">
        <v>446</v>
      </c>
      <c r="C381" s="9" t="s">
        <v>38</v>
      </c>
      <c r="D381" s="9" t="s">
        <v>20</v>
      </c>
      <c r="E381" s="9">
        <v>3</v>
      </c>
      <c r="F381" s="11">
        <v>161200</v>
      </c>
      <c r="G381" s="9" t="str">
        <f>INDEX(Products!$B$2:$B$9,MATCH(D381,Products!$A$2:$A$9,0))</f>
        <v>Trà cà leo gai giảm cân</v>
      </c>
      <c r="H381" s="9" t="str">
        <f>INDEX(Products!$C$2:$C$9,MATCH(D381,Products!$A$2:$A$9,0))</f>
        <v>Detox</v>
      </c>
      <c r="I381" s="11">
        <f>INDEX(Products!$D$2:$D$9,MATCH(D381,Products!$A$2:$A$9,0))</f>
        <v>15000</v>
      </c>
      <c r="J381" s="10">
        <f>IFERROR(INDEX(PlatformFees!$C$2:$C$5,MATCH(C381,PlatformFees!$A$2:$A$5,0)),0)</f>
        <v>0.16</v>
      </c>
      <c r="K381" s="11">
        <f t="shared" si="20"/>
        <v>45000</v>
      </c>
      <c r="L381" s="11">
        <f t="shared" si="21"/>
        <v>25792</v>
      </c>
      <c r="M381" s="11">
        <f t="shared" si="22"/>
        <v>90408</v>
      </c>
      <c r="N381" s="10">
        <f t="shared" si="23"/>
        <v>0.56084367245657574</v>
      </c>
    </row>
    <row r="382" spans="1:14" x14ac:dyDescent="0.3">
      <c r="A382" s="9" t="s">
        <v>451</v>
      </c>
      <c r="B382" s="9" t="s">
        <v>446</v>
      </c>
      <c r="C382" s="9" t="s">
        <v>36</v>
      </c>
      <c r="D382" s="9" t="s">
        <v>15</v>
      </c>
      <c r="E382" s="9">
        <v>2</v>
      </c>
      <c r="F382" s="11">
        <v>58900</v>
      </c>
      <c r="G382" s="9" t="str">
        <f>INDEX(Products!$B$2:$B$9,MATCH(D382,Products!$A$2:$A$9,0))</f>
        <v>Trà lá nam sen ổi</v>
      </c>
      <c r="H382" s="9" t="str">
        <f>INDEX(Products!$C$2:$C$9,MATCH(D382,Products!$A$2:$A$9,0))</f>
        <v>Thanh lọc</v>
      </c>
      <c r="I382" s="11">
        <f>INDEX(Products!$D$2:$D$9,MATCH(D382,Products!$A$2:$A$9,0))</f>
        <v>8500</v>
      </c>
      <c r="J382" s="10">
        <f>IFERROR(INDEX(PlatformFees!$C$2:$C$5,MATCH(C382,PlatformFees!$A$2:$A$5,0)),0)</f>
        <v>0.13</v>
      </c>
      <c r="K382" s="11">
        <f t="shared" si="20"/>
        <v>17000</v>
      </c>
      <c r="L382" s="11">
        <f t="shared" si="21"/>
        <v>7657</v>
      </c>
      <c r="M382" s="11">
        <f t="shared" si="22"/>
        <v>34243</v>
      </c>
      <c r="N382" s="10">
        <f t="shared" si="23"/>
        <v>0.58137521222410871</v>
      </c>
    </row>
    <row r="383" spans="1:14" x14ac:dyDescent="0.3">
      <c r="A383" s="9" t="s">
        <v>452</v>
      </c>
      <c r="B383" s="9" t="s">
        <v>446</v>
      </c>
      <c r="C383" s="9" t="s">
        <v>36</v>
      </c>
      <c r="D383" s="9" t="s">
        <v>20</v>
      </c>
      <c r="E383" s="9">
        <v>1</v>
      </c>
      <c r="F383" s="11">
        <v>54600</v>
      </c>
      <c r="G383" s="9" t="str">
        <f>INDEX(Products!$B$2:$B$9,MATCH(D383,Products!$A$2:$A$9,0))</f>
        <v>Trà cà leo gai giảm cân</v>
      </c>
      <c r="H383" s="9" t="str">
        <f>INDEX(Products!$C$2:$C$9,MATCH(D383,Products!$A$2:$A$9,0))</f>
        <v>Detox</v>
      </c>
      <c r="I383" s="11">
        <f>INDEX(Products!$D$2:$D$9,MATCH(D383,Products!$A$2:$A$9,0))</f>
        <v>15000</v>
      </c>
      <c r="J383" s="10">
        <f>IFERROR(INDEX(PlatformFees!$C$2:$C$5,MATCH(C383,PlatformFees!$A$2:$A$5,0)),0)</f>
        <v>0.13</v>
      </c>
      <c r="K383" s="11">
        <f t="shared" si="20"/>
        <v>15000</v>
      </c>
      <c r="L383" s="11">
        <f t="shared" si="21"/>
        <v>7098</v>
      </c>
      <c r="M383" s="11">
        <f t="shared" si="22"/>
        <v>32502</v>
      </c>
      <c r="N383" s="10">
        <f t="shared" si="23"/>
        <v>0.59527472527472525</v>
      </c>
    </row>
    <row r="384" spans="1:14" x14ac:dyDescent="0.3">
      <c r="A384" s="9" t="s">
        <v>453</v>
      </c>
      <c r="B384" s="9" t="s">
        <v>446</v>
      </c>
      <c r="C384" s="9" t="s">
        <v>36</v>
      </c>
      <c r="D384" s="9" t="s">
        <v>30</v>
      </c>
      <c r="E384" s="9">
        <v>1</v>
      </c>
      <c r="F384" s="11">
        <v>36900</v>
      </c>
      <c r="G384" s="9" t="str">
        <f>INDEX(Products!$B$2:$B$9,MATCH(D384,Products!$A$2:$A$9,0))</f>
        <v>Trà mâm xôi vitamin</v>
      </c>
      <c r="H384" s="9" t="str">
        <f>INDEX(Products!$C$2:$C$9,MATCH(D384,Products!$A$2:$A$9,0))</f>
        <v>Bổ sung dưỡng chất</v>
      </c>
      <c r="I384" s="11">
        <f>INDEX(Products!$D$2:$D$9,MATCH(D384,Products!$A$2:$A$9,0))</f>
        <v>9800</v>
      </c>
      <c r="J384" s="10">
        <f>IFERROR(INDEX(PlatformFees!$C$2:$C$5,MATCH(C384,PlatformFees!$A$2:$A$5,0)),0)</f>
        <v>0.13</v>
      </c>
      <c r="K384" s="11">
        <f t="shared" si="20"/>
        <v>9800</v>
      </c>
      <c r="L384" s="11">
        <f t="shared" si="21"/>
        <v>4797</v>
      </c>
      <c r="M384" s="11">
        <f t="shared" si="22"/>
        <v>22303</v>
      </c>
      <c r="N384" s="10">
        <f t="shared" si="23"/>
        <v>0.60441734417344173</v>
      </c>
    </row>
    <row r="385" spans="1:14" x14ac:dyDescent="0.3">
      <c r="A385" s="9" t="s">
        <v>454</v>
      </c>
      <c r="B385" s="9" t="s">
        <v>446</v>
      </c>
      <c r="C385" s="9" t="s">
        <v>38</v>
      </c>
      <c r="D385" s="9" t="s">
        <v>25</v>
      </c>
      <c r="E385" s="9">
        <v>2</v>
      </c>
      <c r="F385" s="11">
        <v>66700</v>
      </c>
      <c r="G385" s="9" t="str">
        <f>INDEX(Products!$B$2:$B$9,MATCH(D385,Products!$A$2:$A$9,0))</f>
        <v>Trà hoa đậu biếc</v>
      </c>
      <c r="H385" s="9" t="str">
        <f>INDEX(Products!$C$2:$C$9,MATCH(D385,Products!$A$2:$A$9,0))</f>
        <v>An thần</v>
      </c>
      <c r="I385" s="11">
        <f>INDEX(Products!$D$2:$D$9,MATCH(D385,Products!$A$2:$A$9,0))</f>
        <v>8800</v>
      </c>
      <c r="J385" s="10">
        <f>IFERROR(INDEX(PlatformFees!$C$2:$C$5,MATCH(C385,PlatformFees!$A$2:$A$5,0)),0)</f>
        <v>0.16</v>
      </c>
      <c r="K385" s="11">
        <f t="shared" si="20"/>
        <v>17600</v>
      </c>
      <c r="L385" s="11">
        <f t="shared" si="21"/>
        <v>10672</v>
      </c>
      <c r="M385" s="11">
        <f t="shared" si="22"/>
        <v>38428</v>
      </c>
      <c r="N385" s="10">
        <f t="shared" si="23"/>
        <v>0.57613193403298346</v>
      </c>
    </row>
    <row r="386" spans="1:14" x14ac:dyDescent="0.3">
      <c r="A386" s="9" t="s">
        <v>455</v>
      </c>
      <c r="B386" s="9" t="s">
        <v>446</v>
      </c>
      <c r="C386" s="9" t="s">
        <v>36</v>
      </c>
      <c r="D386" s="9" t="s">
        <v>20</v>
      </c>
      <c r="E386" s="9">
        <v>3</v>
      </c>
      <c r="F386" s="11">
        <v>158800</v>
      </c>
      <c r="G386" s="9" t="str">
        <f>INDEX(Products!$B$2:$B$9,MATCH(D386,Products!$A$2:$A$9,0))</f>
        <v>Trà cà leo gai giảm cân</v>
      </c>
      <c r="H386" s="9" t="str">
        <f>INDEX(Products!$C$2:$C$9,MATCH(D386,Products!$A$2:$A$9,0))</f>
        <v>Detox</v>
      </c>
      <c r="I386" s="11">
        <f>INDEX(Products!$D$2:$D$9,MATCH(D386,Products!$A$2:$A$9,0))</f>
        <v>15000</v>
      </c>
      <c r="J386" s="10">
        <f>IFERROR(INDEX(PlatformFees!$C$2:$C$5,MATCH(C386,PlatformFees!$A$2:$A$5,0)),0)</f>
        <v>0.13</v>
      </c>
      <c r="K386" s="11">
        <f t="shared" ref="K386:K449" si="24">E386*I386</f>
        <v>45000</v>
      </c>
      <c r="L386" s="11">
        <f t="shared" ref="L386:L449" si="25">F386*J386</f>
        <v>20644</v>
      </c>
      <c r="M386" s="11">
        <f t="shared" ref="M386:M449" si="26">F386-L386-K386</f>
        <v>93156</v>
      </c>
      <c r="N386" s="10">
        <f t="shared" ref="N386:N449" si="27">IFERROR(M386/F386,0)</f>
        <v>0.58662468513853905</v>
      </c>
    </row>
    <row r="387" spans="1:14" x14ac:dyDescent="0.3">
      <c r="A387" s="9" t="s">
        <v>456</v>
      </c>
      <c r="B387" s="9" t="s">
        <v>446</v>
      </c>
      <c r="C387" s="9" t="s">
        <v>36</v>
      </c>
      <c r="D387" s="9" t="s">
        <v>25</v>
      </c>
      <c r="E387" s="9">
        <v>1</v>
      </c>
      <c r="F387" s="11">
        <v>34200</v>
      </c>
      <c r="G387" s="9" t="str">
        <f>INDEX(Products!$B$2:$B$9,MATCH(D387,Products!$A$2:$A$9,0))</f>
        <v>Trà hoa đậu biếc</v>
      </c>
      <c r="H387" s="9" t="str">
        <f>INDEX(Products!$C$2:$C$9,MATCH(D387,Products!$A$2:$A$9,0))</f>
        <v>An thần</v>
      </c>
      <c r="I387" s="11">
        <f>INDEX(Products!$D$2:$D$9,MATCH(D387,Products!$A$2:$A$9,0))</f>
        <v>8800</v>
      </c>
      <c r="J387" s="10">
        <f>IFERROR(INDEX(PlatformFees!$C$2:$C$5,MATCH(C387,PlatformFees!$A$2:$A$5,0)),0)</f>
        <v>0.13</v>
      </c>
      <c r="K387" s="11">
        <f t="shared" si="24"/>
        <v>8800</v>
      </c>
      <c r="L387" s="11">
        <f t="shared" si="25"/>
        <v>4446</v>
      </c>
      <c r="M387" s="11">
        <f t="shared" si="26"/>
        <v>20954</v>
      </c>
      <c r="N387" s="10">
        <f t="shared" si="27"/>
        <v>0.61269005847953217</v>
      </c>
    </row>
    <row r="388" spans="1:14" x14ac:dyDescent="0.3">
      <c r="A388" s="9" t="s">
        <v>457</v>
      </c>
      <c r="B388" s="9" t="s">
        <v>458</v>
      </c>
      <c r="C388" s="9" t="s">
        <v>36</v>
      </c>
      <c r="D388" s="9" t="s">
        <v>22</v>
      </c>
      <c r="E388" s="9">
        <v>1</v>
      </c>
      <c r="F388" s="11">
        <v>38200</v>
      </c>
      <c r="G388" s="9" t="str">
        <f>INDEX(Products!$B$2:$B$9,MATCH(D388,Products!$A$2:$A$9,0))</f>
        <v>Trà hoa cúc an thần</v>
      </c>
      <c r="H388" s="9" t="str">
        <f>INDEX(Products!$C$2:$C$9,MATCH(D388,Products!$A$2:$A$9,0))</f>
        <v>An thần</v>
      </c>
      <c r="I388" s="11">
        <f>INDEX(Products!$D$2:$D$9,MATCH(D388,Products!$A$2:$A$9,0))</f>
        <v>9500</v>
      </c>
      <c r="J388" s="10">
        <f>IFERROR(INDEX(PlatformFees!$C$2:$C$5,MATCH(C388,PlatformFees!$A$2:$A$5,0)),0)</f>
        <v>0.13</v>
      </c>
      <c r="K388" s="11">
        <f t="shared" si="24"/>
        <v>9500</v>
      </c>
      <c r="L388" s="11">
        <f t="shared" si="25"/>
        <v>4966</v>
      </c>
      <c r="M388" s="11">
        <f t="shared" si="26"/>
        <v>23734</v>
      </c>
      <c r="N388" s="10">
        <f t="shared" si="27"/>
        <v>0.62130890052356025</v>
      </c>
    </row>
    <row r="389" spans="1:14" x14ac:dyDescent="0.3">
      <c r="A389" s="9" t="s">
        <v>459</v>
      </c>
      <c r="B389" s="9" t="s">
        <v>458</v>
      </c>
      <c r="C389" s="9" t="s">
        <v>39</v>
      </c>
      <c r="D389" s="9" t="s">
        <v>17</v>
      </c>
      <c r="E389" s="9">
        <v>1</v>
      </c>
      <c r="F389" s="11">
        <v>40300</v>
      </c>
      <c r="G389" s="9" t="str">
        <f>INDEX(Products!$B$2:$B$9,MATCH(D389,Products!$A$2:$A$9,0))</f>
        <v>Trà diếp cá rau má</v>
      </c>
      <c r="H389" s="9" t="str">
        <f>INDEX(Products!$C$2:$C$9,MATCH(D389,Products!$A$2:$A$9,0))</f>
        <v>Detox</v>
      </c>
      <c r="I389" s="11">
        <f>INDEX(Products!$D$2:$D$9,MATCH(D389,Products!$A$2:$A$9,0))</f>
        <v>10500</v>
      </c>
      <c r="J389" s="10">
        <f>IFERROR(INDEX(PlatformFees!$C$2:$C$5,MATCH(C389,PlatformFees!$A$2:$A$5,0)),0)</f>
        <v>0</v>
      </c>
      <c r="K389" s="11">
        <f t="shared" si="24"/>
        <v>10500</v>
      </c>
      <c r="L389" s="11">
        <f t="shared" si="25"/>
        <v>0</v>
      </c>
      <c r="M389" s="11">
        <f t="shared" si="26"/>
        <v>29800</v>
      </c>
      <c r="N389" s="10">
        <f t="shared" si="27"/>
        <v>0.73945409429280395</v>
      </c>
    </row>
    <row r="390" spans="1:14" x14ac:dyDescent="0.3">
      <c r="A390" s="9" t="s">
        <v>460</v>
      </c>
      <c r="B390" s="9" t="s">
        <v>458</v>
      </c>
      <c r="C390" s="9" t="s">
        <v>36</v>
      </c>
      <c r="D390" s="9" t="s">
        <v>22</v>
      </c>
      <c r="E390" s="9">
        <v>3</v>
      </c>
      <c r="F390" s="11">
        <v>110700</v>
      </c>
      <c r="G390" s="9" t="str">
        <f>INDEX(Products!$B$2:$B$9,MATCH(D390,Products!$A$2:$A$9,0))</f>
        <v>Trà hoa cúc an thần</v>
      </c>
      <c r="H390" s="9" t="str">
        <f>INDEX(Products!$C$2:$C$9,MATCH(D390,Products!$A$2:$A$9,0))</f>
        <v>An thần</v>
      </c>
      <c r="I390" s="11">
        <f>INDEX(Products!$D$2:$D$9,MATCH(D390,Products!$A$2:$A$9,0))</f>
        <v>9500</v>
      </c>
      <c r="J390" s="10">
        <f>IFERROR(INDEX(PlatformFees!$C$2:$C$5,MATCH(C390,PlatformFees!$A$2:$A$5,0)),0)</f>
        <v>0.13</v>
      </c>
      <c r="K390" s="11">
        <f t="shared" si="24"/>
        <v>28500</v>
      </c>
      <c r="L390" s="11">
        <f t="shared" si="25"/>
        <v>14391</v>
      </c>
      <c r="M390" s="11">
        <f t="shared" si="26"/>
        <v>67809</v>
      </c>
      <c r="N390" s="10">
        <f t="shared" si="27"/>
        <v>0.61254742547425478</v>
      </c>
    </row>
    <row r="391" spans="1:14" x14ac:dyDescent="0.3">
      <c r="A391" s="9" t="s">
        <v>461</v>
      </c>
      <c r="B391" s="9" t="s">
        <v>458</v>
      </c>
      <c r="C391" s="9" t="s">
        <v>38</v>
      </c>
      <c r="D391" s="9" t="s">
        <v>22</v>
      </c>
      <c r="E391" s="9">
        <v>1</v>
      </c>
      <c r="F391" s="11">
        <v>35200</v>
      </c>
      <c r="G391" s="9" t="str">
        <f>INDEX(Products!$B$2:$B$9,MATCH(D391,Products!$A$2:$A$9,0))</f>
        <v>Trà hoa cúc an thần</v>
      </c>
      <c r="H391" s="9" t="str">
        <f>INDEX(Products!$C$2:$C$9,MATCH(D391,Products!$A$2:$A$9,0))</f>
        <v>An thần</v>
      </c>
      <c r="I391" s="11">
        <f>INDEX(Products!$D$2:$D$9,MATCH(D391,Products!$A$2:$A$9,0))</f>
        <v>9500</v>
      </c>
      <c r="J391" s="10">
        <f>IFERROR(INDEX(PlatformFees!$C$2:$C$5,MATCH(C391,PlatformFees!$A$2:$A$5,0)),0)</f>
        <v>0.16</v>
      </c>
      <c r="K391" s="11">
        <f t="shared" si="24"/>
        <v>9500</v>
      </c>
      <c r="L391" s="11">
        <f t="shared" si="25"/>
        <v>5632</v>
      </c>
      <c r="M391" s="11">
        <f t="shared" si="26"/>
        <v>20068</v>
      </c>
      <c r="N391" s="10">
        <f t="shared" si="27"/>
        <v>0.57011363636363632</v>
      </c>
    </row>
    <row r="392" spans="1:14" x14ac:dyDescent="0.3">
      <c r="A392" s="9" t="s">
        <v>462</v>
      </c>
      <c r="B392" s="9" t="s">
        <v>458</v>
      </c>
      <c r="C392" s="9" t="s">
        <v>39</v>
      </c>
      <c r="D392" s="9" t="s">
        <v>22</v>
      </c>
      <c r="E392" s="9">
        <v>1</v>
      </c>
      <c r="F392" s="11">
        <v>35800</v>
      </c>
      <c r="G392" s="9" t="str">
        <f>INDEX(Products!$B$2:$B$9,MATCH(D392,Products!$A$2:$A$9,0))</f>
        <v>Trà hoa cúc an thần</v>
      </c>
      <c r="H392" s="9" t="str">
        <f>INDEX(Products!$C$2:$C$9,MATCH(D392,Products!$A$2:$A$9,0))</f>
        <v>An thần</v>
      </c>
      <c r="I392" s="11">
        <f>INDEX(Products!$D$2:$D$9,MATCH(D392,Products!$A$2:$A$9,0))</f>
        <v>9500</v>
      </c>
      <c r="J392" s="10">
        <f>IFERROR(INDEX(PlatformFees!$C$2:$C$5,MATCH(C392,PlatformFees!$A$2:$A$5,0)),0)</f>
        <v>0</v>
      </c>
      <c r="K392" s="11">
        <f t="shared" si="24"/>
        <v>9500</v>
      </c>
      <c r="L392" s="11">
        <f t="shared" si="25"/>
        <v>0</v>
      </c>
      <c r="M392" s="11">
        <f t="shared" si="26"/>
        <v>26300</v>
      </c>
      <c r="N392" s="10">
        <f t="shared" si="27"/>
        <v>0.73463687150837986</v>
      </c>
    </row>
    <row r="393" spans="1:14" x14ac:dyDescent="0.3">
      <c r="A393" s="9" t="s">
        <v>463</v>
      </c>
      <c r="B393" s="9" t="s">
        <v>458</v>
      </c>
      <c r="C393" s="9" t="s">
        <v>39</v>
      </c>
      <c r="D393" s="9" t="s">
        <v>30</v>
      </c>
      <c r="E393" s="9">
        <v>1</v>
      </c>
      <c r="F393" s="11">
        <v>36800</v>
      </c>
      <c r="G393" s="9" t="str">
        <f>INDEX(Products!$B$2:$B$9,MATCH(D393,Products!$A$2:$A$9,0))</f>
        <v>Trà mâm xôi vitamin</v>
      </c>
      <c r="H393" s="9" t="str">
        <f>INDEX(Products!$C$2:$C$9,MATCH(D393,Products!$A$2:$A$9,0))</f>
        <v>Bổ sung dưỡng chất</v>
      </c>
      <c r="I393" s="11">
        <f>INDEX(Products!$D$2:$D$9,MATCH(D393,Products!$A$2:$A$9,0))</f>
        <v>9800</v>
      </c>
      <c r="J393" s="10">
        <f>IFERROR(INDEX(PlatformFees!$C$2:$C$5,MATCH(C393,PlatformFees!$A$2:$A$5,0)),0)</f>
        <v>0</v>
      </c>
      <c r="K393" s="11">
        <f t="shared" si="24"/>
        <v>9800</v>
      </c>
      <c r="L393" s="11">
        <f t="shared" si="25"/>
        <v>0</v>
      </c>
      <c r="M393" s="11">
        <f t="shared" si="26"/>
        <v>27000</v>
      </c>
      <c r="N393" s="10">
        <f t="shared" si="27"/>
        <v>0.73369565217391308</v>
      </c>
    </row>
    <row r="394" spans="1:14" x14ac:dyDescent="0.3">
      <c r="A394" s="9" t="s">
        <v>464</v>
      </c>
      <c r="B394" s="9" t="s">
        <v>458</v>
      </c>
      <c r="C394" s="9" t="s">
        <v>38</v>
      </c>
      <c r="D394" s="9" t="s">
        <v>30</v>
      </c>
      <c r="E394" s="9">
        <v>2</v>
      </c>
      <c r="F394" s="11">
        <v>70000</v>
      </c>
      <c r="G394" s="9" t="str">
        <f>INDEX(Products!$B$2:$B$9,MATCH(D394,Products!$A$2:$A$9,0))</f>
        <v>Trà mâm xôi vitamin</v>
      </c>
      <c r="H394" s="9" t="str">
        <f>INDEX(Products!$C$2:$C$9,MATCH(D394,Products!$A$2:$A$9,0))</f>
        <v>Bổ sung dưỡng chất</v>
      </c>
      <c r="I394" s="11">
        <f>INDEX(Products!$D$2:$D$9,MATCH(D394,Products!$A$2:$A$9,0))</f>
        <v>9800</v>
      </c>
      <c r="J394" s="10">
        <f>IFERROR(INDEX(PlatformFees!$C$2:$C$5,MATCH(C394,PlatformFees!$A$2:$A$5,0)),0)</f>
        <v>0.16</v>
      </c>
      <c r="K394" s="11">
        <f t="shared" si="24"/>
        <v>19600</v>
      </c>
      <c r="L394" s="11">
        <f t="shared" si="25"/>
        <v>11200</v>
      </c>
      <c r="M394" s="11">
        <f t="shared" si="26"/>
        <v>39200</v>
      </c>
      <c r="N394" s="10">
        <f t="shared" si="27"/>
        <v>0.56000000000000005</v>
      </c>
    </row>
    <row r="395" spans="1:14" x14ac:dyDescent="0.3">
      <c r="A395" s="9" t="s">
        <v>465</v>
      </c>
      <c r="B395" s="9" t="s">
        <v>458</v>
      </c>
      <c r="C395" s="9" t="s">
        <v>36</v>
      </c>
      <c r="D395" s="9" t="s">
        <v>22</v>
      </c>
      <c r="E395" s="9">
        <v>1</v>
      </c>
      <c r="F395" s="11">
        <v>36500</v>
      </c>
      <c r="G395" s="9" t="str">
        <f>INDEX(Products!$B$2:$B$9,MATCH(D395,Products!$A$2:$A$9,0))</f>
        <v>Trà hoa cúc an thần</v>
      </c>
      <c r="H395" s="9" t="str">
        <f>INDEX(Products!$C$2:$C$9,MATCH(D395,Products!$A$2:$A$9,0))</f>
        <v>An thần</v>
      </c>
      <c r="I395" s="11">
        <f>INDEX(Products!$D$2:$D$9,MATCH(D395,Products!$A$2:$A$9,0))</f>
        <v>9500</v>
      </c>
      <c r="J395" s="10">
        <f>IFERROR(INDEX(PlatformFees!$C$2:$C$5,MATCH(C395,PlatformFees!$A$2:$A$5,0)),0)</f>
        <v>0.13</v>
      </c>
      <c r="K395" s="11">
        <f t="shared" si="24"/>
        <v>9500</v>
      </c>
      <c r="L395" s="11">
        <f t="shared" si="25"/>
        <v>4745</v>
      </c>
      <c r="M395" s="11">
        <f t="shared" si="26"/>
        <v>22255</v>
      </c>
      <c r="N395" s="10">
        <f t="shared" si="27"/>
        <v>0.60972602739726023</v>
      </c>
    </row>
    <row r="396" spans="1:14" x14ac:dyDescent="0.3">
      <c r="A396" s="9" t="s">
        <v>466</v>
      </c>
      <c r="B396" s="9" t="s">
        <v>458</v>
      </c>
      <c r="C396" s="9" t="s">
        <v>39</v>
      </c>
      <c r="D396" s="9" t="s">
        <v>30</v>
      </c>
      <c r="E396" s="9">
        <v>1</v>
      </c>
      <c r="F396" s="11">
        <v>34200</v>
      </c>
      <c r="G396" s="9" t="str">
        <f>INDEX(Products!$B$2:$B$9,MATCH(D396,Products!$A$2:$A$9,0))</f>
        <v>Trà mâm xôi vitamin</v>
      </c>
      <c r="H396" s="9" t="str">
        <f>INDEX(Products!$C$2:$C$9,MATCH(D396,Products!$A$2:$A$9,0))</f>
        <v>Bổ sung dưỡng chất</v>
      </c>
      <c r="I396" s="11">
        <f>INDEX(Products!$D$2:$D$9,MATCH(D396,Products!$A$2:$A$9,0))</f>
        <v>9800</v>
      </c>
      <c r="J396" s="10">
        <f>IFERROR(INDEX(PlatformFees!$C$2:$C$5,MATCH(C396,PlatformFees!$A$2:$A$5,0)),0)</f>
        <v>0</v>
      </c>
      <c r="K396" s="11">
        <f t="shared" si="24"/>
        <v>9800</v>
      </c>
      <c r="L396" s="11">
        <f t="shared" si="25"/>
        <v>0</v>
      </c>
      <c r="M396" s="11">
        <f t="shared" si="26"/>
        <v>24400</v>
      </c>
      <c r="N396" s="10">
        <f t="shared" si="27"/>
        <v>0.71345029239766078</v>
      </c>
    </row>
    <row r="397" spans="1:14" x14ac:dyDescent="0.3">
      <c r="A397" s="9" t="s">
        <v>467</v>
      </c>
      <c r="B397" s="9" t="s">
        <v>458</v>
      </c>
      <c r="C397" s="9" t="s">
        <v>39</v>
      </c>
      <c r="D397" s="9" t="s">
        <v>22</v>
      </c>
      <c r="E397" s="9">
        <v>2</v>
      </c>
      <c r="F397" s="11">
        <v>76100</v>
      </c>
      <c r="G397" s="9" t="str">
        <f>INDEX(Products!$B$2:$B$9,MATCH(D397,Products!$A$2:$A$9,0))</f>
        <v>Trà hoa cúc an thần</v>
      </c>
      <c r="H397" s="9" t="str">
        <f>INDEX(Products!$C$2:$C$9,MATCH(D397,Products!$A$2:$A$9,0))</f>
        <v>An thần</v>
      </c>
      <c r="I397" s="11">
        <f>INDEX(Products!$D$2:$D$9,MATCH(D397,Products!$A$2:$A$9,0))</f>
        <v>9500</v>
      </c>
      <c r="J397" s="10">
        <f>IFERROR(INDEX(PlatformFees!$C$2:$C$5,MATCH(C397,PlatformFees!$A$2:$A$5,0)),0)</f>
        <v>0</v>
      </c>
      <c r="K397" s="11">
        <f t="shared" si="24"/>
        <v>19000</v>
      </c>
      <c r="L397" s="11">
        <f t="shared" si="25"/>
        <v>0</v>
      </c>
      <c r="M397" s="11">
        <f t="shared" si="26"/>
        <v>57100</v>
      </c>
      <c r="N397" s="10">
        <f t="shared" si="27"/>
        <v>0.75032851511169518</v>
      </c>
    </row>
    <row r="398" spans="1:14" x14ac:dyDescent="0.3">
      <c r="A398" s="9" t="s">
        <v>468</v>
      </c>
      <c r="B398" s="9" t="s">
        <v>458</v>
      </c>
      <c r="C398" s="9" t="s">
        <v>39</v>
      </c>
      <c r="D398" s="9" t="s">
        <v>20</v>
      </c>
      <c r="E398" s="9">
        <v>1</v>
      </c>
      <c r="F398" s="11">
        <v>53600</v>
      </c>
      <c r="G398" s="9" t="str">
        <f>INDEX(Products!$B$2:$B$9,MATCH(D398,Products!$A$2:$A$9,0))</f>
        <v>Trà cà leo gai giảm cân</v>
      </c>
      <c r="H398" s="9" t="str">
        <f>INDEX(Products!$C$2:$C$9,MATCH(D398,Products!$A$2:$A$9,0))</f>
        <v>Detox</v>
      </c>
      <c r="I398" s="11">
        <f>INDEX(Products!$D$2:$D$9,MATCH(D398,Products!$A$2:$A$9,0))</f>
        <v>15000</v>
      </c>
      <c r="J398" s="10">
        <f>IFERROR(INDEX(PlatformFees!$C$2:$C$5,MATCH(C398,PlatformFees!$A$2:$A$5,0)),0)</f>
        <v>0</v>
      </c>
      <c r="K398" s="11">
        <f t="shared" si="24"/>
        <v>15000</v>
      </c>
      <c r="L398" s="11">
        <f t="shared" si="25"/>
        <v>0</v>
      </c>
      <c r="M398" s="11">
        <f t="shared" si="26"/>
        <v>38600</v>
      </c>
      <c r="N398" s="10">
        <f t="shared" si="27"/>
        <v>0.72014925373134331</v>
      </c>
    </row>
    <row r="399" spans="1:14" x14ac:dyDescent="0.3">
      <c r="A399" s="9" t="s">
        <v>469</v>
      </c>
      <c r="B399" s="9" t="s">
        <v>458</v>
      </c>
      <c r="C399" s="9" t="s">
        <v>38</v>
      </c>
      <c r="D399" s="9" t="s">
        <v>30</v>
      </c>
      <c r="E399" s="9">
        <v>2</v>
      </c>
      <c r="F399" s="11">
        <v>68400</v>
      </c>
      <c r="G399" s="9" t="str">
        <f>INDEX(Products!$B$2:$B$9,MATCH(D399,Products!$A$2:$A$9,0))</f>
        <v>Trà mâm xôi vitamin</v>
      </c>
      <c r="H399" s="9" t="str">
        <f>INDEX(Products!$C$2:$C$9,MATCH(D399,Products!$A$2:$A$9,0))</f>
        <v>Bổ sung dưỡng chất</v>
      </c>
      <c r="I399" s="11">
        <f>INDEX(Products!$D$2:$D$9,MATCH(D399,Products!$A$2:$A$9,0))</f>
        <v>9800</v>
      </c>
      <c r="J399" s="10">
        <f>IFERROR(INDEX(PlatformFees!$C$2:$C$5,MATCH(C399,PlatformFees!$A$2:$A$5,0)),0)</f>
        <v>0.16</v>
      </c>
      <c r="K399" s="11">
        <f t="shared" si="24"/>
        <v>19600</v>
      </c>
      <c r="L399" s="11">
        <f t="shared" si="25"/>
        <v>10944</v>
      </c>
      <c r="M399" s="11">
        <f t="shared" si="26"/>
        <v>37856</v>
      </c>
      <c r="N399" s="10">
        <f t="shared" si="27"/>
        <v>0.55345029239766086</v>
      </c>
    </row>
    <row r="400" spans="1:14" x14ac:dyDescent="0.3">
      <c r="A400" s="9" t="s">
        <v>470</v>
      </c>
      <c r="B400" s="9" t="s">
        <v>458</v>
      </c>
      <c r="C400" s="9" t="s">
        <v>36</v>
      </c>
      <c r="D400" s="9" t="s">
        <v>20</v>
      </c>
      <c r="E400" s="9">
        <v>2</v>
      </c>
      <c r="F400" s="11">
        <v>108500</v>
      </c>
      <c r="G400" s="9" t="str">
        <f>INDEX(Products!$B$2:$B$9,MATCH(D400,Products!$A$2:$A$9,0))</f>
        <v>Trà cà leo gai giảm cân</v>
      </c>
      <c r="H400" s="9" t="str">
        <f>INDEX(Products!$C$2:$C$9,MATCH(D400,Products!$A$2:$A$9,0))</f>
        <v>Detox</v>
      </c>
      <c r="I400" s="11">
        <f>INDEX(Products!$D$2:$D$9,MATCH(D400,Products!$A$2:$A$9,0))</f>
        <v>15000</v>
      </c>
      <c r="J400" s="10">
        <f>IFERROR(INDEX(PlatformFees!$C$2:$C$5,MATCH(C400,PlatformFees!$A$2:$A$5,0)),0)</f>
        <v>0.13</v>
      </c>
      <c r="K400" s="11">
        <f t="shared" si="24"/>
        <v>30000</v>
      </c>
      <c r="L400" s="11">
        <f t="shared" si="25"/>
        <v>14105</v>
      </c>
      <c r="M400" s="11">
        <f t="shared" si="26"/>
        <v>64395</v>
      </c>
      <c r="N400" s="10">
        <f t="shared" si="27"/>
        <v>0.59350230414746541</v>
      </c>
    </row>
    <row r="401" spans="1:14" x14ac:dyDescent="0.3">
      <c r="A401" s="9" t="s">
        <v>471</v>
      </c>
      <c r="B401" s="9" t="s">
        <v>458</v>
      </c>
      <c r="C401" s="9" t="s">
        <v>39</v>
      </c>
      <c r="D401" s="9" t="s">
        <v>22</v>
      </c>
      <c r="E401" s="9">
        <v>1</v>
      </c>
      <c r="F401" s="11">
        <v>35400</v>
      </c>
      <c r="G401" s="9" t="str">
        <f>INDEX(Products!$B$2:$B$9,MATCH(D401,Products!$A$2:$A$9,0))</f>
        <v>Trà hoa cúc an thần</v>
      </c>
      <c r="H401" s="9" t="str">
        <f>INDEX(Products!$C$2:$C$9,MATCH(D401,Products!$A$2:$A$9,0))</f>
        <v>An thần</v>
      </c>
      <c r="I401" s="11">
        <f>INDEX(Products!$D$2:$D$9,MATCH(D401,Products!$A$2:$A$9,0))</f>
        <v>9500</v>
      </c>
      <c r="J401" s="10">
        <f>IFERROR(INDEX(PlatformFees!$C$2:$C$5,MATCH(C401,PlatformFees!$A$2:$A$5,0)),0)</f>
        <v>0</v>
      </c>
      <c r="K401" s="11">
        <f t="shared" si="24"/>
        <v>9500</v>
      </c>
      <c r="L401" s="11">
        <f t="shared" si="25"/>
        <v>0</v>
      </c>
      <c r="M401" s="11">
        <f t="shared" si="26"/>
        <v>25900</v>
      </c>
      <c r="N401" s="10">
        <f t="shared" si="27"/>
        <v>0.73163841807909602</v>
      </c>
    </row>
    <row r="402" spans="1:14" x14ac:dyDescent="0.3">
      <c r="A402" s="9" t="s">
        <v>472</v>
      </c>
      <c r="B402" s="9" t="s">
        <v>458</v>
      </c>
      <c r="C402" s="9" t="s">
        <v>36</v>
      </c>
      <c r="D402" s="9" t="s">
        <v>17</v>
      </c>
      <c r="E402" s="9">
        <v>2</v>
      </c>
      <c r="F402" s="11">
        <v>82800</v>
      </c>
      <c r="G402" s="9" t="str">
        <f>INDEX(Products!$B$2:$B$9,MATCH(D402,Products!$A$2:$A$9,0))</f>
        <v>Trà diếp cá rau má</v>
      </c>
      <c r="H402" s="9" t="str">
        <f>INDEX(Products!$C$2:$C$9,MATCH(D402,Products!$A$2:$A$9,0))</f>
        <v>Detox</v>
      </c>
      <c r="I402" s="11">
        <f>INDEX(Products!$D$2:$D$9,MATCH(D402,Products!$A$2:$A$9,0))</f>
        <v>10500</v>
      </c>
      <c r="J402" s="10">
        <f>IFERROR(INDEX(PlatformFees!$C$2:$C$5,MATCH(C402,PlatformFees!$A$2:$A$5,0)),0)</f>
        <v>0.13</v>
      </c>
      <c r="K402" s="11">
        <f t="shared" si="24"/>
        <v>21000</v>
      </c>
      <c r="L402" s="11">
        <f t="shared" si="25"/>
        <v>10764</v>
      </c>
      <c r="M402" s="11">
        <f t="shared" si="26"/>
        <v>51036</v>
      </c>
      <c r="N402" s="10">
        <f t="shared" si="27"/>
        <v>0.61637681159420288</v>
      </c>
    </row>
    <row r="403" spans="1:14" x14ac:dyDescent="0.3">
      <c r="A403" s="9" t="s">
        <v>473</v>
      </c>
      <c r="B403" s="9" t="s">
        <v>474</v>
      </c>
      <c r="C403" s="9" t="s">
        <v>36</v>
      </c>
      <c r="D403" s="9" t="s">
        <v>20</v>
      </c>
      <c r="E403" s="9">
        <v>2</v>
      </c>
      <c r="F403" s="11">
        <v>101700</v>
      </c>
      <c r="G403" s="9" t="str">
        <f>INDEX(Products!$B$2:$B$9,MATCH(D403,Products!$A$2:$A$9,0))</f>
        <v>Trà cà leo gai giảm cân</v>
      </c>
      <c r="H403" s="9" t="str">
        <f>INDEX(Products!$C$2:$C$9,MATCH(D403,Products!$A$2:$A$9,0))</f>
        <v>Detox</v>
      </c>
      <c r="I403" s="11">
        <f>INDEX(Products!$D$2:$D$9,MATCH(D403,Products!$A$2:$A$9,0))</f>
        <v>15000</v>
      </c>
      <c r="J403" s="10">
        <f>IFERROR(INDEX(PlatformFees!$C$2:$C$5,MATCH(C403,PlatformFees!$A$2:$A$5,0)),0)</f>
        <v>0.13</v>
      </c>
      <c r="K403" s="11">
        <f t="shared" si="24"/>
        <v>30000</v>
      </c>
      <c r="L403" s="11">
        <f t="shared" si="25"/>
        <v>13221</v>
      </c>
      <c r="M403" s="11">
        <f t="shared" si="26"/>
        <v>58479</v>
      </c>
      <c r="N403" s="10">
        <f t="shared" si="27"/>
        <v>0.57501474926253693</v>
      </c>
    </row>
    <row r="404" spans="1:14" x14ac:dyDescent="0.3">
      <c r="A404" s="9" t="s">
        <v>475</v>
      </c>
      <c r="B404" s="9" t="s">
        <v>474</v>
      </c>
      <c r="C404" s="9" t="s">
        <v>39</v>
      </c>
      <c r="D404" s="9" t="s">
        <v>17</v>
      </c>
      <c r="E404" s="9">
        <v>2</v>
      </c>
      <c r="F404" s="11">
        <v>79800</v>
      </c>
      <c r="G404" s="9" t="str">
        <f>INDEX(Products!$B$2:$B$9,MATCH(D404,Products!$A$2:$A$9,0))</f>
        <v>Trà diếp cá rau má</v>
      </c>
      <c r="H404" s="9" t="str">
        <f>INDEX(Products!$C$2:$C$9,MATCH(D404,Products!$A$2:$A$9,0))</f>
        <v>Detox</v>
      </c>
      <c r="I404" s="11">
        <f>INDEX(Products!$D$2:$D$9,MATCH(D404,Products!$A$2:$A$9,0))</f>
        <v>10500</v>
      </c>
      <c r="J404" s="10">
        <f>IFERROR(INDEX(PlatformFees!$C$2:$C$5,MATCH(C404,PlatformFees!$A$2:$A$5,0)),0)</f>
        <v>0</v>
      </c>
      <c r="K404" s="11">
        <f t="shared" si="24"/>
        <v>21000</v>
      </c>
      <c r="L404" s="11">
        <f t="shared" si="25"/>
        <v>0</v>
      </c>
      <c r="M404" s="11">
        <f t="shared" si="26"/>
        <v>58800</v>
      </c>
      <c r="N404" s="10">
        <f t="shared" si="27"/>
        <v>0.73684210526315785</v>
      </c>
    </row>
    <row r="405" spans="1:14" x14ac:dyDescent="0.3">
      <c r="A405" s="9" t="s">
        <v>476</v>
      </c>
      <c r="B405" s="9" t="s">
        <v>474</v>
      </c>
      <c r="C405" s="9" t="s">
        <v>40</v>
      </c>
      <c r="D405" s="9" t="s">
        <v>30</v>
      </c>
      <c r="E405" s="9">
        <v>1</v>
      </c>
      <c r="F405" s="11">
        <v>35800</v>
      </c>
      <c r="G405" s="9" t="str">
        <f>INDEX(Products!$B$2:$B$9,MATCH(D405,Products!$A$2:$A$9,0))</f>
        <v>Trà mâm xôi vitamin</v>
      </c>
      <c r="H405" s="9" t="str">
        <f>INDEX(Products!$C$2:$C$9,MATCH(D405,Products!$A$2:$A$9,0))</f>
        <v>Bổ sung dưỡng chất</v>
      </c>
      <c r="I405" s="11">
        <f>INDEX(Products!$D$2:$D$9,MATCH(D405,Products!$A$2:$A$9,0))</f>
        <v>9800</v>
      </c>
      <c r="J405" s="10">
        <f>IFERROR(INDEX(PlatformFees!$C$2:$C$5,MATCH(C405,PlatformFees!$A$2:$A$5,0)),0)</f>
        <v>0</v>
      </c>
      <c r="K405" s="11">
        <f t="shared" si="24"/>
        <v>9800</v>
      </c>
      <c r="L405" s="11">
        <f t="shared" si="25"/>
        <v>0</v>
      </c>
      <c r="M405" s="11">
        <f t="shared" si="26"/>
        <v>26000</v>
      </c>
      <c r="N405" s="10">
        <f t="shared" si="27"/>
        <v>0.72625698324022347</v>
      </c>
    </row>
    <row r="406" spans="1:14" x14ac:dyDescent="0.3">
      <c r="A406" s="9" t="s">
        <v>477</v>
      </c>
      <c r="B406" s="9" t="s">
        <v>474</v>
      </c>
      <c r="C406" s="9" t="s">
        <v>36</v>
      </c>
      <c r="D406" s="9" t="s">
        <v>20</v>
      </c>
      <c r="E406" s="9">
        <v>3</v>
      </c>
      <c r="F406" s="11">
        <v>164100</v>
      </c>
      <c r="G406" s="9" t="str">
        <f>INDEX(Products!$B$2:$B$9,MATCH(D406,Products!$A$2:$A$9,0))</f>
        <v>Trà cà leo gai giảm cân</v>
      </c>
      <c r="H406" s="9" t="str">
        <f>INDEX(Products!$C$2:$C$9,MATCH(D406,Products!$A$2:$A$9,0))</f>
        <v>Detox</v>
      </c>
      <c r="I406" s="11">
        <f>INDEX(Products!$D$2:$D$9,MATCH(D406,Products!$A$2:$A$9,0))</f>
        <v>15000</v>
      </c>
      <c r="J406" s="10">
        <f>IFERROR(INDEX(PlatformFees!$C$2:$C$5,MATCH(C406,PlatformFees!$A$2:$A$5,0)),0)</f>
        <v>0.13</v>
      </c>
      <c r="K406" s="11">
        <f t="shared" si="24"/>
        <v>45000</v>
      </c>
      <c r="L406" s="11">
        <f t="shared" si="25"/>
        <v>21333</v>
      </c>
      <c r="M406" s="11">
        <f t="shared" si="26"/>
        <v>97767</v>
      </c>
      <c r="N406" s="10">
        <f t="shared" si="27"/>
        <v>0.59577696526508228</v>
      </c>
    </row>
    <row r="407" spans="1:14" x14ac:dyDescent="0.3">
      <c r="A407" s="9" t="s">
        <v>478</v>
      </c>
      <c r="B407" s="9" t="s">
        <v>474</v>
      </c>
      <c r="C407" s="9" t="s">
        <v>40</v>
      </c>
      <c r="D407" s="9" t="s">
        <v>12</v>
      </c>
      <c r="E407" s="9">
        <v>2</v>
      </c>
      <c r="F407" s="11">
        <v>69600</v>
      </c>
      <c r="G407" s="9" t="str">
        <f>INDEX(Products!$B$2:$B$9,MATCH(D407,Products!$A$2:$A$9,0))</f>
        <v>Trà atiso thanh lọc</v>
      </c>
      <c r="H407" s="9" t="str">
        <f>INDEX(Products!$C$2:$C$9,MATCH(D407,Products!$A$2:$A$9,0))</f>
        <v>Thanh lọc</v>
      </c>
      <c r="I407" s="11">
        <f>INDEX(Products!$D$2:$D$9,MATCH(D407,Products!$A$2:$A$9,0))</f>
        <v>9000</v>
      </c>
      <c r="J407" s="10">
        <f>IFERROR(INDEX(PlatformFees!$C$2:$C$5,MATCH(C407,PlatformFees!$A$2:$A$5,0)),0)</f>
        <v>0</v>
      </c>
      <c r="K407" s="11">
        <f t="shared" si="24"/>
        <v>18000</v>
      </c>
      <c r="L407" s="11">
        <f t="shared" si="25"/>
        <v>0</v>
      </c>
      <c r="M407" s="11">
        <f t="shared" si="26"/>
        <v>51600</v>
      </c>
      <c r="N407" s="10">
        <f t="shared" si="27"/>
        <v>0.74137931034482762</v>
      </c>
    </row>
    <row r="408" spans="1:14" x14ac:dyDescent="0.3">
      <c r="A408" s="9" t="s">
        <v>479</v>
      </c>
      <c r="B408" s="9" t="s">
        <v>474</v>
      </c>
      <c r="C408" s="9" t="s">
        <v>36</v>
      </c>
      <c r="D408" s="9" t="s">
        <v>15</v>
      </c>
      <c r="E408" s="9">
        <v>1</v>
      </c>
      <c r="F408" s="11">
        <v>32200</v>
      </c>
      <c r="G408" s="9" t="str">
        <f>INDEX(Products!$B$2:$B$9,MATCH(D408,Products!$A$2:$A$9,0))</f>
        <v>Trà lá nam sen ổi</v>
      </c>
      <c r="H408" s="9" t="str">
        <f>INDEX(Products!$C$2:$C$9,MATCH(D408,Products!$A$2:$A$9,0))</f>
        <v>Thanh lọc</v>
      </c>
      <c r="I408" s="11">
        <f>INDEX(Products!$D$2:$D$9,MATCH(D408,Products!$A$2:$A$9,0))</f>
        <v>8500</v>
      </c>
      <c r="J408" s="10">
        <f>IFERROR(INDEX(PlatformFees!$C$2:$C$5,MATCH(C408,PlatformFees!$A$2:$A$5,0)),0)</f>
        <v>0.13</v>
      </c>
      <c r="K408" s="11">
        <f t="shared" si="24"/>
        <v>8500</v>
      </c>
      <c r="L408" s="11">
        <f t="shared" si="25"/>
        <v>4186</v>
      </c>
      <c r="M408" s="11">
        <f t="shared" si="26"/>
        <v>19514</v>
      </c>
      <c r="N408" s="10">
        <f t="shared" si="27"/>
        <v>0.60602484472049689</v>
      </c>
    </row>
    <row r="409" spans="1:14" x14ac:dyDescent="0.3">
      <c r="A409" s="9" t="s">
        <v>480</v>
      </c>
      <c r="B409" s="9" t="s">
        <v>474</v>
      </c>
      <c r="C409" s="9" t="s">
        <v>36</v>
      </c>
      <c r="D409" s="9" t="s">
        <v>17</v>
      </c>
      <c r="E409" s="9">
        <v>2</v>
      </c>
      <c r="F409" s="11">
        <v>77600</v>
      </c>
      <c r="G409" s="9" t="str">
        <f>INDEX(Products!$B$2:$B$9,MATCH(D409,Products!$A$2:$A$9,0))</f>
        <v>Trà diếp cá rau má</v>
      </c>
      <c r="H409" s="9" t="str">
        <f>INDEX(Products!$C$2:$C$9,MATCH(D409,Products!$A$2:$A$9,0))</f>
        <v>Detox</v>
      </c>
      <c r="I409" s="11">
        <f>INDEX(Products!$D$2:$D$9,MATCH(D409,Products!$A$2:$A$9,0))</f>
        <v>10500</v>
      </c>
      <c r="J409" s="10">
        <f>IFERROR(INDEX(PlatformFees!$C$2:$C$5,MATCH(C409,PlatformFees!$A$2:$A$5,0)),0)</f>
        <v>0.13</v>
      </c>
      <c r="K409" s="11">
        <f t="shared" si="24"/>
        <v>21000</v>
      </c>
      <c r="L409" s="11">
        <f t="shared" si="25"/>
        <v>10088</v>
      </c>
      <c r="M409" s="11">
        <f t="shared" si="26"/>
        <v>46512</v>
      </c>
      <c r="N409" s="10">
        <f t="shared" si="27"/>
        <v>0.59938144329896903</v>
      </c>
    </row>
    <row r="410" spans="1:14" x14ac:dyDescent="0.3">
      <c r="A410" s="9" t="s">
        <v>481</v>
      </c>
      <c r="B410" s="9" t="s">
        <v>474</v>
      </c>
      <c r="C410" s="9" t="s">
        <v>36</v>
      </c>
      <c r="D410" s="9" t="s">
        <v>20</v>
      </c>
      <c r="E410" s="9">
        <v>1</v>
      </c>
      <c r="F410" s="11">
        <v>52900</v>
      </c>
      <c r="G410" s="9" t="str">
        <f>INDEX(Products!$B$2:$B$9,MATCH(D410,Products!$A$2:$A$9,0))</f>
        <v>Trà cà leo gai giảm cân</v>
      </c>
      <c r="H410" s="9" t="str">
        <f>INDEX(Products!$C$2:$C$9,MATCH(D410,Products!$A$2:$A$9,0))</f>
        <v>Detox</v>
      </c>
      <c r="I410" s="11">
        <f>INDEX(Products!$D$2:$D$9,MATCH(D410,Products!$A$2:$A$9,0))</f>
        <v>15000</v>
      </c>
      <c r="J410" s="10">
        <f>IFERROR(INDEX(PlatformFees!$C$2:$C$5,MATCH(C410,PlatformFees!$A$2:$A$5,0)),0)</f>
        <v>0.13</v>
      </c>
      <c r="K410" s="11">
        <f t="shared" si="24"/>
        <v>15000</v>
      </c>
      <c r="L410" s="11">
        <f t="shared" si="25"/>
        <v>6877</v>
      </c>
      <c r="M410" s="11">
        <f t="shared" si="26"/>
        <v>31023</v>
      </c>
      <c r="N410" s="10">
        <f t="shared" si="27"/>
        <v>0.58644612476370506</v>
      </c>
    </row>
    <row r="411" spans="1:14" x14ac:dyDescent="0.3">
      <c r="A411" s="9" t="s">
        <v>482</v>
      </c>
      <c r="B411" s="9" t="s">
        <v>474</v>
      </c>
      <c r="C411" s="9" t="s">
        <v>39</v>
      </c>
      <c r="D411" s="9" t="s">
        <v>25</v>
      </c>
      <c r="E411" s="9">
        <v>2</v>
      </c>
      <c r="F411" s="11">
        <v>65300</v>
      </c>
      <c r="G411" s="9" t="str">
        <f>INDEX(Products!$B$2:$B$9,MATCH(D411,Products!$A$2:$A$9,0))</f>
        <v>Trà hoa đậu biếc</v>
      </c>
      <c r="H411" s="9" t="str">
        <f>INDEX(Products!$C$2:$C$9,MATCH(D411,Products!$A$2:$A$9,0))</f>
        <v>An thần</v>
      </c>
      <c r="I411" s="11">
        <f>INDEX(Products!$D$2:$D$9,MATCH(D411,Products!$A$2:$A$9,0))</f>
        <v>8800</v>
      </c>
      <c r="J411" s="10">
        <f>IFERROR(INDEX(PlatformFees!$C$2:$C$5,MATCH(C411,PlatformFees!$A$2:$A$5,0)),0)</f>
        <v>0</v>
      </c>
      <c r="K411" s="11">
        <f t="shared" si="24"/>
        <v>17600</v>
      </c>
      <c r="L411" s="11">
        <f t="shared" si="25"/>
        <v>0</v>
      </c>
      <c r="M411" s="11">
        <f t="shared" si="26"/>
        <v>47700</v>
      </c>
      <c r="N411" s="10">
        <f t="shared" si="27"/>
        <v>0.73047473200612556</v>
      </c>
    </row>
    <row r="412" spans="1:14" x14ac:dyDescent="0.3">
      <c r="A412" s="9" t="s">
        <v>483</v>
      </c>
      <c r="B412" s="9" t="s">
        <v>474</v>
      </c>
      <c r="C412" s="9" t="s">
        <v>36</v>
      </c>
      <c r="D412" s="9" t="s">
        <v>17</v>
      </c>
      <c r="E412" s="9">
        <v>1</v>
      </c>
      <c r="F412" s="11">
        <v>38800</v>
      </c>
      <c r="G412" s="9" t="str">
        <f>INDEX(Products!$B$2:$B$9,MATCH(D412,Products!$A$2:$A$9,0))</f>
        <v>Trà diếp cá rau má</v>
      </c>
      <c r="H412" s="9" t="str">
        <f>INDEX(Products!$C$2:$C$9,MATCH(D412,Products!$A$2:$A$9,0))</f>
        <v>Detox</v>
      </c>
      <c r="I412" s="11">
        <f>INDEX(Products!$D$2:$D$9,MATCH(D412,Products!$A$2:$A$9,0))</f>
        <v>10500</v>
      </c>
      <c r="J412" s="10">
        <f>IFERROR(INDEX(PlatformFees!$C$2:$C$5,MATCH(C412,PlatformFees!$A$2:$A$5,0)),0)</f>
        <v>0.13</v>
      </c>
      <c r="K412" s="11">
        <f t="shared" si="24"/>
        <v>10500</v>
      </c>
      <c r="L412" s="11">
        <f t="shared" si="25"/>
        <v>5044</v>
      </c>
      <c r="M412" s="11">
        <f t="shared" si="26"/>
        <v>23256</v>
      </c>
      <c r="N412" s="10">
        <f t="shared" si="27"/>
        <v>0.59938144329896903</v>
      </c>
    </row>
    <row r="413" spans="1:14" x14ac:dyDescent="0.3">
      <c r="A413" s="9" t="s">
        <v>484</v>
      </c>
      <c r="B413" s="9" t="s">
        <v>474</v>
      </c>
      <c r="C413" s="9" t="s">
        <v>36</v>
      </c>
      <c r="D413" s="9" t="s">
        <v>20</v>
      </c>
      <c r="E413" s="9">
        <v>2</v>
      </c>
      <c r="F413" s="11">
        <v>102600</v>
      </c>
      <c r="G413" s="9" t="str">
        <f>INDEX(Products!$B$2:$B$9,MATCH(D413,Products!$A$2:$A$9,0))</f>
        <v>Trà cà leo gai giảm cân</v>
      </c>
      <c r="H413" s="9" t="str">
        <f>INDEX(Products!$C$2:$C$9,MATCH(D413,Products!$A$2:$A$9,0))</f>
        <v>Detox</v>
      </c>
      <c r="I413" s="11">
        <f>INDEX(Products!$D$2:$D$9,MATCH(D413,Products!$A$2:$A$9,0))</f>
        <v>15000</v>
      </c>
      <c r="J413" s="10">
        <f>IFERROR(INDEX(PlatformFees!$C$2:$C$5,MATCH(C413,PlatformFees!$A$2:$A$5,0)),0)</f>
        <v>0.13</v>
      </c>
      <c r="K413" s="11">
        <f t="shared" si="24"/>
        <v>30000</v>
      </c>
      <c r="L413" s="11">
        <f t="shared" si="25"/>
        <v>13338</v>
      </c>
      <c r="M413" s="11">
        <f t="shared" si="26"/>
        <v>59262</v>
      </c>
      <c r="N413" s="10">
        <f t="shared" si="27"/>
        <v>0.57760233918128656</v>
      </c>
    </row>
    <row r="414" spans="1:14" x14ac:dyDescent="0.3">
      <c r="A414" s="9" t="s">
        <v>485</v>
      </c>
      <c r="B414" s="9" t="s">
        <v>474</v>
      </c>
      <c r="C414" s="9" t="s">
        <v>39</v>
      </c>
      <c r="D414" s="9" t="s">
        <v>25</v>
      </c>
      <c r="E414" s="9">
        <v>1</v>
      </c>
      <c r="F414" s="11">
        <v>35000</v>
      </c>
      <c r="G414" s="9" t="str">
        <f>INDEX(Products!$B$2:$B$9,MATCH(D414,Products!$A$2:$A$9,0))</f>
        <v>Trà hoa đậu biếc</v>
      </c>
      <c r="H414" s="9" t="str">
        <f>INDEX(Products!$C$2:$C$9,MATCH(D414,Products!$A$2:$A$9,0))</f>
        <v>An thần</v>
      </c>
      <c r="I414" s="11">
        <f>INDEX(Products!$D$2:$D$9,MATCH(D414,Products!$A$2:$A$9,0))</f>
        <v>8800</v>
      </c>
      <c r="J414" s="10">
        <f>IFERROR(INDEX(PlatformFees!$C$2:$C$5,MATCH(C414,PlatformFees!$A$2:$A$5,0)),0)</f>
        <v>0</v>
      </c>
      <c r="K414" s="11">
        <f t="shared" si="24"/>
        <v>8800</v>
      </c>
      <c r="L414" s="11">
        <f t="shared" si="25"/>
        <v>0</v>
      </c>
      <c r="M414" s="11">
        <f t="shared" si="26"/>
        <v>26200</v>
      </c>
      <c r="N414" s="10">
        <f t="shared" si="27"/>
        <v>0.74857142857142855</v>
      </c>
    </row>
    <row r="415" spans="1:14" x14ac:dyDescent="0.3">
      <c r="A415" s="9" t="s">
        <v>486</v>
      </c>
      <c r="B415" s="9" t="s">
        <v>474</v>
      </c>
      <c r="C415" s="9" t="s">
        <v>36</v>
      </c>
      <c r="D415" s="9" t="s">
        <v>30</v>
      </c>
      <c r="E415" s="9">
        <v>2</v>
      </c>
      <c r="F415" s="11">
        <v>67800</v>
      </c>
      <c r="G415" s="9" t="str">
        <f>INDEX(Products!$B$2:$B$9,MATCH(D415,Products!$A$2:$A$9,0))</f>
        <v>Trà mâm xôi vitamin</v>
      </c>
      <c r="H415" s="9" t="str">
        <f>INDEX(Products!$C$2:$C$9,MATCH(D415,Products!$A$2:$A$9,0))</f>
        <v>Bổ sung dưỡng chất</v>
      </c>
      <c r="I415" s="11">
        <f>INDEX(Products!$D$2:$D$9,MATCH(D415,Products!$A$2:$A$9,0))</f>
        <v>9800</v>
      </c>
      <c r="J415" s="10">
        <f>IFERROR(INDEX(PlatformFees!$C$2:$C$5,MATCH(C415,PlatformFees!$A$2:$A$5,0)),0)</f>
        <v>0.13</v>
      </c>
      <c r="K415" s="11">
        <f t="shared" si="24"/>
        <v>19600</v>
      </c>
      <c r="L415" s="11">
        <f t="shared" si="25"/>
        <v>8814</v>
      </c>
      <c r="M415" s="11">
        <f t="shared" si="26"/>
        <v>39386</v>
      </c>
      <c r="N415" s="10">
        <f t="shared" si="27"/>
        <v>0.58091445427728616</v>
      </c>
    </row>
    <row r="416" spans="1:14" x14ac:dyDescent="0.3">
      <c r="A416" s="9" t="s">
        <v>487</v>
      </c>
      <c r="B416" s="9" t="s">
        <v>474</v>
      </c>
      <c r="C416" s="9" t="s">
        <v>36</v>
      </c>
      <c r="D416" s="9" t="s">
        <v>12</v>
      </c>
      <c r="E416" s="9">
        <v>1</v>
      </c>
      <c r="F416" s="11">
        <v>35700</v>
      </c>
      <c r="G416" s="9" t="str">
        <f>INDEX(Products!$B$2:$B$9,MATCH(D416,Products!$A$2:$A$9,0))</f>
        <v>Trà atiso thanh lọc</v>
      </c>
      <c r="H416" s="9" t="str">
        <f>INDEX(Products!$C$2:$C$9,MATCH(D416,Products!$A$2:$A$9,0))</f>
        <v>Thanh lọc</v>
      </c>
      <c r="I416" s="11">
        <f>INDEX(Products!$D$2:$D$9,MATCH(D416,Products!$A$2:$A$9,0))</f>
        <v>9000</v>
      </c>
      <c r="J416" s="10">
        <f>IFERROR(INDEX(PlatformFees!$C$2:$C$5,MATCH(C416,PlatformFees!$A$2:$A$5,0)),0)</f>
        <v>0.13</v>
      </c>
      <c r="K416" s="11">
        <f t="shared" si="24"/>
        <v>9000</v>
      </c>
      <c r="L416" s="11">
        <f t="shared" si="25"/>
        <v>4641</v>
      </c>
      <c r="M416" s="11">
        <f t="shared" si="26"/>
        <v>22059</v>
      </c>
      <c r="N416" s="10">
        <f t="shared" si="27"/>
        <v>0.61789915966386555</v>
      </c>
    </row>
    <row r="417" spans="1:14" x14ac:dyDescent="0.3">
      <c r="A417" s="9" t="s">
        <v>488</v>
      </c>
      <c r="B417" s="9" t="s">
        <v>474</v>
      </c>
      <c r="C417" s="9" t="s">
        <v>36</v>
      </c>
      <c r="D417" s="9" t="s">
        <v>12</v>
      </c>
      <c r="E417" s="9">
        <v>3</v>
      </c>
      <c r="F417" s="11">
        <v>107800</v>
      </c>
      <c r="G417" s="9" t="str">
        <f>INDEX(Products!$B$2:$B$9,MATCH(D417,Products!$A$2:$A$9,0))</f>
        <v>Trà atiso thanh lọc</v>
      </c>
      <c r="H417" s="9" t="str">
        <f>INDEX(Products!$C$2:$C$9,MATCH(D417,Products!$A$2:$A$9,0))</f>
        <v>Thanh lọc</v>
      </c>
      <c r="I417" s="11">
        <f>INDEX(Products!$D$2:$D$9,MATCH(D417,Products!$A$2:$A$9,0))</f>
        <v>9000</v>
      </c>
      <c r="J417" s="10">
        <f>IFERROR(INDEX(PlatformFees!$C$2:$C$5,MATCH(C417,PlatformFees!$A$2:$A$5,0)),0)</f>
        <v>0.13</v>
      </c>
      <c r="K417" s="11">
        <f t="shared" si="24"/>
        <v>27000</v>
      </c>
      <c r="L417" s="11">
        <f t="shared" si="25"/>
        <v>14014</v>
      </c>
      <c r="M417" s="11">
        <f t="shared" si="26"/>
        <v>66786</v>
      </c>
      <c r="N417" s="10">
        <f t="shared" si="27"/>
        <v>0.61953617810760664</v>
      </c>
    </row>
    <row r="418" spans="1:14" x14ac:dyDescent="0.3">
      <c r="A418" s="9" t="s">
        <v>489</v>
      </c>
      <c r="B418" s="9" t="s">
        <v>474</v>
      </c>
      <c r="C418" s="9" t="s">
        <v>40</v>
      </c>
      <c r="D418" s="9" t="s">
        <v>25</v>
      </c>
      <c r="E418" s="9">
        <v>3</v>
      </c>
      <c r="F418" s="11">
        <v>94600</v>
      </c>
      <c r="G418" s="9" t="str">
        <f>INDEX(Products!$B$2:$B$9,MATCH(D418,Products!$A$2:$A$9,0))</f>
        <v>Trà hoa đậu biếc</v>
      </c>
      <c r="H418" s="9" t="str">
        <f>INDEX(Products!$C$2:$C$9,MATCH(D418,Products!$A$2:$A$9,0))</f>
        <v>An thần</v>
      </c>
      <c r="I418" s="11">
        <f>INDEX(Products!$D$2:$D$9,MATCH(D418,Products!$A$2:$A$9,0))</f>
        <v>8800</v>
      </c>
      <c r="J418" s="10">
        <f>IFERROR(INDEX(PlatformFees!$C$2:$C$5,MATCH(C418,PlatformFees!$A$2:$A$5,0)),0)</f>
        <v>0</v>
      </c>
      <c r="K418" s="11">
        <f t="shared" si="24"/>
        <v>26400</v>
      </c>
      <c r="L418" s="11">
        <f t="shared" si="25"/>
        <v>0</v>
      </c>
      <c r="M418" s="11">
        <f t="shared" si="26"/>
        <v>68200</v>
      </c>
      <c r="N418" s="10">
        <f t="shared" si="27"/>
        <v>0.72093023255813948</v>
      </c>
    </row>
    <row r="419" spans="1:14" x14ac:dyDescent="0.3">
      <c r="A419" s="9" t="s">
        <v>490</v>
      </c>
      <c r="B419" s="9" t="s">
        <v>491</v>
      </c>
      <c r="C419" s="9" t="s">
        <v>36</v>
      </c>
      <c r="D419" s="9" t="s">
        <v>17</v>
      </c>
      <c r="E419" s="9">
        <v>1</v>
      </c>
      <c r="F419" s="11">
        <v>41900</v>
      </c>
      <c r="G419" s="9" t="str">
        <f>INDEX(Products!$B$2:$B$9,MATCH(D419,Products!$A$2:$A$9,0))</f>
        <v>Trà diếp cá rau má</v>
      </c>
      <c r="H419" s="9" t="str">
        <f>INDEX(Products!$C$2:$C$9,MATCH(D419,Products!$A$2:$A$9,0))</f>
        <v>Detox</v>
      </c>
      <c r="I419" s="11">
        <f>INDEX(Products!$D$2:$D$9,MATCH(D419,Products!$A$2:$A$9,0))</f>
        <v>10500</v>
      </c>
      <c r="J419" s="10">
        <f>IFERROR(INDEX(PlatformFees!$C$2:$C$5,MATCH(C419,PlatformFees!$A$2:$A$5,0)),0)</f>
        <v>0.13</v>
      </c>
      <c r="K419" s="11">
        <f t="shared" si="24"/>
        <v>10500</v>
      </c>
      <c r="L419" s="11">
        <f t="shared" si="25"/>
        <v>5447</v>
      </c>
      <c r="M419" s="11">
        <f t="shared" si="26"/>
        <v>25953</v>
      </c>
      <c r="N419" s="10">
        <f t="shared" si="27"/>
        <v>0.61940334128878283</v>
      </c>
    </row>
    <row r="420" spans="1:14" x14ac:dyDescent="0.3">
      <c r="A420" s="9" t="s">
        <v>492</v>
      </c>
      <c r="B420" s="9" t="s">
        <v>491</v>
      </c>
      <c r="C420" s="9" t="s">
        <v>40</v>
      </c>
      <c r="D420" s="9" t="s">
        <v>25</v>
      </c>
      <c r="E420" s="9">
        <v>1</v>
      </c>
      <c r="F420" s="11">
        <v>33200</v>
      </c>
      <c r="G420" s="9" t="str">
        <f>INDEX(Products!$B$2:$B$9,MATCH(D420,Products!$A$2:$A$9,0))</f>
        <v>Trà hoa đậu biếc</v>
      </c>
      <c r="H420" s="9" t="str">
        <f>INDEX(Products!$C$2:$C$9,MATCH(D420,Products!$A$2:$A$9,0))</f>
        <v>An thần</v>
      </c>
      <c r="I420" s="11">
        <f>INDEX(Products!$D$2:$D$9,MATCH(D420,Products!$A$2:$A$9,0))</f>
        <v>8800</v>
      </c>
      <c r="J420" s="10">
        <f>IFERROR(INDEX(PlatformFees!$C$2:$C$5,MATCH(C420,PlatformFees!$A$2:$A$5,0)),0)</f>
        <v>0</v>
      </c>
      <c r="K420" s="11">
        <f t="shared" si="24"/>
        <v>8800</v>
      </c>
      <c r="L420" s="11">
        <f t="shared" si="25"/>
        <v>0</v>
      </c>
      <c r="M420" s="11">
        <f t="shared" si="26"/>
        <v>24400</v>
      </c>
      <c r="N420" s="10">
        <f t="shared" si="27"/>
        <v>0.73493975903614461</v>
      </c>
    </row>
    <row r="421" spans="1:14" x14ac:dyDescent="0.3">
      <c r="A421" s="9" t="s">
        <v>493</v>
      </c>
      <c r="B421" s="9" t="s">
        <v>491</v>
      </c>
      <c r="C421" s="9" t="s">
        <v>36</v>
      </c>
      <c r="D421" s="9" t="s">
        <v>17</v>
      </c>
      <c r="E421" s="9">
        <v>1</v>
      </c>
      <c r="F421" s="11">
        <v>39700</v>
      </c>
      <c r="G421" s="9" t="str">
        <f>INDEX(Products!$B$2:$B$9,MATCH(D421,Products!$A$2:$A$9,0))</f>
        <v>Trà diếp cá rau má</v>
      </c>
      <c r="H421" s="9" t="str">
        <f>INDEX(Products!$C$2:$C$9,MATCH(D421,Products!$A$2:$A$9,0))</f>
        <v>Detox</v>
      </c>
      <c r="I421" s="11">
        <f>INDEX(Products!$D$2:$D$9,MATCH(D421,Products!$A$2:$A$9,0))</f>
        <v>10500</v>
      </c>
      <c r="J421" s="10">
        <f>IFERROR(INDEX(PlatformFees!$C$2:$C$5,MATCH(C421,PlatformFees!$A$2:$A$5,0)),0)</f>
        <v>0.13</v>
      </c>
      <c r="K421" s="11">
        <f t="shared" si="24"/>
        <v>10500</v>
      </c>
      <c r="L421" s="11">
        <f t="shared" si="25"/>
        <v>5161</v>
      </c>
      <c r="M421" s="11">
        <f t="shared" si="26"/>
        <v>24039</v>
      </c>
      <c r="N421" s="10">
        <f t="shared" si="27"/>
        <v>0.60551637279596982</v>
      </c>
    </row>
    <row r="422" spans="1:14" x14ac:dyDescent="0.3">
      <c r="A422" s="9" t="s">
        <v>494</v>
      </c>
      <c r="B422" s="9" t="s">
        <v>491</v>
      </c>
      <c r="C422" s="9" t="s">
        <v>38</v>
      </c>
      <c r="D422" s="9" t="s">
        <v>17</v>
      </c>
      <c r="E422" s="9">
        <v>2</v>
      </c>
      <c r="F422" s="11">
        <v>80700</v>
      </c>
      <c r="G422" s="9" t="str">
        <f>INDEX(Products!$B$2:$B$9,MATCH(D422,Products!$A$2:$A$9,0))</f>
        <v>Trà diếp cá rau má</v>
      </c>
      <c r="H422" s="9" t="str">
        <f>INDEX(Products!$C$2:$C$9,MATCH(D422,Products!$A$2:$A$9,0))</f>
        <v>Detox</v>
      </c>
      <c r="I422" s="11">
        <f>INDEX(Products!$D$2:$D$9,MATCH(D422,Products!$A$2:$A$9,0))</f>
        <v>10500</v>
      </c>
      <c r="J422" s="10">
        <f>IFERROR(INDEX(PlatformFees!$C$2:$C$5,MATCH(C422,PlatformFees!$A$2:$A$5,0)),0)</f>
        <v>0.16</v>
      </c>
      <c r="K422" s="11">
        <f t="shared" si="24"/>
        <v>21000</v>
      </c>
      <c r="L422" s="11">
        <f t="shared" si="25"/>
        <v>12912</v>
      </c>
      <c r="M422" s="11">
        <f t="shared" si="26"/>
        <v>46788</v>
      </c>
      <c r="N422" s="10">
        <f t="shared" si="27"/>
        <v>0.57977695167286247</v>
      </c>
    </row>
    <row r="423" spans="1:14" x14ac:dyDescent="0.3">
      <c r="A423" s="9" t="s">
        <v>495</v>
      </c>
      <c r="B423" s="9" t="s">
        <v>491</v>
      </c>
      <c r="C423" s="9" t="s">
        <v>39</v>
      </c>
      <c r="D423" s="9" t="s">
        <v>22</v>
      </c>
      <c r="E423" s="9">
        <v>2</v>
      </c>
      <c r="F423" s="11">
        <v>77300</v>
      </c>
      <c r="G423" s="9" t="str">
        <f>INDEX(Products!$B$2:$B$9,MATCH(D423,Products!$A$2:$A$9,0))</f>
        <v>Trà hoa cúc an thần</v>
      </c>
      <c r="H423" s="9" t="str">
        <f>INDEX(Products!$C$2:$C$9,MATCH(D423,Products!$A$2:$A$9,0))</f>
        <v>An thần</v>
      </c>
      <c r="I423" s="11">
        <f>INDEX(Products!$D$2:$D$9,MATCH(D423,Products!$A$2:$A$9,0))</f>
        <v>9500</v>
      </c>
      <c r="J423" s="10">
        <f>IFERROR(INDEX(PlatformFees!$C$2:$C$5,MATCH(C423,PlatformFees!$A$2:$A$5,0)),0)</f>
        <v>0</v>
      </c>
      <c r="K423" s="11">
        <f t="shared" si="24"/>
        <v>19000</v>
      </c>
      <c r="L423" s="11">
        <f t="shared" si="25"/>
        <v>0</v>
      </c>
      <c r="M423" s="11">
        <f t="shared" si="26"/>
        <v>58300</v>
      </c>
      <c r="N423" s="10">
        <f t="shared" si="27"/>
        <v>0.75420439844760667</v>
      </c>
    </row>
    <row r="424" spans="1:14" x14ac:dyDescent="0.3">
      <c r="A424" s="9" t="s">
        <v>496</v>
      </c>
      <c r="B424" s="9" t="s">
        <v>491</v>
      </c>
      <c r="C424" s="9" t="s">
        <v>36</v>
      </c>
      <c r="D424" s="9" t="s">
        <v>17</v>
      </c>
      <c r="E424" s="9">
        <v>3</v>
      </c>
      <c r="F424" s="11">
        <v>125900</v>
      </c>
      <c r="G424" s="9" t="str">
        <f>INDEX(Products!$B$2:$B$9,MATCH(D424,Products!$A$2:$A$9,0))</f>
        <v>Trà diếp cá rau má</v>
      </c>
      <c r="H424" s="9" t="str">
        <f>INDEX(Products!$C$2:$C$9,MATCH(D424,Products!$A$2:$A$9,0))</f>
        <v>Detox</v>
      </c>
      <c r="I424" s="11">
        <f>INDEX(Products!$D$2:$D$9,MATCH(D424,Products!$A$2:$A$9,0))</f>
        <v>10500</v>
      </c>
      <c r="J424" s="10">
        <f>IFERROR(INDEX(PlatformFees!$C$2:$C$5,MATCH(C424,PlatformFees!$A$2:$A$5,0)),0)</f>
        <v>0.13</v>
      </c>
      <c r="K424" s="11">
        <f t="shared" si="24"/>
        <v>31500</v>
      </c>
      <c r="L424" s="11">
        <f t="shared" si="25"/>
        <v>16367</v>
      </c>
      <c r="M424" s="11">
        <f t="shared" si="26"/>
        <v>78033</v>
      </c>
      <c r="N424" s="10">
        <f t="shared" si="27"/>
        <v>0.61980142970611596</v>
      </c>
    </row>
    <row r="425" spans="1:14" x14ac:dyDescent="0.3">
      <c r="A425" s="9" t="s">
        <v>497</v>
      </c>
      <c r="B425" s="9" t="s">
        <v>491</v>
      </c>
      <c r="C425" s="9" t="s">
        <v>38</v>
      </c>
      <c r="D425" s="9" t="s">
        <v>25</v>
      </c>
      <c r="E425" s="9">
        <v>2</v>
      </c>
      <c r="F425" s="11">
        <v>63100</v>
      </c>
      <c r="G425" s="9" t="str">
        <f>INDEX(Products!$B$2:$B$9,MATCH(D425,Products!$A$2:$A$9,0))</f>
        <v>Trà hoa đậu biếc</v>
      </c>
      <c r="H425" s="9" t="str">
        <f>INDEX(Products!$C$2:$C$9,MATCH(D425,Products!$A$2:$A$9,0))</f>
        <v>An thần</v>
      </c>
      <c r="I425" s="11">
        <f>INDEX(Products!$D$2:$D$9,MATCH(D425,Products!$A$2:$A$9,0))</f>
        <v>8800</v>
      </c>
      <c r="J425" s="10">
        <f>IFERROR(INDEX(PlatformFees!$C$2:$C$5,MATCH(C425,PlatformFees!$A$2:$A$5,0)),0)</f>
        <v>0.16</v>
      </c>
      <c r="K425" s="11">
        <f t="shared" si="24"/>
        <v>17600</v>
      </c>
      <c r="L425" s="11">
        <f t="shared" si="25"/>
        <v>10096</v>
      </c>
      <c r="M425" s="11">
        <f t="shared" si="26"/>
        <v>35404</v>
      </c>
      <c r="N425" s="10">
        <f t="shared" si="27"/>
        <v>0.56107765451664027</v>
      </c>
    </row>
    <row r="426" spans="1:14" x14ac:dyDescent="0.3">
      <c r="A426" s="9" t="s">
        <v>498</v>
      </c>
      <c r="B426" s="9" t="s">
        <v>491</v>
      </c>
      <c r="C426" s="9" t="s">
        <v>40</v>
      </c>
      <c r="D426" s="9" t="s">
        <v>25</v>
      </c>
      <c r="E426" s="9">
        <v>2</v>
      </c>
      <c r="F426" s="11">
        <v>66000</v>
      </c>
      <c r="G426" s="9" t="str">
        <f>INDEX(Products!$B$2:$B$9,MATCH(D426,Products!$A$2:$A$9,0))</f>
        <v>Trà hoa đậu biếc</v>
      </c>
      <c r="H426" s="9" t="str">
        <f>INDEX(Products!$C$2:$C$9,MATCH(D426,Products!$A$2:$A$9,0))</f>
        <v>An thần</v>
      </c>
      <c r="I426" s="11">
        <f>INDEX(Products!$D$2:$D$9,MATCH(D426,Products!$A$2:$A$9,0))</f>
        <v>8800</v>
      </c>
      <c r="J426" s="10">
        <f>IFERROR(INDEX(PlatformFees!$C$2:$C$5,MATCH(C426,PlatformFees!$A$2:$A$5,0)),0)</f>
        <v>0</v>
      </c>
      <c r="K426" s="11">
        <f t="shared" si="24"/>
        <v>17600</v>
      </c>
      <c r="L426" s="11">
        <f t="shared" si="25"/>
        <v>0</v>
      </c>
      <c r="M426" s="11">
        <f t="shared" si="26"/>
        <v>48400</v>
      </c>
      <c r="N426" s="10">
        <f t="shared" si="27"/>
        <v>0.73333333333333328</v>
      </c>
    </row>
    <row r="427" spans="1:14" x14ac:dyDescent="0.3">
      <c r="A427" s="9" t="s">
        <v>499</v>
      </c>
      <c r="B427" s="9" t="s">
        <v>491</v>
      </c>
      <c r="C427" s="9" t="s">
        <v>38</v>
      </c>
      <c r="D427" s="9" t="s">
        <v>15</v>
      </c>
      <c r="E427" s="9">
        <v>2</v>
      </c>
      <c r="F427" s="11">
        <v>63400</v>
      </c>
      <c r="G427" s="9" t="str">
        <f>INDEX(Products!$B$2:$B$9,MATCH(D427,Products!$A$2:$A$9,0))</f>
        <v>Trà lá nam sen ổi</v>
      </c>
      <c r="H427" s="9" t="str">
        <f>INDEX(Products!$C$2:$C$9,MATCH(D427,Products!$A$2:$A$9,0))</f>
        <v>Thanh lọc</v>
      </c>
      <c r="I427" s="11">
        <f>INDEX(Products!$D$2:$D$9,MATCH(D427,Products!$A$2:$A$9,0))</f>
        <v>8500</v>
      </c>
      <c r="J427" s="10">
        <f>IFERROR(INDEX(PlatformFees!$C$2:$C$5,MATCH(C427,PlatformFees!$A$2:$A$5,0)),0)</f>
        <v>0.16</v>
      </c>
      <c r="K427" s="11">
        <f t="shared" si="24"/>
        <v>17000</v>
      </c>
      <c r="L427" s="11">
        <f t="shared" si="25"/>
        <v>10144</v>
      </c>
      <c r="M427" s="11">
        <f t="shared" si="26"/>
        <v>36256</v>
      </c>
      <c r="N427" s="10">
        <f t="shared" si="27"/>
        <v>0.57186119873817032</v>
      </c>
    </row>
    <row r="428" spans="1:14" x14ac:dyDescent="0.3">
      <c r="A428" s="9" t="s">
        <v>500</v>
      </c>
      <c r="B428" s="9" t="s">
        <v>491</v>
      </c>
      <c r="C428" s="9" t="s">
        <v>36</v>
      </c>
      <c r="D428" s="9" t="s">
        <v>30</v>
      </c>
      <c r="E428" s="9">
        <v>2</v>
      </c>
      <c r="F428" s="11">
        <v>70200</v>
      </c>
      <c r="G428" s="9" t="str">
        <f>INDEX(Products!$B$2:$B$9,MATCH(D428,Products!$A$2:$A$9,0))</f>
        <v>Trà mâm xôi vitamin</v>
      </c>
      <c r="H428" s="9" t="str">
        <f>INDEX(Products!$C$2:$C$9,MATCH(D428,Products!$A$2:$A$9,0))</f>
        <v>Bổ sung dưỡng chất</v>
      </c>
      <c r="I428" s="11">
        <f>INDEX(Products!$D$2:$D$9,MATCH(D428,Products!$A$2:$A$9,0))</f>
        <v>9800</v>
      </c>
      <c r="J428" s="10">
        <f>IFERROR(INDEX(PlatformFees!$C$2:$C$5,MATCH(C428,PlatformFees!$A$2:$A$5,0)),0)</f>
        <v>0.13</v>
      </c>
      <c r="K428" s="11">
        <f t="shared" si="24"/>
        <v>19600</v>
      </c>
      <c r="L428" s="11">
        <f t="shared" si="25"/>
        <v>9126</v>
      </c>
      <c r="M428" s="11">
        <f t="shared" si="26"/>
        <v>41474</v>
      </c>
      <c r="N428" s="10">
        <f t="shared" si="27"/>
        <v>0.59079772079772075</v>
      </c>
    </row>
    <row r="429" spans="1:14" x14ac:dyDescent="0.3">
      <c r="A429" s="9" t="s">
        <v>501</v>
      </c>
      <c r="B429" s="9" t="s">
        <v>491</v>
      </c>
      <c r="C429" s="9" t="s">
        <v>39</v>
      </c>
      <c r="D429" s="9" t="s">
        <v>27</v>
      </c>
      <c r="E429" s="9">
        <v>2</v>
      </c>
      <c r="F429" s="11">
        <v>74900</v>
      </c>
      <c r="G429" s="9" t="str">
        <f>INDEX(Products!$B$2:$B$9,MATCH(D429,Products!$A$2:$A$9,0))</f>
        <v>Trà gừng mật ong</v>
      </c>
      <c r="H429" s="9" t="str">
        <f>INDEX(Products!$C$2:$C$9,MATCH(D429,Products!$A$2:$A$9,0))</f>
        <v>Giữ ấm</v>
      </c>
      <c r="I429" s="11">
        <f>INDEX(Products!$D$2:$D$9,MATCH(D429,Products!$A$2:$A$9,0))</f>
        <v>11000</v>
      </c>
      <c r="J429" s="10">
        <f>IFERROR(INDEX(PlatformFees!$C$2:$C$5,MATCH(C429,PlatformFees!$A$2:$A$5,0)),0)</f>
        <v>0</v>
      </c>
      <c r="K429" s="11">
        <f t="shared" si="24"/>
        <v>22000</v>
      </c>
      <c r="L429" s="11">
        <f t="shared" si="25"/>
        <v>0</v>
      </c>
      <c r="M429" s="11">
        <f t="shared" si="26"/>
        <v>52900</v>
      </c>
      <c r="N429" s="10">
        <f t="shared" si="27"/>
        <v>0.70627503337783715</v>
      </c>
    </row>
    <row r="430" spans="1:14" x14ac:dyDescent="0.3">
      <c r="A430" s="9" t="s">
        <v>502</v>
      </c>
      <c r="B430" s="9" t="s">
        <v>491</v>
      </c>
      <c r="C430" s="9" t="s">
        <v>36</v>
      </c>
      <c r="D430" s="9" t="s">
        <v>17</v>
      </c>
      <c r="E430" s="9">
        <v>3</v>
      </c>
      <c r="F430" s="11">
        <v>119000</v>
      </c>
      <c r="G430" s="9" t="str">
        <f>INDEX(Products!$B$2:$B$9,MATCH(D430,Products!$A$2:$A$9,0))</f>
        <v>Trà diếp cá rau má</v>
      </c>
      <c r="H430" s="9" t="str">
        <f>INDEX(Products!$C$2:$C$9,MATCH(D430,Products!$A$2:$A$9,0))</f>
        <v>Detox</v>
      </c>
      <c r="I430" s="11">
        <f>INDEX(Products!$D$2:$D$9,MATCH(D430,Products!$A$2:$A$9,0))</f>
        <v>10500</v>
      </c>
      <c r="J430" s="10">
        <f>IFERROR(INDEX(PlatformFees!$C$2:$C$5,MATCH(C430,PlatformFees!$A$2:$A$5,0)),0)</f>
        <v>0.13</v>
      </c>
      <c r="K430" s="11">
        <f t="shared" si="24"/>
        <v>31500</v>
      </c>
      <c r="L430" s="11">
        <f t="shared" si="25"/>
        <v>15470</v>
      </c>
      <c r="M430" s="11">
        <f t="shared" si="26"/>
        <v>72030</v>
      </c>
      <c r="N430" s="10">
        <f t="shared" si="27"/>
        <v>0.60529411764705887</v>
      </c>
    </row>
    <row r="431" spans="1:14" x14ac:dyDescent="0.3">
      <c r="A431" s="9" t="s">
        <v>503</v>
      </c>
      <c r="B431" s="9" t="s">
        <v>491</v>
      </c>
      <c r="C431" s="9" t="s">
        <v>40</v>
      </c>
      <c r="D431" s="9" t="s">
        <v>22</v>
      </c>
      <c r="E431" s="9">
        <v>1</v>
      </c>
      <c r="F431" s="11">
        <v>38500</v>
      </c>
      <c r="G431" s="9" t="str">
        <f>INDEX(Products!$B$2:$B$9,MATCH(D431,Products!$A$2:$A$9,0))</f>
        <v>Trà hoa cúc an thần</v>
      </c>
      <c r="H431" s="9" t="str">
        <f>INDEX(Products!$C$2:$C$9,MATCH(D431,Products!$A$2:$A$9,0))</f>
        <v>An thần</v>
      </c>
      <c r="I431" s="11">
        <f>INDEX(Products!$D$2:$D$9,MATCH(D431,Products!$A$2:$A$9,0))</f>
        <v>9500</v>
      </c>
      <c r="J431" s="10">
        <f>IFERROR(INDEX(PlatformFees!$C$2:$C$5,MATCH(C431,PlatformFees!$A$2:$A$5,0)),0)</f>
        <v>0</v>
      </c>
      <c r="K431" s="11">
        <f t="shared" si="24"/>
        <v>9500</v>
      </c>
      <c r="L431" s="11">
        <f t="shared" si="25"/>
        <v>0</v>
      </c>
      <c r="M431" s="11">
        <f t="shared" si="26"/>
        <v>29000</v>
      </c>
      <c r="N431" s="10">
        <f t="shared" si="27"/>
        <v>0.75324675324675328</v>
      </c>
    </row>
    <row r="432" spans="1:14" x14ac:dyDescent="0.3">
      <c r="A432" s="9" t="s">
        <v>504</v>
      </c>
      <c r="B432" s="9" t="s">
        <v>491</v>
      </c>
      <c r="C432" s="9" t="s">
        <v>36</v>
      </c>
      <c r="D432" s="9" t="s">
        <v>22</v>
      </c>
      <c r="E432" s="9">
        <v>2</v>
      </c>
      <c r="F432" s="11">
        <v>72200</v>
      </c>
      <c r="G432" s="9" t="str">
        <f>INDEX(Products!$B$2:$B$9,MATCH(D432,Products!$A$2:$A$9,0))</f>
        <v>Trà hoa cúc an thần</v>
      </c>
      <c r="H432" s="9" t="str">
        <f>INDEX(Products!$C$2:$C$9,MATCH(D432,Products!$A$2:$A$9,0))</f>
        <v>An thần</v>
      </c>
      <c r="I432" s="11">
        <f>INDEX(Products!$D$2:$D$9,MATCH(D432,Products!$A$2:$A$9,0))</f>
        <v>9500</v>
      </c>
      <c r="J432" s="10">
        <f>IFERROR(INDEX(PlatformFees!$C$2:$C$5,MATCH(C432,PlatformFees!$A$2:$A$5,0)),0)</f>
        <v>0.13</v>
      </c>
      <c r="K432" s="11">
        <f t="shared" si="24"/>
        <v>19000</v>
      </c>
      <c r="L432" s="11">
        <f t="shared" si="25"/>
        <v>9386</v>
      </c>
      <c r="M432" s="11">
        <f t="shared" si="26"/>
        <v>43814</v>
      </c>
      <c r="N432" s="10">
        <f t="shared" si="27"/>
        <v>0.60684210526315785</v>
      </c>
    </row>
    <row r="433" spans="1:14" x14ac:dyDescent="0.3">
      <c r="A433" s="9" t="s">
        <v>505</v>
      </c>
      <c r="B433" s="9" t="s">
        <v>491</v>
      </c>
      <c r="C433" s="9" t="s">
        <v>38</v>
      </c>
      <c r="D433" s="9" t="s">
        <v>22</v>
      </c>
      <c r="E433" s="9">
        <v>1</v>
      </c>
      <c r="F433" s="11">
        <v>37100</v>
      </c>
      <c r="G433" s="9" t="str">
        <f>INDEX(Products!$B$2:$B$9,MATCH(D433,Products!$A$2:$A$9,0))</f>
        <v>Trà hoa cúc an thần</v>
      </c>
      <c r="H433" s="9" t="str">
        <f>INDEX(Products!$C$2:$C$9,MATCH(D433,Products!$A$2:$A$9,0))</f>
        <v>An thần</v>
      </c>
      <c r="I433" s="11">
        <f>INDEX(Products!$D$2:$D$9,MATCH(D433,Products!$A$2:$A$9,0))</f>
        <v>9500</v>
      </c>
      <c r="J433" s="10">
        <f>IFERROR(INDEX(PlatformFees!$C$2:$C$5,MATCH(C433,PlatformFees!$A$2:$A$5,0)),0)</f>
        <v>0.16</v>
      </c>
      <c r="K433" s="11">
        <f t="shared" si="24"/>
        <v>9500</v>
      </c>
      <c r="L433" s="11">
        <f t="shared" si="25"/>
        <v>5936</v>
      </c>
      <c r="M433" s="11">
        <f t="shared" si="26"/>
        <v>21664</v>
      </c>
      <c r="N433" s="10">
        <f t="shared" si="27"/>
        <v>0.58393530997304577</v>
      </c>
    </row>
    <row r="434" spans="1:14" x14ac:dyDescent="0.3">
      <c r="A434" s="9" t="s">
        <v>506</v>
      </c>
      <c r="B434" s="9" t="s">
        <v>491</v>
      </c>
      <c r="C434" s="9" t="s">
        <v>36</v>
      </c>
      <c r="D434" s="9" t="s">
        <v>30</v>
      </c>
      <c r="E434" s="9">
        <v>1</v>
      </c>
      <c r="F434" s="11">
        <v>33800</v>
      </c>
      <c r="G434" s="9" t="str">
        <f>INDEX(Products!$B$2:$B$9,MATCH(D434,Products!$A$2:$A$9,0))</f>
        <v>Trà mâm xôi vitamin</v>
      </c>
      <c r="H434" s="9" t="str">
        <f>INDEX(Products!$C$2:$C$9,MATCH(D434,Products!$A$2:$A$9,0))</f>
        <v>Bổ sung dưỡng chất</v>
      </c>
      <c r="I434" s="11">
        <f>INDEX(Products!$D$2:$D$9,MATCH(D434,Products!$A$2:$A$9,0))</f>
        <v>9800</v>
      </c>
      <c r="J434" s="10">
        <f>IFERROR(INDEX(PlatformFees!$C$2:$C$5,MATCH(C434,PlatformFees!$A$2:$A$5,0)),0)</f>
        <v>0.13</v>
      </c>
      <c r="K434" s="11">
        <f t="shared" si="24"/>
        <v>9800</v>
      </c>
      <c r="L434" s="11">
        <f t="shared" si="25"/>
        <v>4394</v>
      </c>
      <c r="M434" s="11">
        <f t="shared" si="26"/>
        <v>19606</v>
      </c>
      <c r="N434" s="10">
        <f t="shared" si="27"/>
        <v>0.58005917159763309</v>
      </c>
    </row>
    <row r="435" spans="1:14" x14ac:dyDescent="0.3">
      <c r="A435" s="9" t="s">
        <v>507</v>
      </c>
      <c r="B435" s="9" t="s">
        <v>491</v>
      </c>
      <c r="C435" s="9" t="s">
        <v>38</v>
      </c>
      <c r="D435" s="9" t="s">
        <v>30</v>
      </c>
      <c r="E435" s="9">
        <v>1</v>
      </c>
      <c r="F435" s="11">
        <v>36500</v>
      </c>
      <c r="G435" s="9" t="str">
        <f>INDEX(Products!$B$2:$B$9,MATCH(D435,Products!$A$2:$A$9,0))</f>
        <v>Trà mâm xôi vitamin</v>
      </c>
      <c r="H435" s="9" t="str">
        <f>INDEX(Products!$C$2:$C$9,MATCH(D435,Products!$A$2:$A$9,0))</f>
        <v>Bổ sung dưỡng chất</v>
      </c>
      <c r="I435" s="11">
        <f>INDEX(Products!$D$2:$D$9,MATCH(D435,Products!$A$2:$A$9,0))</f>
        <v>9800</v>
      </c>
      <c r="J435" s="10">
        <f>IFERROR(INDEX(PlatformFees!$C$2:$C$5,MATCH(C435,PlatformFees!$A$2:$A$5,0)),0)</f>
        <v>0.16</v>
      </c>
      <c r="K435" s="11">
        <f t="shared" si="24"/>
        <v>9800</v>
      </c>
      <c r="L435" s="11">
        <f t="shared" si="25"/>
        <v>5840</v>
      </c>
      <c r="M435" s="11">
        <f t="shared" si="26"/>
        <v>20860</v>
      </c>
      <c r="N435" s="10">
        <f t="shared" si="27"/>
        <v>0.57150684931506845</v>
      </c>
    </row>
    <row r="436" spans="1:14" x14ac:dyDescent="0.3">
      <c r="A436" s="9" t="s">
        <v>508</v>
      </c>
      <c r="B436" s="9" t="s">
        <v>491</v>
      </c>
      <c r="C436" s="9" t="s">
        <v>38</v>
      </c>
      <c r="D436" s="9" t="s">
        <v>27</v>
      </c>
      <c r="E436" s="9">
        <v>1</v>
      </c>
      <c r="F436" s="11">
        <v>37200</v>
      </c>
      <c r="G436" s="9" t="str">
        <f>INDEX(Products!$B$2:$B$9,MATCH(D436,Products!$A$2:$A$9,0))</f>
        <v>Trà gừng mật ong</v>
      </c>
      <c r="H436" s="9" t="str">
        <f>INDEX(Products!$C$2:$C$9,MATCH(D436,Products!$A$2:$A$9,0))</f>
        <v>Giữ ấm</v>
      </c>
      <c r="I436" s="11">
        <f>INDEX(Products!$D$2:$D$9,MATCH(D436,Products!$A$2:$A$9,0))</f>
        <v>11000</v>
      </c>
      <c r="J436" s="10">
        <f>IFERROR(INDEX(PlatformFees!$C$2:$C$5,MATCH(C436,PlatformFees!$A$2:$A$5,0)),0)</f>
        <v>0.16</v>
      </c>
      <c r="K436" s="11">
        <f t="shared" si="24"/>
        <v>11000</v>
      </c>
      <c r="L436" s="11">
        <f t="shared" si="25"/>
        <v>5952</v>
      </c>
      <c r="M436" s="11">
        <f t="shared" si="26"/>
        <v>20248</v>
      </c>
      <c r="N436" s="10">
        <f t="shared" si="27"/>
        <v>0.54430107526881721</v>
      </c>
    </row>
    <row r="437" spans="1:14" x14ac:dyDescent="0.3">
      <c r="A437" s="9" t="s">
        <v>509</v>
      </c>
      <c r="B437" s="9" t="s">
        <v>510</v>
      </c>
      <c r="C437" s="9" t="s">
        <v>39</v>
      </c>
      <c r="D437" s="9" t="s">
        <v>15</v>
      </c>
      <c r="E437" s="9">
        <v>1</v>
      </c>
      <c r="F437" s="11">
        <v>32100</v>
      </c>
      <c r="G437" s="9" t="str">
        <f>INDEX(Products!$B$2:$B$9,MATCH(D437,Products!$A$2:$A$9,0))</f>
        <v>Trà lá nam sen ổi</v>
      </c>
      <c r="H437" s="9" t="str">
        <f>INDEX(Products!$C$2:$C$9,MATCH(D437,Products!$A$2:$A$9,0))</f>
        <v>Thanh lọc</v>
      </c>
      <c r="I437" s="11">
        <f>INDEX(Products!$D$2:$D$9,MATCH(D437,Products!$A$2:$A$9,0))</f>
        <v>8500</v>
      </c>
      <c r="J437" s="10">
        <f>IFERROR(INDEX(PlatformFees!$C$2:$C$5,MATCH(C437,PlatformFees!$A$2:$A$5,0)),0)</f>
        <v>0</v>
      </c>
      <c r="K437" s="11">
        <f t="shared" si="24"/>
        <v>8500</v>
      </c>
      <c r="L437" s="11">
        <f t="shared" si="25"/>
        <v>0</v>
      </c>
      <c r="M437" s="11">
        <f t="shared" si="26"/>
        <v>23600</v>
      </c>
      <c r="N437" s="10">
        <f t="shared" si="27"/>
        <v>0.73520249221183798</v>
      </c>
    </row>
    <row r="438" spans="1:14" x14ac:dyDescent="0.3">
      <c r="A438" s="9" t="s">
        <v>511</v>
      </c>
      <c r="B438" s="9" t="s">
        <v>510</v>
      </c>
      <c r="C438" s="9" t="s">
        <v>36</v>
      </c>
      <c r="D438" s="9" t="s">
        <v>22</v>
      </c>
      <c r="E438" s="9">
        <v>2</v>
      </c>
      <c r="F438" s="11">
        <v>77400</v>
      </c>
      <c r="G438" s="9" t="str">
        <f>INDEX(Products!$B$2:$B$9,MATCH(D438,Products!$A$2:$A$9,0))</f>
        <v>Trà hoa cúc an thần</v>
      </c>
      <c r="H438" s="9" t="str">
        <f>INDEX(Products!$C$2:$C$9,MATCH(D438,Products!$A$2:$A$9,0))</f>
        <v>An thần</v>
      </c>
      <c r="I438" s="11">
        <f>INDEX(Products!$D$2:$D$9,MATCH(D438,Products!$A$2:$A$9,0))</f>
        <v>9500</v>
      </c>
      <c r="J438" s="10">
        <f>IFERROR(INDEX(PlatformFees!$C$2:$C$5,MATCH(C438,PlatformFees!$A$2:$A$5,0)),0)</f>
        <v>0.13</v>
      </c>
      <c r="K438" s="11">
        <f t="shared" si="24"/>
        <v>19000</v>
      </c>
      <c r="L438" s="11">
        <f t="shared" si="25"/>
        <v>10062</v>
      </c>
      <c r="M438" s="11">
        <f t="shared" si="26"/>
        <v>48338</v>
      </c>
      <c r="N438" s="10">
        <f t="shared" si="27"/>
        <v>0.62452196382428937</v>
      </c>
    </row>
    <row r="439" spans="1:14" x14ac:dyDescent="0.3">
      <c r="A439" s="9" t="s">
        <v>512</v>
      </c>
      <c r="B439" s="9" t="s">
        <v>510</v>
      </c>
      <c r="C439" s="9" t="s">
        <v>38</v>
      </c>
      <c r="D439" s="9" t="s">
        <v>22</v>
      </c>
      <c r="E439" s="9">
        <v>1</v>
      </c>
      <c r="F439" s="11">
        <v>37000</v>
      </c>
      <c r="G439" s="9" t="str">
        <f>INDEX(Products!$B$2:$B$9,MATCH(D439,Products!$A$2:$A$9,0))</f>
        <v>Trà hoa cúc an thần</v>
      </c>
      <c r="H439" s="9" t="str">
        <f>INDEX(Products!$C$2:$C$9,MATCH(D439,Products!$A$2:$A$9,0))</f>
        <v>An thần</v>
      </c>
      <c r="I439" s="11">
        <f>INDEX(Products!$D$2:$D$9,MATCH(D439,Products!$A$2:$A$9,0))</f>
        <v>9500</v>
      </c>
      <c r="J439" s="10">
        <f>IFERROR(INDEX(PlatformFees!$C$2:$C$5,MATCH(C439,PlatformFees!$A$2:$A$5,0)),0)</f>
        <v>0.16</v>
      </c>
      <c r="K439" s="11">
        <f t="shared" si="24"/>
        <v>9500</v>
      </c>
      <c r="L439" s="11">
        <f t="shared" si="25"/>
        <v>5920</v>
      </c>
      <c r="M439" s="11">
        <f t="shared" si="26"/>
        <v>21580</v>
      </c>
      <c r="N439" s="10">
        <f t="shared" si="27"/>
        <v>0.58324324324324328</v>
      </c>
    </row>
    <row r="440" spans="1:14" x14ac:dyDescent="0.3">
      <c r="A440" s="9" t="s">
        <v>513</v>
      </c>
      <c r="B440" s="9" t="s">
        <v>510</v>
      </c>
      <c r="C440" s="9" t="s">
        <v>39</v>
      </c>
      <c r="D440" s="9" t="s">
        <v>25</v>
      </c>
      <c r="E440" s="9">
        <v>1</v>
      </c>
      <c r="F440" s="11">
        <v>33000</v>
      </c>
      <c r="G440" s="9" t="str">
        <f>INDEX(Products!$B$2:$B$9,MATCH(D440,Products!$A$2:$A$9,0))</f>
        <v>Trà hoa đậu biếc</v>
      </c>
      <c r="H440" s="9" t="str">
        <f>INDEX(Products!$C$2:$C$9,MATCH(D440,Products!$A$2:$A$9,0))</f>
        <v>An thần</v>
      </c>
      <c r="I440" s="11">
        <f>INDEX(Products!$D$2:$D$9,MATCH(D440,Products!$A$2:$A$9,0))</f>
        <v>8800</v>
      </c>
      <c r="J440" s="10">
        <f>IFERROR(INDEX(PlatformFees!$C$2:$C$5,MATCH(C440,PlatformFees!$A$2:$A$5,0)),0)</f>
        <v>0</v>
      </c>
      <c r="K440" s="11">
        <f t="shared" si="24"/>
        <v>8800</v>
      </c>
      <c r="L440" s="11">
        <f t="shared" si="25"/>
        <v>0</v>
      </c>
      <c r="M440" s="11">
        <f t="shared" si="26"/>
        <v>24200</v>
      </c>
      <c r="N440" s="10">
        <f t="shared" si="27"/>
        <v>0.73333333333333328</v>
      </c>
    </row>
    <row r="441" spans="1:14" x14ac:dyDescent="0.3">
      <c r="A441" s="9" t="s">
        <v>514</v>
      </c>
      <c r="B441" s="9" t="s">
        <v>510</v>
      </c>
      <c r="C441" s="9" t="s">
        <v>38</v>
      </c>
      <c r="D441" s="9" t="s">
        <v>15</v>
      </c>
      <c r="E441" s="9">
        <v>2</v>
      </c>
      <c r="F441" s="11">
        <v>62300</v>
      </c>
      <c r="G441" s="9" t="str">
        <f>INDEX(Products!$B$2:$B$9,MATCH(D441,Products!$A$2:$A$9,0))</f>
        <v>Trà lá nam sen ổi</v>
      </c>
      <c r="H441" s="9" t="str">
        <f>INDEX(Products!$C$2:$C$9,MATCH(D441,Products!$A$2:$A$9,0))</f>
        <v>Thanh lọc</v>
      </c>
      <c r="I441" s="11">
        <f>INDEX(Products!$D$2:$D$9,MATCH(D441,Products!$A$2:$A$9,0))</f>
        <v>8500</v>
      </c>
      <c r="J441" s="10">
        <f>IFERROR(INDEX(PlatformFees!$C$2:$C$5,MATCH(C441,PlatformFees!$A$2:$A$5,0)),0)</f>
        <v>0.16</v>
      </c>
      <c r="K441" s="11">
        <f t="shared" si="24"/>
        <v>17000</v>
      </c>
      <c r="L441" s="11">
        <f t="shared" si="25"/>
        <v>9968</v>
      </c>
      <c r="M441" s="11">
        <f t="shared" si="26"/>
        <v>35332</v>
      </c>
      <c r="N441" s="10">
        <f t="shared" si="27"/>
        <v>0.56712680577849117</v>
      </c>
    </row>
    <row r="442" spans="1:14" x14ac:dyDescent="0.3">
      <c r="A442" s="9" t="s">
        <v>515</v>
      </c>
      <c r="B442" s="9" t="s">
        <v>510</v>
      </c>
      <c r="C442" s="9" t="s">
        <v>36</v>
      </c>
      <c r="D442" s="9" t="s">
        <v>22</v>
      </c>
      <c r="E442" s="9">
        <v>1</v>
      </c>
      <c r="F442" s="11">
        <v>38600</v>
      </c>
      <c r="G442" s="9" t="str">
        <f>INDEX(Products!$B$2:$B$9,MATCH(D442,Products!$A$2:$A$9,0))</f>
        <v>Trà hoa cúc an thần</v>
      </c>
      <c r="H442" s="9" t="str">
        <f>INDEX(Products!$C$2:$C$9,MATCH(D442,Products!$A$2:$A$9,0))</f>
        <v>An thần</v>
      </c>
      <c r="I442" s="11">
        <f>INDEX(Products!$D$2:$D$9,MATCH(D442,Products!$A$2:$A$9,0))</f>
        <v>9500</v>
      </c>
      <c r="J442" s="10">
        <f>IFERROR(INDEX(PlatformFees!$C$2:$C$5,MATCH(C442,PlatformFees!$A$2:$A$5,0)),0)</f>
        <v>0.13</v>
      </c>
      <c r="K442" s="11">
        <f t="shared" si="24"/>
        <v>9500</v>
      </c>
      <c r="L442" s="11">
        <f t="shared" si="25"/>
        <v>5018</v>
      </c>
      <c r="M442" s="11">
        <f t="shared" si="26"/>
        <v>24082</v>
      </c>
      <c r="N442" s="10">
        <f t="shared" si="27"/>
        <v>0.62388601036269431</v>
      </c>
    </row>
    <row r="443" spans="1:14" x14ac:dyDescent="0.3">
      <c r="A443" s="9" t="s">
        <v>516</v>
      </c>
      <c r="B443" s="9" t="s">
        <v>510</v>
      </c>
      <c r="C443" s="9" t="s">
        <v>36</v>
      </c>
      <c r="D443" s="9" t="s">
        <v>30</v>
      </c>
      <c r="E443" s="9">
        <v>1</v>
      </c>
      <c r="F443" s="11">
        <v>37000</v>
      </c>
      <c r="G443" s="9" t="str">
        <f>INDEX(Products!$B$2:$B$9,MATCH(D443,Products!$A$2:$A$9,0))</f>
        <v>Trà mâm xôi vitamin</v>
      </c>
      <c r="H443" s="9" t="str">
        <f>INDEX(Products!$C$2:$C$9,MATCH(D443,Products!$A$2:$A$9,0))</f>
        <v>Bổ sung dưỡng chất</v>
      </c>
      <c r="I443" s="11">
        <f>INDEX(Products!$D$2:$D$9,MATCH(D443,Products!$A$2:$A$9,0))</f>
        <v>9800</v>
      </c>
      <c r="J443" s="10">
        <f>IFERROR(INDEX(PlatformFees!$C$2:$C$5,MATCH(C443,PlatformFees!$A$2:$A$5,0)),0)</f>
        <v>0.13</v>
      </c>
      <c r="K443" s="11">
        <f t="shared" si="24"/>
        <v>9800</v>
      </c>
      <c r="L443" s="11">
        <f t="shared" si="25"/>
        <v>4810</v>
      </c>
      <c r="M443" s="11">
        <f t="shared" si="26"/>
        <v>22390</v>
      </c>
      <c r="N443" s="10">
        <f t="shared" si="27"/>
        <v>0.60513513513513517</v>
      </c>
    </row>
    <row r="444" spans="1:14" x14ac:dyDescent="0.3">
      <c r="A444" s="9" t="s">
        <v>517</v>
      </c>
      <c r="B444" s="9" t="s">
        <v>510</v>
      </c>
      <c r="C444" s="9" t="s">
        <v>36</v>
      </c>
      <c r="D444" s="9" t="s">
        <v>17</v>
      </c>
      <c r="E444" s="9">
        <v>2</v>
      </c>
      <c r="F444" s="11">
        <v>78300</v>
      </c>
      <c r="G444" s="9" t="str">
        <f>INDEX(Products!$B$2:$B$9,MATCH(D444,Products!$A$2:$A$9,0))</f>
        <v>Trà diếp cá rau má</v>
      </c>
      <c r="H444" s="9" t="str">
        <f>INDEX(Products!$C$2:$C$9,MATCH(D444,Products!$A$2:$A$9,0))</f>
        <v>Detox</v>
      </c>
      <c r="I444" s="11">
        <f>INDEX(Products!$D$2:$D$9,MATCH(D444,Products!$A$2:$A$9,0))</f>
        <v>10500</v>
      </c>
      <c r="J444" s="10">
        <f>IFERROR(INDEX(PlatformFees!$C$2:$C$5,MATCH(C444,PlatformFees!$A$2:$A$5,0)),0)</f>
        <v>0.13</v>
      </c>
      <c r="K444" s="11">
        <f t="shared" si="24"/>
        <v>21000</v>
      </c>
      <c r="L444" s="11">
        <f t="shared" si="25"/>
        <v>10179</v>
      </c>
      <c r="M444" s="11">
        <f t="shared" si="26"/>
        <v>47121</v>
      </c>
      <c r="N444" s="10">
        <f t="shared" si="27"/>
        <v>0.60180076628352486</v>
      </c>
    </row>
    <row r="445" spans="1:14" x14ac:dyDescent="0.3">
      <c r="A445" s="9" t="s">
        <v>518</v>
      </c>
      <c r="B445" s="9" t="s">
        <v>510</v>
      </c>
      <c r="C445" s="9" t="s">
        <v>36</v>
      </c>
      <c r="D445" s="9" t="s">
        <v>15</v>
      </c>
      <c r="E445" s="9">
        <v>2</v>
      </c>
      <c r="F445" s="11">
        <v>60600</v>
      </c>
      <c r="G445" s="9" t="str">
        <f>INDEX(Products!$B$2:$B$9,MATCH(D445,Products!$A$2:$A$9,0))</f>
        <v>Trà lá nam sen ổi</v>
      </c>
      <c r="H445" s="9" t="str">
        <f>INDEX(Products!$C$2:$C$9,MATCH(D445,Products!$A$2:$A$9,0))</f>
        <v>Thanh lọc</v>
      </c>
      <c r="I445" s="11">
        <f>INDEX(Products!$D$2:$D$9,MATCH(D445,Products!$A$2:$A$9,0))</f>
        <v>8500</v>
      </c>
      <c r="J445" s="10">
        <f>IFERROR(INDEX(PlatformFees!$C$2:$C$5,MATCH(C445,PlatformFees!$A$2:$A$5,0)),0)</f>
        <v>0.13</v>
      </c>
      <c r="K445" s="11">
        <f t="shared" si="24"/>
        <v>17000</v>
      </c>
      <c r="L445" s="11">
        <f t="shared" si="25"/>
        <v>7878</v>
      </c>
      <c r="M445" s="11">
        <f t="shared" si="26"/>
        <v>35722</v>
      </c>
      <c r="N445" s="10">
        <f t="shared" si="27"/>
        <v>0.58947194719471951</v>
      </c>
    </row>
    <row r="446" spans="1:14" x14ac:dyDescent="0.3">
      <c r="A446" s="9" t="s">
        <v>519</v>
      </c>
      <c r="B446" s="9" t="s">
        <v>510</v>
      </c>
      <c r="C446" s="9" t="s">
        <v>36</v>
      </c>
      <c r="D446" s="9" t="s">
        <v>17</v>
      </c>
      <c r="E446" s="9">
        <v>2</v>
      </c>
      <c r="F446" s="11">
        <v>85300</v>
      </c>
      <c r="G446" s="9" t="str">
        <f>INDEX(Products!$B$2:$B$9,MATCH(D446,Products!$A$2:$A$9,0))</f>
        <v>Trà diếp cá rau má</v>
      </c>
      <c r="H446" s="9" t="str">
        <f>INDEX(Products!$C$2:$C$9,MATCH(D446,Products!$A$2:$A$9,0))</f>
        <v>Detox</v>
      </c>
      <c r="I446" s="11">
        <f>INDEX(Products!$D$2:$D$9,MATCH(D446,Products!$A$2:$A$9,0))</f>
        <v>10500</v>
      </c>
      <c r="J446" s="10">
        <f>IFERROR(INDEX(PlatformFees!$C$2:$C$5,MATCH(C446,PlatformFees!$A$2:$A$5,0)),0)</f>
        <v>0.13</v>
      </c>
      <c r="K446" s="11">
        <f t="shared" si="24"/>
        <v>21000</v>
      </c>
      <c r="L446" s="11">
        <f t="shared" si="25"/>
        <v>11089</v>
      </c>
      <c r="M446" s="11">
        <f t="shared" si="26"/>
        <v>53211</v>
      </c>
      <c r="N446" s="10">
        <f t="shared" si="27"/>
        <v>0.62381008206330602</v>
      </c>
    </row>
    <row r="447" spans="1:14" x14ac:dyDescent="0.3">
      <c r="A447" s="9" t="s">
        <v>520</v>
      </c>
      <c r="B447" s="9" t="s">
        <v>510</v>
      </c>
      <c r="C447" s="9" t="s">
        <v>36</v>
      </c>
      <c r="D447" s="9" t="s">
        <v>30</v>
      </c>
      <c r="E447" s="9">
        <v>1</v>
      </c>
      <c r="F447" s="11">
        <v>36300</v>
      </c>
      <c r="G447" s="9" t="str">
        <f>INDEX(Products!$B$2:$B$9,MATCH(D447,Products!$A$2:$A$9,0))</f>
        <v>Trà mâm xôi vitamin</v>
      </c>
      <c r="H447" s="9" t="str">
        <f>INDEX(Products!$C$2:$C$9,MATCH(D447,Products!$A$2:$A$9,0))</f>
        <v>Bổ sung dưỡng chất</v>
      </c>
      <c r="I447" s="11">
        <f>INDEX(Products!$D$2:$D$9,MATCH(D447,Products!$A$2:$A$9,0))</f>
        <v>9800</v>
      </c>
      <c r="J447" s="10">
        <f>IFERROR(INDEX(PlatformFees!$C$2:$C$5,MATCH(C447,PlatformFees!$A$2:$A$5,0)),0)</f>
        <v>0.13</v>
      </c>
      <c r="K447" s="11">
        <f t="shared" si="24"/>
        <v>9800</v>
      </c>
      <c r="L447" s="11">
        <f t="shared" si="25"/>
        <v>4719</v>
      </c>
      <c r="M447" s="11">
        <f t="shared" si="26"/>
        <v>21781</v>
      </c>
      <c r="N447" s="10">
        <f t="shared" si="27"/>
        <v>0.60002754820936643</v>
      </c>
    </row>
    <row r="448" spans="1:14" x14ac:dyDescent="0.3">
      <c r="A448" s="9" t="s">
        <v>521</v>
      </c>
      <c r="B448" s="9" t="s">
        <v>510</v>
      </c>
      <c r="C448" s="9" t="s">
        <v>40</v>
      </c>
      <c r="D448" s="9" t="s">
        <v>27</v>
      </c>
      <c r="E448" s="9">
        <v>1</v>
      </c>
      <c r="F448" s="11">
        <v>40200</v>
      </c>
      <c r="G448" s="9" t="str">
        <f>INDEX(Products!$B$2:$B$9,MATCH(D448,Products!$A$2:$A$9,0))</f>
        <v>Trà gừng mật ong</v>
      </c>
      <c r="H448" s="9" t="str">
        <f>INDEX(Products!$C$2:$C$9,MATCH(D448,Products!$A$2:$A$9,0))</f>
        <v>Giữ ấm</v>
      </c>
      <c r="I448" s="11">
        <f>INDEX(Products!$D$2:$D$9,MATCH(D448,Products!$A$2:$A$9,0))</f>
        <v>11000</v>
      </c>
      <c r="J448" s="10">
        <f>IFERROR(INDEX(PlatformFees!$C$2:$C$5,MATCH(C448,PlatformFees!$A$2:$A$5,0)),0)</f>
        <v>0</v>
      </c>
      <c r="K448" s="11">
        <f t="shared" si="24"/>
        <v>11000</v>
      </c>
      <c r="L448" s="11">
        <f t="shared" si="25"/>
        <v>0</v>
      </c>
      <c r="M448" s="11">
        <f t="shared" si="26"/>
        <v>29200</v>
      </c>
      <c r="N448" s="10">
        <f t="shared" si="27"/>
        <v>0.72636815920398012</v>
      </c>
    </row>
    <row r="449" spans="1:14" x14ac:dyDescent="0.3">
      <c r="A449" s="9" t="s">
        <v>522</v>
      </c>
      <c r="B449" s="9" t="s">
        <v>510</v>
      </c>
      <c r="C449" s="9" t="s">
        <v>38</v>
      </c>
      <c r="D449" s="9" t="s">
        <v>20</v>
      </c>
      <c r="E449" s="9">
        <v>2</v>
      </c>
      <c r="F449" s="11">
        <v>111800</v>
      </c>
      <c r="G449" s="9" t="str">
        <f>INDEX(Products!$B$2:$B$9,MATCH(D449,Products!$A$2:$A$9,0))</f>
        <v>Trà cà leo gai giảm cân</v>
      </c>
      <c r="H449" s="9" t="str">
        <f>INDEX(Products!$C$2:$C$9,MATCH(D449,Products!$A$2:$A$9,0))</f>
        <v>Detox</v>
      </c>
      <c r="I449" s="11">
        <f>INDEX(Products!$D$2:$D$9,MATCH(D449,Products!$A$2:$A$9,0))</f>
        <v>15000</v>
      </c>
      <c r="J449" s="10">
        <f>IFERROR(INDEX(PlatformFees!$C$2:$C$5,MATCH(C449,PlatformFees!$A$2:$A$5,0)),0)</f>
        <v>0.16</v>
      </c>
      <c r="K449" s="11">
        <f t="shared" si="24"/>
        <v>30000</v>
      </c>
      <c r="L449" s="11">
        <f t="shared" si="25"/>
        <v>17888</v>
      </c>
      <c r="M449" s="11">
        <f t="shared" si="26"/>
        <v>63912</v>
      </c>
      <c r="N449" s="10">
        <f t="shared" si="27"/>
        <v>0.57166368515205723</v>
      </c>
    </row>
    <row r="450" spans="1:14" x14ac:dyDescent="0.3">
      <c r="A450" s="9" t="s">
        <v>523</v>
      </c>
      <c r="B450" s="9" t="s">
        <v>510</v>
      </c>
      <c r="C450" s="9" t="s">
        <v>38</v>
      </c>
      <c r="D450" s="9" t="s">
        <v>12</v>
      </c>
      <c r="E450" s="9">
        <v>2</v>
      </c>
      <c r="F450" s="11">
        <v>68300</v>
      </c>
      <c r="G450" s="9" t="str">
        <f>INDEX(Products!$B$2:$B$9,MATCH(D450,Products!$A$2:$A$9,0))</f>
        <v>Trà atiso thanh lọc</v>
      </c>
      <c r="H450" s="9" t="str">
        <f>INDEX(Products!$C$2:$C$9,MATCH(D450,Products!$A$2:$A$9,0))</f>
        <v>Thanh lọc</v>
      </c>
      <c r="I450" s="11">
        <f>INDEX(Products!$D$2:$D$9,MATCH(D450,Products!$A$2:$A$9,0))</f>
        <v>9000</v>
      </c>
      <c r="J450" s="10">
        <f>IFERROR(INDEX(PlatformFees!$C$2:$C$5,MATCH(C450,PlatformFees!$A$2:$A$5,0)),0)</f>
        <v>0.16</v>
      </c>
      <c r="K450" s="11">
        <f t="shared" ref="K450:K513" si="28">E450*I450</f>
        <v>18000</v>
      </c>
      <c r="L450" s="11">
        <f t="shared" ref="L450:L513" si="29">F450*J450</f>
        <v>10928</v>
      </c>
      <c r="M450" s="11">
        <f t="shared" ref="M450:M513" si="30">F450-L450-K450</f>
        <v>39372</v>
      </c>
      <c r="N450" s="10">
        <f t="shared" ref="N450:N513" si="31">IFERROR(M450/F450,0)</f>
        <v>0.57645680819912148</v>
      </c>
    </row>
    <row r="451" spans="1:14" x14ac:dyDescent="0.3">
      <c r="A451" s="9" t="s">
        <v>524</v>
      </c>
      <c r="B451" s="9" t="s">
        <v>510</v>
      </c>
      <c r="C451" s="9" t="s">
        <v>40</v>
      </c>
      <c r="D451" s="9" t="s">
        <v>15</v>
      </c>
      <c r="E451" s="9">
        <v>1</v>
      </c>
      <c r="F451" s="11">
        <v>29600</v>
      </c>
      <c r="G451" s="9" t="str">
        <f>INDEX(Products!$B$2:$B$9,MATCH(D451,Products!$A$2:$A$9,0))</f>
        <v>Trà lá nam sen ổi</v>
      </c>
      <c r="H451" s="9" t="str">
        <f>INDEX(Products!$C$2:$C$9,MATCH(D451,Products!$A$2:$A$9,0))</f>
        <v>Thanh lọc</v>
      </c>
      <c r="I451" s="11">
        <f>INDEX(Products!$D$2:$D$9,MATCH(D451,Products!$A$2:$A$9,0))</f>
        <v>8500</v>
      </c>
      <c r="J451" s="10">
        <f>IFERROR(INDEX(PlatformFees!$C$2:$C$5,MATCH(C451,PlatformFees!$A$2:$A$5,0)),0)</f>
        <v>0</v>
      </c>
      <c r="K451" s="11">
        <f t="shared" si="28"/>
        <v>8500</v>
      </c>
      <c r="L451" s="11">
        <f t="shared" si="29"/>
        <v>0</v>
      </c>
      <c r="M451" s="11">
        <f t="shared" si="30"/>
        <v>21100</v>
      </c>
      <c r="N451" s="10">
        <f t="shared" si="31"/>
        <v>0.71283783783783783</v>
      </c>
    </row>
    <row r="452" spans="1:14" x14ac:dyDescent="0.3">
      <c r="A452" s="9" t="s">
        <v>525</v>
      </c>
      <c r="B452" s="9" t="s">
        <v>510</v>
      </c>
      <c r="C452" s="9" t="s">
        <v>36</v>
      </c>
      <c r="D452" s="9" t="s">
        <v>20</v>
      </c>
      <c r="E452" s="9">
        <v>3</v>
      </c>
      <c r="F452" s="11">
        <v>164000</v>
      </c>
      <c r="G452" s="9" t="str">
        <f>INDEX(Products!$B$2:$B$9,MATCH(D452,Products!$A$2:$A$9,0))</f>
        <v>Trà cà leo gai giảm cân</v>
      </c>
      <c r="H452" s="9" t="str">
        <f>INDEX(Products!$C$2:$C$9,MATCH(D452,Products!$A$2:$A$9,0))</f>
        <v>Detox</v>
      </c>
      <c r="I452" s="11">
        <f>INDEX(Products!$D$2:$D$9,MATCH(D452,Products!$A$2:$A$9,0))</f>
        <v>15000</v>
      </c>
      <c r="J452" s="10">
        <f>IFERROR(INDEX(PlatformFees!$C$2:$C$5,MATCH(C452,PlatformFees!$A$2:$A$5,0)),0)</f>
        <v>0.13</v>
      </c>
      <c r="K452" s="11">
        <f t="shared" si="28"/>
        <v>45000</v>
      </c>
      <c r="L452" s="11">
        <f t="shared" si="29"/>
        <v>21320</v>
      </c>
      <c r="M452" s="11">
        <f t="shared" si="30"/>
        <v>97680</v>
      </c>
      <c r="N452" s="10">
        <f t="shared" si="31"/>
        <v>0.59560975609756095</v>
      </c>
    </row>
    <row r="453" spans="1:14" x14ac:dyDescent="0.3">
      <c r="A453" s="9" t="s">
        <v>526</v>
      </c>
      <c r="B453" s="9" t="s">
        <v>510</v>
      </c>
      <c r="C453" s="9" t="s">
        <v>36</v>
      </c>
      <c r="D453" s="9" t="s">
        <v>12</v>
      </c>
      <c r="E453" s="9">
        <v>1</v>
      </c>
      <c r="F453" s="11">
        <v>33900</v>
      </c>
      <c r="G453" s="9" t="str">
        <f>INDEX(Products!$B$2:$B$9,MATCH(D453,Products!$A$2:$A$9,0))</f>
        <v>Trà atiso thanh lọc</v>
      </c>
      <c r="H453" s="9" t="str">
        <f>INDEX(Products!$C$2:$C$9,MATCH(D453,Products!$A$2:$A$9,0))</f>
        <v>Thanh lọc</v>
      </c>
      <c r="I453" s="11">
        <f>INDEX(Products!$D$2:$D$9,MATCH(D453,Products!$A$2:$A$9,0))</f>
        <v>9000</v>
      </c>
      <c r="J453" s="10">
        <f>IFERROR(INDEX(PlatformFees!$C$2:$C$5,MATCH(C453,PlatformFees!$A$2:$A$5,0)),0)</f>
        <v>0.13</v>
      </c>
      <c r="K453" s="11">
        <f t="shared" si="28"/>
        <v>9000</v>
      </c>
      <c r="L453" s="11">
        <f t="shared" si="29"/>
        <v>4407</v>
      </c>
      <c r="M453" s="11">
        <f t="shared" si="30"/>
        <v>20493</v>
      </c>
      <c r="N453" s="10">
        <f t="shared" si="31"/>
        <v>0.60451327433628321</v>
      </c>
    </row>
    <row r="454" spans="1:14" x14ac:dyDescent="0.3">
      <c r="A454" s="9" t="s">
        <v>527</v>
      </c>
      <c r="B454" s="9" t="s">
        <v>510</v>
      </c>
      <c r="C454" s="9" t="s">
        <v>39</v>
      </c>
      <c r="D454" s="9" t="s">
        <v>27</v>
      </c>
      <c r="E454" s="9">
        <v>2</v>
      </c>
      <c r="F454" s="11">
        <v>76800</v>
      </c>
      <c r="G454" s="9" t="str">
        <f>INDEX(Products!$B$2:$B$9,MATCH(D454,Products!$A$2:$A$9,0))</f>
        <v>Trà gừng mật ong</v>
      </c>
      <c r="H454" s="9" t="str">
        <f>INDEX(Products!$C$2:$C$9,MATCH(D454,Products!$A$2:$A$9,0))</f>
        <v>Giữ ấm</v>
      </c>
      <c r="I454" s="11">
        <f>INDEX(Products!$D$2:$D$9,MATCH(D454,Products!$A$2:$A$9,0))</f>
        <v>11000</v>
      </c>
      <c r="J454" s="10">
        <f>IFERROR(INDEX(PlatformFees!$C$2:$C$5,MATCH(C454,PlatformFees!$A$2:$A$5,0)),0)</f>
        <v>0</v>
      </c>
      <c r="K454" s="11">
        <f t="shared" si="28"/>
        <v>22000</v>
      </c>
      <c r="L454" s="11">
        <f t="shared" si="29"/>
        <v>0</v>
      </c>
      <c r="M454" s="11">
        <f t="shared" si="30"/>
        <v>54800</v>
      </c>
      <c r="N454" s="10">
        <f t="shared" si="31"/>
        <v>0.71354166666666663</v>
      </c>
    </row>
    <row r="455" spans="1:14" x14ac:dyDescent="0.3">
      <c r="A455" s="9" t="s">
        <v>528</v>
      </c>
      <c r="B455" s="9" t="s">
        <v>510</v>
      </c>
      <c r="C455" s="9" t="s">
        <v>36</v>
      </c>
      <c r="D455" s="9" t="s">
        <v>20</v>
      </c>
      <c r="E455" s="9">
        <v>1</v>
      </c>
      <c r="F455" s="11">
        <v>52800</v>
      </c>
      <c r="G455" s="9" t="str">
        <f>INDEX(Products!$B$2:$B$9,MATCH(D455,Products!$A$2:$A$9,0))</f>
        <v>Trà cà leo gai giảm cân</v>
      </c>
      <c r="H455" s="9" t="str">
        <f>INDEX(Products!$C$2:$C$9,MATCH(D455,Products!$A$2:$A$9,0))</f>
        <v>Detox</v>
      </c>
      <c r="I455" s="11">
        <f>INDEX(Products!$D$2:$D$9,MATCH(D455,Products!$A$2:$A$9,0))</f>
        <v>15000</v>
      </c>
      <c r="J455" s="10">
        <f>IFERROR(INDEX(PlatformFees!$C$2:$C$5,MATCH(C455,PlatformFees!$A$2:$A$5,0)),0)</f>
        <v>0.13</v>
      </c>
      <c r="K455" s="11">
        <f t="shared" si="28"/>
        <v>15000</v>
      </c>
      <c r="L455" s="11">
        <f t="shared" si="29"/>
        <v>6864</v>
      </c>
      <c r="M455" s="11">
        <f t="shared" si="30"/>
        <v>30936</v>
      </c>
      <c r="N455" s="10">
        <f t="shared" si="31"/>
        <v>0.58590909090909093</v>
      </c>
    </row>
    <row r="456" spans="1:14" x14ac:dyDescent="0.3">
      <c r="A456" s="9" t="s">
        <v>529</v>
      </c>
      <c r="B456" s="9" t="s">
        <v>510</v>
      </c>
      <c r="C456" s="9" t="s">
        <v>36</v>
      </c>
      <c r="D456" s="9" t="s">
        <v>17</v>
      </c>
      <c r="E456" s="9">
        <v>2</v>
      </c>
      <c r="F456" s="11">
        <v>84300</v>
      </c>
      <c r="G456" s="9" t="str">
        <f>INDEX(Products!$B$2:$B$9,MATCH(D456,Products!$A$2:$A$9,0))</f>
        <v>Trà diếp cá rau má</v>
      </c>
      <c r="H456" s="9" t="str">
        <f>INDEX(Products!$C$2:$C$9,MATCH(D456,Products!$A$2:$A$9,0))</f>
        <v>Detox</v>
      </c>
      <c r="I456" s="11">
        <f>INDEX(Products!$D$2:$D$9,MATCH(D456,Products!$A$2:$A$9,0))</f>
        <v>10500</v>
      </c>
      <c r="J456" s="10">
        <f>IFERROR(INDEX(PlatformFees!$C$2:$C$5,MATCH(C456,PlatformFees!$A$2:$A$5,0)),0)</f>
        <v>0.13</v>
      </c>
      <c r="K456" s="11">
        <f t="shared" si="28"/>
        <v>21000</v>
      </c>
      <c r="L456" s="11">
        <f t="shared" si="29"/>
        <v>10959</v>
      </c>
      <c r="M456" s="11">
        <f t="shared" si="30"/>
        <v>52341</v>
      </c>
      <c r="N456" s="10">
        <f t="shared" si="31"/>
        <v>0.62088967971530251</v>
      </c>
    </row>
    <row r="457" spans="1:14" x14ac:dyDescent="0.3">
      <c r="A457" s="9" t="s">
        <v>530</v>
      </c>
      <c r="B457" s="9" t="s">
        <v>531</v>
      </c>
      <c r="C457" s="9" t="s">
        <v>39</v>
      </c>
      <c r="D457" s="9" t="s">
        <v>25</v>
      </c>
      <c r="E457" s="9">
        <v>2</v>
      </c>
      <c r="F457" s="11">
        <v>63400</v>
      </c>
      <c r="G457" s="9" t="str">
        <f>INDEX(Products!$B$2:$B$9,MATCH(D457,Products!$A$2:$A$9,0))</f>
        <v>Trà hoa đậu biếc</v>
      </c>
      <c r="H457" s="9" t="str">
        <f>INDEX(Products!$C$2:$C$9,MATCH(D457,Products!$A$2:$A$9,0))</f>
        <v>An thần</v>
      </c>
      <c r="I457" s="11">
        <f>INDEX(Products!$D$2:$D$9,MATCH(D457,Products!$A$2:$A$9,0))</f>
        <v>8800</v>
      </c>
      <c r="J457" s="10">
        <f>IFERROR(INDEX(PlatformFees!$C$2:$C$5,MATCH(C457,PlatformFees!$A$2:$A$5,0)),0)</f>
        <v>0</v>
      </c>
      <c r="K457" s="11">
        <f t="shared" si="28"/>
        <v>17600</v>
      </c>
      <c r="L457" s="11">
        <f t="shared" si="29"/>
        <v>0</v>
      </c>
      <c r="M457" s="11">
        <f t="shared" si="30"/>
        <v>45800</v>
      </c>
      <c r="N457" s="10">
        <f t="shared" si="31"/>
        <v>0.72239747634069396</v>
      </c>
    </row>
    <row r="458" spans="1:14" x14ac:dyDescent="0.3">
      <c r="A458" s="9" t="s">
        <v>532</v>
      </c>
      <c r="B458" s="9" t="s">
        <v>531</v>
      </c>
      <c r="C458" s="9" t="s">
        <v>40</v>
      </c>
      <c r="D458" s="9" t="s">
        <v>20</v>
      </c>
      <c r="E458" s="9">
        <v>1</v>
      </c>
      <c r="F458" s="11">
        <v>54000</v>
      </c>
      <c r="G458" s="9" t="str">
        <f>INDEX(Products!$B$2:$B$9,MATCH(D458,Products!$A$2:$A$9,0))</f>
        <v>Trà cà leo gai giảm cân</v>
      </c>
      <c r="H458" s="9" t="str">
        <f>INDEX(Products!$C$2:$C$9,MATCH(D458,Products!$A$2:$A$9,0))</f>
        <v>Detox</v>
      </c>
      <c r="I458" s="11">
        <f>INDEX(Products!$D$2:$D$9,MATCH(D458,Products!$A$2:$A$9,0))</f>
        <v>15000</v>
      </c>
      <c r="J458" s="10">
        <f>IFERROR(INDEX(PlatformFees!$C$2:$C$5,MATCH(C458,PlatformFees!$A$2:$A$5,0)),0)</f>
        <v>0</v>
      </c>
      <c r="K458" s="11">
        <f t="shared" si="28"/>
        <v>15000</v>
      </c>
      <c r="L458" s="11">
        <f t="shared" si="29"/>
        <v>0</v>
      </c>
      <c r="M458" s="11">
        <f t="shared" si="30"/>
        <v>39000</v>
      </c>
      <c r="N458" s="10">
        <f t="shared" si="31"/>
        <v>0.72222222222222221</v>
      </c>
    </row>
    <row r="459" spans="1:14" x14ac:dyDescent="0.3">
      <c r="A459" s="9" t="s">
        <v>533</v>
      </c>
      <c r="B459" s="9" t="s">
        <v>531</v>
      </c>
      <c r="C459" s="9" t="s">
        <v>36</v>
      </c>
      <c r="D459" s="9" t="s">
        <v>15</v>
      </c>
      <c r="E459" s="9">
        <v>2</v>
      </c>
      <c r="F459" s="11">
        <v>62500</v>
      </c>
      <c r="G459" s="9" t="str">
        <f>INDEX(Products!$B$2:$B$9,MATCH(D459,Products!$A$2:$A$9,0))</f>
        <v>Trà lá nam sen ổi</v>
      </c>
      <c r="H459" s="9" t="str">
        <f>INDEX(Products!$C$2:$C$9,MATCH(D459,Products!$A$2:$A$9,0))</f>
        <v>Thanh lọc</v>
      </c>
      <c r="I459" s="11">
        <f>INDEX(Products!$D$2:$D$9,MATCH(D459,Products!$A$2:$A$9,0))</f>
        <v>8500</v>
      </c>
      <c r="J459" s="10">
        <f>IFERROR(INDEX(PlatformFees!$C$2:$C$5,MATCH(C459,PlatformFees!$A$2:$A$5,0)),0)</f>
        <v>0.13</v>
      </c>
      <c r="K459" s="11">
        <f t="shared" si="28"/>
        <v>17000</v>
      </c>
      <c r="L459" s="11">
        <f t="shared" si="29"/>
        <v>8125</v>
      </c>
      <c r="M459" s="11">
        <f t="shared" si="30"/>
        <v>37375</v>
      </c>
      <c r="N459" s="10">
        <f t="shared" si="31"/>
        <v>0.59799999999999998</v>
      </c>
    </row>
    <row r="460" spans="1:14" x14ac:dyDescent="0.3">
      <c r="A460" s="9" t="s">
        <v>534</v>
      </c>
      <c r="B460" s="9" t="s">
        <v>531</v>
      </c>
      <c r="C460" s="9" t="s">
        <v>38</v>
      </c>
      <c r="D460" s="9" t="s">
        <v>12</v>
      </c>
      <c r="E460" s="9">
        <v>1</v>
      </c>
      <c r="F460" s="11">
        <v>34900</v>
      </c>
      <c r="G460" s="9" t="str">
        <f>INDEX(Products!$B$2:$B$9,MATCH(D460,Products!$A$2:$A$9,0))</f>
        <v>Trà atiso thanh lọc</v>
      </c>
      <c r="H460" s="9" t="str">
        <f>INDEX(Products!$C$2:$C$9,MATCH(D460,Products!$A$2:$A$9,0))</f>
        <v>Thanh lọc</v>
      </c>
      <c r="I460" s="11">
        <f>INDEX(Products!$D$2:$D$9,MATCH(D460,Products!$A$2:$A$9,0))</f>
        <v>9000</v>
      </c>
      <c r="J460" s="10">
        <f>IFERROR(INDEX(PlatformFees!$C$2:$C$5,MATCH(C460,PlatformFees!$A$2:$A$5,0)),0)</f>
        <v>0.16</v>
      </c>
      <c r="K460" s="11">
        <f t="shared" si="28"/>
        <v>9000</v>
      </c>
      <c r="L460" s="11">
        <f t="shared" si="29"/>
        <v>5584</v>
      </c>
      <c r="M460" s="11">
        <f t="shared" si="30"/>
        <v>20316</v>
      </c>
      <c r="N460" s="10">
        <f t="shared" si="31"/>
        <v>0.58212034383954159</v>
      </c>
    </row>
    <row r="461" spans="1:14" x14ac:dyDescent="0.3">
      <c r="A461" s="9" t="s">
        <v>535</v>
      </c>
      <c r="B461" s="9" t="s">
        <v>531</v>
      </c>
      <c r="C461" s="9" t="s">
        <v>39</v>
      </c>
      <c r="D461" s="9" t="s">
        <v>22</v>
      </c>
      <c r="E461" s="9">
        <v>1</v>
      </c>
      <c r="F461" s="11">
        <v>37500</v>
      </c>
      <c r="G461" s="9" t="str">
        <f>INDEX(Products!$B$2:$B$9,MATCH(D461,Products!$A$2:$A$9,0))</f>
        <v>Trà hoa cúc an thần</v>
      </c>
      <c r="H461" s="9" t="str">
        <f>INDEX(Products!$C$2:$C$9,MATCH(D461,Products!$A$2:$A$9,0))</f>
        <v>An thần</v>
      </c>
      <c r="I461" s="11">
        <f>INDEX(Products!$D$2:$D$9,MATCH(D461,Products!$A$2:$A$9,0))</f>
        <v>9500</v>
      </c>
      <c r="J461" s="10">
        <f>IFERROR(INDEX(PlatformFees!$C$2:$C$5,MATCH(C461,PlatformFees!$A$2:$A$5,0)),0)</f>
        <v>0</v>
      </c>
      <c r="K461" s="11">
        <f t="shared" si="28"/>
        <v>9500</v>
      </c>
      <c r="L461" s="11">
        <f t="shared" si="29"/>
        <v>0</v>
      </c>
      <c r="M461" s="11">
        <f t="shared" si="30"/>
        <v>28000</v>
      </c>
      <c r="N461" s="10">
        <f t="shared" si="31"/>
        <v>0.7466666666666667</v>
      </c>
    </row>
    <row r="462" spans="1:14" x14ac:dyDescent="0.3">
      <c r="A462" s="9" t="s">
        <v>536</v>
      </c>
      <c r="B462" s="9" t="s">
        <v>531</v>
      </c>
      <c r="C462" s="9" t="s">
        <v>38</v>
      </c>
      <c r="D462" s="9" t="s">
        <v>17</v>
      </c>
      <c r="E462" s="9">
        <v>2</v>
      </c>
      <c r="F462" s="11">
        <v>80200</v>
      </c>
      <c r="G462" s="9" t="str">
        <f>INDEX(Products!$B$2:$B$9,MATCH(D462,Products!$A$2:$A$9,0))</f>
        <v>Trà diếp cá rau má</v>
      </c>
      <c r="H462" s="9" t="str">
        <f>INDEX(Products!$C$2:$C$9,MATCH(D462,Products!$A$2:$A$9,0))</f>
        <v>Detox</v>
      </c>
      <c r="I462" s="11">
        <f>INDEX(Products!$D$2:$D$9,MATCH(D462,Products!$A$2:$A$9,0))</f>
        <v>10500</v>
      </c>
      <c r="J462" s="10">
        <f>IFERROR(INDEX(PlatformFees!$C$2:$C$5,MATCH(C462,PlatformFees!$A$2:$A$5,0)),0)</f>
        <v>0.16</v>
      </c>
      <c r="K462" s="11">
        <f t="shared" si="28"/>
        <v>21000</v>
      </c>
      <c r="L462" s="11">
        <f t="shared" si="29"/>
        <v>12832</v>
      </c>
      <c r="M462" s="11">
        <f t="shared" si="30"/>
        <v>46368</v>
      </c>
      <c r="N462" s="10">
        <f t="shared" si="31"/>
        <v>0.57815461346633412</v>
      </c>
    </row>
    <row r="463" spans="1:14" x14ac:dyDescent="0.3">
      <c r="A463" s="9" t="s">
        <v>537</v>
      </c>
      <c r="B463" s="9" t="s">
        <v>531</v>
      </c>
      <c r="C463" s="9" t="s">
        <v>36</v>
      </c>
      <c r="D463" s="9" t="s">
        <v>22</v>
      </c>
      <c r="E463" s="9">
        <v>1</v>
      </c>
      <c r="F463" s="11">
        <v>37400</v>
      </c>
      <c r="G463" s="9" t="str">
        <f>INDEX(Products!$B$2:$B$9,MATCH(D463,Products!$A$2:$A$9,0))</f>
        <v>Trà hoa cúc an thần</v>
      </c>
      <c r="H463" s="9" t="str">
        <f>INDEX(Products!$C$2:$C$9,MATCH(D463,Products!$A$2:$A$9,0))</f>
        <v>An thần</v>
      </c>
      <c r="I463" s="11">
        <f>INDEX(Products!$D$2:$D$9,MATCH(D463,Products!$A$2:$A$9,0))</f>
        <v>9500</v>
      </c>
      <c r="J463" s="10">
        <f>IFERROR(INDEX(PlatformFees!$C$2:$C$5,MATCH(C463,PlatformFees!$A$2:$A$5,0)),0)</f>
        <v>0.13</v>
      </c>
      <c r="K463" s="11">
        <f t="shared" si="28"/>
        <v>9500</v>
      </c>
      <c r="L463" s="11">
        <f t="shared" si="29"/>
        <v>4862</v>
      </c>
      <c r="M463" s="11">
        <f t="shared" si="30"/>
        <v>23038</v>
      </c>
      <c r="N463" s="10">
        <f t="shared" si="31"/>
        <v>0.6159893048128342</v>
      </c>
    </row>
    <row r="464" spans="1:14" x14ac:dyDescent="0.3">
      <c r="A464" s="9" t="s">
        <v>538</v>
      </c>
      <c r="B464" s="9" t="s">
        <v>531</v>
      </c>
      <c r="C464" s="9" t="s">
        <v>38</v>
      </c>
      <c r="D464" s="9" t="s">
        <v>20</v>
      </c>
      <c r="E464" s="9">
        <v>2</v>
      </c>
      <c r="F464" s="11">
        <v>109800</v>
      </c>
      <c r="G464" s="9" t="str">
        <f>INDEX(Products!$B$2:$B$9,MATCH(D464,Products!$A$2:$A$9,0))</f>
        <v>Trà cà leo gai giảm cân</v>
      </c>
      <c r="H464" s="9" t="str">
        <f>INDEX(Products!$C$2:$C$9,MATCH(D464,Products!$A$2:$A$9,0))</f>
        <v>Detox</v>
      </c>
      <c r="I464" s="11">
        <f>INDEX(Products!$D$2:$D$9,MATCH(D464,Products!$A$2:$A$9,0))</f>
        <v>15000</v>
      </c>
      <c r="J464" s="10">
        <f>IFERROR(INDEX(PlatformFees!$C$2:$C$5,MATCH(C464,PlatformFees!$A$2:$A$5,0)),0)</f>
        <v>0.16</v>
      </c>
      <c r="K464" s="11">
        <f t="shared" si="28"/>
        <v>30000</v>
      </c>
      <c r="L464" s="11">
        <f t="shared" si="29"/>
        <v>17568</v>
      </c>
      <c r="M464" s="11">
        <f t="shared" si="30"/>
        <v>62232</v>
      </c>
      <c r="N464" s="10">
        <f t="shared" si="31"/>
        <v>0.566775956284153</v>
      </c>
    </row>
    <row r="465" spans="1:14" x14ac:dyDescent="0.3">
      <c r="A465" s="9" t="s">
        <v>539</v>
      </c>
      <c r="B465" s="9" t="s">
        <v>531</v>
      </c>
      <c r="C465" s="9" t="s">
        <v>36</v>
      </c>
      <c r="D465" s="9" t="s">
        <v>27</v>
      </c>
      <c r="E465" s="9">
        <v>1</v>
      </c>
      <c r="F465" s="11">
        <v>38300</v>
      </c>
      <c r="G465" s="9" t="str">
        <f>INDEX(Products!$B$2:$B$9,MATCH(D465,Products!$A$2:$A$9,0))</f>
        <v>Trà gừng mật ong</v>
      </c>
      <c r="H465" s="9" t="str">
        <f>INDEX(Products!$C$2:$C$9,MATCH(D465,Products!$A$2:$A$9,0))</f>
        <v>Giữ ấm</v>
      </c>
      <c r="I465" s="11">
        <f>INDEX(Products!$D$2:$D$9,MATCH(D465,Products!$A$2:$A$9,0))</f>
        <v>11000</v>
      </c>
      <c r="J465" s="10">
        <f>IFERROR(INDEX(PlatformFees!$C$2:$C$5,MATCH(C465,PlatformFees!$A$2:$A$5,0)),0)</f>
        <v>0.13</v>
      </c>
      <c r="K465" s="11">
        <f t="shared" si="28"/>
        <v>11000</v>
      </c>
      <c r="L465" s="11">
        <f t="shared" si="29"/>
        <v>4979</v>
      </c>
      <c r="M465" s="11">
        <f t="shared" si="30"/>
        <v>22321</v>
      </c>
      <c r="N465" s="10">
        <f t="shared" si="31"/>
        <v>0.58279373368146214</v>
      </c>
    </row>
    <row r="466" spans="1:14" x14ac:dyDescent="0.3">
      <c r="A466" s="9" t="s">
        <v>540</v>
      </c>
      <c r="B466" s="9" t="s">
        <v>531</v>
      </c>
      <c r="C466" s="9" t="s">
        <v>36</v>
      </c>
      <c r="D466" s="9" t="s">
        <v>20</v>
      </c>
      <c r="E466" s="9">
        <v>1</v>
      </c>
      <c r="F466" s="11">
        <v>55400</v>
      </c>
      <c r="G466" s="9" t="str">
        <f>INDEX(Products!$B$2:$B$9,MATCH(D466,Products!$A$2:$A$9,0))</f>
        <v>Trà cà leo gai giảm cân</v>
      </c>
      <c r="H466" s="9" t="str">
        <f>INDEX(Products!$C$2:$C$9,MATCH(D466,Products!$A$2:$A$9,0))</f>
        <v>Detox</v>
      </c>
      <c r="I466" s="11">
        <f>INDEX(Products!$D$2:$D$9,MATCH(D466,Products!$A$2:$A$9,0))</f>
        <v>15000</v>
      </c>
      <c r="J466" s="10">
        <f>IFERROR(INDEX(PlatformFees!$C$2:$C$5,MATCH(C466,PlatformFees!$A$2:$A$5,0)),0)</f>
        <v>0.13</v>
      </c>
      <c r="K466" s="11">
        <f t="shared" si="28"/>
        <v>15000</v>
      </c>
      <c r="L466" s="11">
        <f t="shared" si="29"/>
        <v>7202</v>
      </c>
      <c r="M466" s="11">
        <f t="shared" si="30"/>
        <v>33198</v>
      </c>
      <c r="N466" s="10">
        <f t="shared" si="31"/>
        <v>0.59924187725631772</v>
      </c>
    </row>
    <row r="467" spans="1:14" x14ac:dyDescent="0.3">
      <c r="A467" s="9" t="s">
        <v>541</v>
      </c>
      <c r="B467" s="9" t="s">
        <v>531</v>
      </c>
      <c r="C467" s="9" t="s">
        <v>39</v>
      </c>
      <c r="D467" s="9" t="s">
        <v>25</v>
      </c>
      <c r="E467" s="9">
        <v>1</v>
      </c>
      <c r="F467" s="11">
        <v>33500</v>
      </c>
      <c r="G467" s="9" t="str">
        <f>INDEX(Products!$B$2:$B$9,MATCH(D467,Products!$A$2:$A$9,0))</f>
        <v>Trà hoa đậu biếc</v>
      </c>
      <c r="H467" s="9" t="str">
        <f>INDEX(Products!$C$2:$C$9,MATCH(D467,Products!$A$2:$A$9,0))</f>
        <v>An thần</v>
      </c>
      <c r="I467" s="11">
        <f>INDEX(Products!$D$2:$D$9,MATCH(D467,Products!$A$2:$A$9,0))</f>
        <v>8800</v>
      </c>
      <c r="J467" s="10">
        <f>IFERROR(INDEX(PlatformFees!$C$2:$C$5,MATCH(C467,PlatformFees!$A$2:$A$5,0)),0)</f>
        <v>0</v>
      </c>
      <c r="K467" s="11">
        <f t="shared" si="28"/>
        <v>8800</v>
      </c>
      <c r="L467" s="11">
        <f t="shared" si="29"/>
        <v>0</v>
      </c>
      <c r="M467" s="11">
        <f t="shared" si="30"/>
        <v>24700</v>
      </c>
      <c r="N467" s="10">
        <f t="shared" si="31"/>
        <v>0.73731343283582085</v>
      </c>
    </row>
    <row r="468" spans="1:14" x14ac:dyDescent="0.3">
      <c r="A468" s="9" t="s">
        <v>542</v>
      </c>
      <c r="B468" s="9" t="s">
        <v>531</v>
      </c>
      <c r="C468" s="9" t="s">
        <v>36</v>
      </c>
      <c r="D468" s="9" t="s">
        <v>22</v>
      </c>
      <c r="E468" s="9">
        <v>2</v>
      </c>
      <c r="F468" s="11">
        <v>74700</v>
      </c>
      <c r="G468" s="9" t="str">
        <f>INDEX(Products!$B$2:$B$9,MATCH(D468,Products!$A$2:$A$9,0))</f>
        <v>Trà hoa cúc an thần</v>
      </c>
      <c r="H468" s="9" t="str">
        <f>INDEX(Products!$C$2:$C$9,MATCH(D468,Products!$A$2:$A$9,0))</f>
        <v>An thần</v>
      </c>
      <c r="I468" s="11">
        <f>INDEX(Products!$D$2:$D$9,MATCH(D468,Products!$A$2:$A$9,0))</f>
        <v>9500</v>
      </c>
      <c r="J468" s="10">
        <f>IFERROR(INDEX(PlatformFees!$C$2:$C$5,MATCH(C468,PlatformFees!$A$2:$A$5,0)),0)</f>
        <v>0.13</v>
      </c>
      <c r="K468" s="11">
        <f t="shared" si="28"/>
        <v>19000</v>
      </c>
      <c r="L468" s="11">
        <f t="shared" si="29"/>
        <v>9711</v>
      </c>
      <c r="M468" s="11">
        <f t="shared" si="30"/>
        <v>45989</v>
      </c>
      <c r="N468" s="10">
        <f t="shared" si="31"/>
        <v>0.61564926372155293</v>
      </c>
    </row>
    <row r="469" spans="1:14" x14ac:dyDescent="0.3">
      <c r="A469" s="9" t="s">
        <v>543</v>
      </c>
      <c r="B469" s="9" t="s">
        <v>531</v>
      </c>
      <c r="C469" s="9" t="s">
        <v>39</v>
      </c>
      <c r="D469" s="9" t="s">
        <v>25</v>
      </c>
      <c r="E469" s="9">
        <v>1</v>
      </c>
      <c r="F469" s="11">
        <v>33200</v>
      </c>
      <c r="G469" s="9" t="str">
        <f>INDEX(Products!$B$2:$B$9,MATCH(D469,Products!$A$2:$A$9,0))</f>
        <v>Trà hoa đậu biếc</v>
      </c>
      <c r="H469" s="9" t="str">
        <f>INDEX(Products!$C$2:$C$9,MATCH(D469,Products!$A$2:$A$9,0))</f>
        <v>An thần</v>
      </c>
      <c r="I469" s="11">
        <f>INDEX(Products!$D$2:$D$9,MATCH(D469,Products!$A$2:$A$9,0))</f>
        <v>8800</v>
      </c>
      <c r="J469" s="10">
        <f>IFERROR(INDEX(PlatformFees!$C$2:$C$5,MATCH(C469,PlatformFees!$A$2:$A$5,0)),0)</f>
        <v>0</v>
      </c>
      <c r="K469" s="11">
        <f t="shared" si="28"/>
        <v>8800</v>
      </c>
      <c r="L469" s="11">
        <f t="shared" si="29"/>
        <v>0</v>
      </c>
      <c r="M469" s="11">
        <f t="shared" si="30"/>
        <v>24400</v>
      </c>
      <c r="N469" s="10">
        <f t="shared" si="31"/>
        <v>0.73493975903614461</v>
      </c>
    </row>
    <row r="470" spans="1:14" x14ac:dyDescent="0.3">
      <c r="A470" s="9" t="s">
        <v>544</v>
      </c>
      <c r="B470" s="9" t="s">
        <v>531</v>
      </c>
      <c r="C470" s="9" t="s">
        <v>39</v>
      </c>
      <c r="D470" s="9" t="s">
        <v>27</v>
      </c>
      <c r="E470" s="9">
        <v>2</v>
      </c>
      <c r="F470" s="11">
        <v>74900</v>
      </c>
      <c r="G470" s="9" t="str">
        <f>INDEX(Products!$B$2:$B$9,MATCH(D470,Products!$A$2:$A$9,0))</f>
        <v>Trà gừng mật ong</v>
      </c>
      <c r="H470" s="9" t="str">
        <f>INDEX(Products!$C$2:$C$9,MATCH(D470,Products!$A$2:$A$9,0))</f>
        <v>Giữ ấm</v>
      </c>
      <c r="I470" s="11">
        <f>INDEX(Products!$D$2:$D$9,MATCH(D470,Products!$A$2:$A$9,0))</f>
        <v>11000</v>
      </c>
      <c r="J470" s="10">
        <f>IFERROR(INDEX(PlatformFees!$C$2:$C$5,MATCH(C470,PlatformFees!$A$2:$A$5,0)),0)</f>
        <v>0</v>
      </c>
      <c r="K470" s="11">
        <f t="shared" si="28"/>
        <v>22000</v>
      </c>
      <c r="L470" s="11">
        <f t="shared" si="29"/>
        <v>0</v>
      </c>
      <c r="M470" s="11">
        <f t="shared" si="30"/>
        <v>52900</v>
      </c>
      <c r="N470" s="10">
        <f t="shared" si="31"/>
        <v>0.70627503337783715</v>
      </c>
    </row>
    <row r="471" spans="1:14" x14ac:dyDescent="0.3">
      <c r="A471" s="9" t="s">
        <v>545</v>
      </c>
      <c r="B471" s="9" t="s">
        <v>531</v>
      </c>
      <c r="C471" s="9" t="s">
        <v>38</v>
      </c>
      <c r="D471" s="9" t="s">
        <v>12</v>
      </c>
      <c r="E471" s="9">
        <v>3</v>
      </c>
      <c r="F471" s="11">
        <v>97900</v>
      </c>
      <c r="G471" s="9" t="str">
        <f>INDEX(Products!$B$2:$B$9,MATCH(D471,Products!$A$2:$A$9,0))</f>
        <v>Trà atiso thanh lọc</v>
      </c>
      <c r="H471" s="9" t="str">
        <f>INDEX(Products!$C$2:$C$9,MATCH(D471,Products!$A$2:$A$9,0))</f>
        <v>Thanh lọc</v>
      </c>
      <c r="I471" s="11">
        <f>INDEX(Products!$D$2:$D$9,MATCH(D471,Products!$A$2:$A$9,0))</f>
        <v>9000</v>
      </c>
      <c r="J471" s="10">
        <f>IFERROR(INDEX(PlatformFees!$C$2:$C$5,MATCH(C471,PlatformFees!$A$2:$A$5,0)),0)</f>
        <v>0.16</v>
      </c>
      <c r="K471" s="11">
        <f t="shared" si="28"/>
        <v>27000</v>
      </c>
      <c r="L471" s="11">
        <f t="shared" si="29"/>
        <v>15664</v>
      </c>
      <c r="M471" s="11">
        <f t="shared" si="30"/>
        <v>55236</v>
      </c>
      <c r="N471" s="10">
        <f t="shared" si="31"/>
        <v>0.56420837589376915</v>
      </c>
    </row>
    <row r="472" spans="1:14" x14ac:dyDescent="0.3">
      <c r="A472" s="9" t="s">
        <v>546</v>
      </c>
      <c r="B472" s="9" t="s">
        <v>531</v>
      </c>
      <c r="C472" s="9" t="s">
        <v>36</v>
      </c>
      <c r="D472" s="9" t="s">
        <v>17</v>
      </c>
      <c r="E472" s="9">
        <v>1</v>
      </c>
      <c r="F472" s="11">
        <v>40500</v>
      </c>
      <c r="G472" s="9" t="str">
        <f>INDEX(Products!$B$2:$B$9,MATCH(D472,Products!$A$2:$A$9,0))</f>
        <v>Trà diếp cá rau má</v>
      </c>
      <c r="H472" s="9" t="str">
        <f>INDEX(Products!$C$2:$C$9,MATCH(D472,Products!$A$2:$A$9,0))</f>
        <v>Detox</v>
      </c>
      <c r="I472" s="11">
        <f>INDEX(Products!$D$2:$D$9,MATCH(D472,Products!$A$2:$A$9,0))</f>
        <v>10500</v>
      </c>
      <c r="J472" s="10">
        <f>IFERROR(INDEX(PlatformFees!$C$2:$C$5,MATCH(C472,PlatformFees!$A$2:$A$5,0)),0)</f>
        <v>0.13</v>
      </c>
      <c r="K472" s="11">
        <f t="shared" si="28"/>
        <v>10500</v>
      </c>
      <c r="L472" s="11">
        <f t="shared" si="29"/>
        <v>5265</v>
      </c>
      <c r="M472" s="11">
        <f t="shared" si="30"/>
        <v>24735</v>
      </c>
      <c r="N472" s="10">
        <f t="shared" si="31"/>
        <v>0.6107407407407407</v>
      </c>
    </row>
    <row r="473" spans="1:14" x14ac:dyDescent="0.3">
      <c r="A473" s="9" t="s">
        <v>547</v>
      </c>
      <c r="B473" s="9" t="s">
        <v>531</v>
      </c>
      <c r="C473" s="9" t="s">
        <v>36</v>
      </c>
      <c r="D473" s="9" t="s">
        <v>20</v>
      </c>
      <c r="E473" s="9">
        <v>2</v>
      </c>
      <c r="F473" s="11">
        <v>112300</v>
      </c>
      <c r="G473" s="9" t="str">
        <f>INDEX(Products!$B$2:$B$9,MATCH(D473,Products!$A$2:$A$9,0))</f>
        <v>Trà cà leo gai giảm cân</v>
      </c>
      <c r="H473" s="9" t="str">
        <f>INDEX(Products!$C$2:$C$9,MATCH(D473,Products!$A$2:$A$9,0))</f>
        <v>Detox</v>
      </c>
      <c r="I473" s="11">
        <f>INDEX(Products!$D$2:$D$9,MATCH(D473,Products!$A$2:$A$9,0))</f>
        <v>15000</v>
      </c>
      <c r="J473" s="10">
        <f>IFERROR(INDEX(PlatformFees!$C$2:$C$5,MATCH(C473,PlatformFees!$A$2:$A$5,0)),0)</f>
        <v>0.13</v>
      </c>
      <c r="K473" s="11">
        <f t="shared" si="28"/>
        <v>30000</v>
      </c>
      <c r="L473" s="11">
        <f t="shared" si="29"/>
        <v>14599</v>
      </c>
      <c r="M473" s="11">
        <f t="shared" si="30"/>
        <v>67701</v>
      </c>
      <c r="N473" s="10">
        <f t="shared" si="31"/>
        <v>0.60285841495992876</v>
      </c>
    </row>
    <row r="474" spans="1:14" x14ac:dyDescent="0.3">
      <c r="A474" s="9" t="s">
        <v>548</v>
      </c>
      <c r="B474" s="9" t="s">
        <v>531</v>
      </c>
      <c r="C474" s="9" t="s">
        <v>39</v>
      </c>
      <c r="D474" s="9" t="s">
        <v>27</v>
      </c>
      <c r="E474" s="9">
        <v>1</v>
      </c>
      <c r="F474" s="11">
        <v>39900</v>
      </c>
      <c r="G474" s="9" t="str">
        <f>INDEX(Products!$B$2:$B$9,MATCH(D474,Products!$A$2:$A$9,0))</f>
        <v>Trà gừng mật ong</v>
      </c>
      <c r="H474" s="9" t="str">
        <f>INDEX(Products!$C$2:$C$9,MATCH(D474,Products!$A$2:$A$9,0))</f>
        <v>Giữ ấm</v>
      </c>
      <c r="I474" s="11">
        <f>INDEX(Products!$D$2:$D$9,MATCH(D474,Products!$A$2:$A$9,0))</f>
        <v>11000</v>
      </c>
      <c r="J474" s="10">
        <f>IFERROR(INDEX(PlatformFees!$C$2:$C$5,MATCH(C474,PlatformFees!$A$2:$A$5,0)),0)</f>
        <v>0</v>
      </c>
      <c r="K474" s="11">
        <f t="shared" si="28"/>
        <v>11000</v>
      </c>
      <c r="L474" s="11">
        <f t="shared" si="29"/>
        <v>0</v>
      </c>
      <c r="M474" s="11">
        <f t="shared" si="30"/>
        <v>28900</v>
      </c>
      <c r="N474" s="10">
        <f t="shared" si="31"/>
        <v>0.72431077694235591</v>
      </c>
    </row>
    <row r="475" spans="1:14" x14ac:dyDescent="0.3">
      <c r="A475" s="9" t="s">
        <v>549</v>
      </c>
      <c r="B475" s="9" t="s">
        <v>531</v>
      </c>
      <c r="C475" s="9" t="s">
        <v>38</v>
      </c>
      <c r="D475" s="9" t="s">
        <v>20</v>
      </c>
      <c r="E475" s="9">
        <v>3</v>
      </c>
      <c r="F475" s="11">
        <v>160500</v>
      </c>
      <c r="G475" s="9" t="str">
        <f>INDEX(Products!$B$2:$B$9,MATCH(D475,Products!$A$2:$A$9,0))</f>
        <v>Trà cà leo gai giảm cân</v>
      </c>
      <c r="H475" s="9" t="str">
        <f>INDEX(Products!$C$2:$C$9,MATCH(D475,Products!$A$2:$A$9,0))</f>
        <v>Detox</v>
      </c>
      <c r="I475" s="11">
        <f>INDEX(Products!$D$2:$D$9,MATCH(D475,Products!$A$2:$A$9,0))</f>
        <v>15000</v>
      </c>
      <c r="J475" s="10">
        <f>IFERROR(INDEX(PlatformFees!$C$2:$C$5,MATCH(C475,PlatformFees!$A$2:$A$5,0)),0)</f>
        <v>0.16</v>
      </c>
      <c r="K475" s="11">
        <f t="shared" si="28"/>
        <v>45000</v>
      </c>
      <c r="L475" s="11">
        <f t="shared" si="29"/>
        <v>25680</v>
      </c>
      <c r="M475" s="11">
        <f t="shared" si="30"/>
        <v>89820</v>
      </c>
      <c r="N475" s="10">
        <f t="shared" si="31"/>
        <v>0.55962616822429911</v>
      </c>
    </row>
    <row r="476" spans="1:14" x14ac:dyDescent="0.3">
      <c r="A476" s="9" t="s">
        <v>550</v>
      </c>
      <c r="B476" s="9" t="s">
        <v>551</v>
      </c>
      <c r="C476" s="9" t="s">
        <v>36</v>
      </c>
      <c r="D476" s="9" t="s">
        <v>15</v>
      </c>
      <c r="E476" s="9">
        <v>2</v>
      </c>
      <c r="F476" s="11">
        <v>61300</v>
      </c>
      <c r="G476" s="9" t="str">
        <f>INDEX(Products!$B$2:$B$9,MATCH(D476,Products!$A$2:$A$9,0))</f>
        <v>Trà lá nam sen ổi</v>
      </c>
      <c r="H476" s="9" t="str">
        <f>INDEX(Products!$C$2:$C$9,MATCH(D476,Products!$A$2:$A$9,0))</f>
        <v>Thanh lọc</v>
      </c>
      <c r="I476" s="11">
        <f>INDEX(Products!$D$2:$D$9,MATCH(D476,Products!$A$2:$A$9,0))</f>
        <v>8500</v>
      </c>
      <c r="J476" s="10">
        <f>IFERROR(INDEX(PlatformFees!$C$2:$C$5,MATCH(C476,PlatformFees!$A$2:$A$5,0)),0)</f>
        <v>0.13</v>
      </c>
      <c r="K476" s="11">
        <f t="shared" si="28"/>
        <v>17000</v>
      </c>
      <c r="L476" s="11">
        <f t="shared" si="29"/>
        <v>7969</v>
      </c>
      <c r="M476" s="11">
        <f t="shared" si="30"/>
        <v>36331</v>
      </c>
      <c r="N476" s="10">
        <f t="shared" si="31"/>
        <v>0.59267536704730828</v>
      </c>
    </row>
    <row r="477" spans="1:14" x14ac:dyDescent="0.3">
      <c r="A477" s="9" t="s">
        <v>552</v>
      </c>
      <c r="B477" s="9" t="s">
        <v>551</v>
      </c>
      <c r="C477" s="9" t="s">
        <v>36</v>
      </c>
      <c r="D477" s="9" t="s">
        <v>25</v>
      </c>
      <c r="E477" s="9">
        <v>3</v>
      </c>
      <c r="F477" s="11">
        <v>101500</v>
      </c>
      <c r="G477" s="9" t="str">
        <f>INDEX(Products!$B$2:$B$9,MATCH(D477,Products!$A$2:$A$9,0))</f>
        <v>Trà hoa đậu biếc</v>
      </c>
      <c r="H477" s="9" t="str">
        <f>INDEX(Products!$C$2:$C$9,MATCH(D477,Products!$A$2:$A$9,0))</f>
        <v>An thần</v>
      </c>
      <c r="I477" s="11">
        <f>INDEX(Products!$D$2:$D$9,MATCH(D477,Products!$A$2:$A$9,0))</f>
        <v>8800</v>
      </c>
      <c r="J477" s="10">
        <f>IFERROR(INDEX(PlatformFees!$C$2:$C$5,MATCH(C477,PlatformFees!$A$2:$A$5,0)),0)</f>
        <v>0.13</v>
      </c>
      <c r="K477" s="11">
        <f t="shared" si="28"/>
        <v>26400</v>
      </c>
      <c r="L477" s="11">
        <f t="shared" si="29"/>
        <v>13195</v>
      </c>
      <c r="M477" s="11">
        <f t="shared" si="30"/>
        <v>61905</v>
      </c>
      <c r="N477" s="10">
        <f t="shared" si="31"/>
        <v>0.60990147783251236</v>
      </c>
    </row>
    <row r="478" spans="1:14" x14ac:dyDescent="0.3">
      <c r="A478" s="9" t="s">
        <v>553</v>
      </c>
      <c r="B478" s="9" t="s">
        <v>551</v>
      </c>
      <c r="C478" s="9" t="s">
        <v>39</v>
      </c>
      <c r="D478" s="9" t="s">
        <v>15</v>
      </c>
      <c r="E478" s="9">
        <v>2</v>
      </c>
      <c r="F478" s="11">
        <v>60200</v>
      </c>
      <c r="G478" s="9" t="str">
        <f>INDEX(Products!$B$2:$B$9,MATCH(D478,Products!$A$2:$A$9,0))</f>
        <v>Trà lá nam sen ổi</v>
      </c>
      <c r="H478" s="9" t="str">
        <f>INDEX(Products!$C$2:$C$9,MATCH(D478,Products!$A$2:$A$9,0))</f>
        <v>Thanh lọc</v>
      </c>
      <c r="I478" s="11">
        <f>INDEX(Products!$D$2:$D$9,MATCH(D478,Products!$A$2:$A$9,0))</f>
        <v>8500</v>
      </c>
      <c r="J478" s="10">
        <f>IFERROR(INDEX(PlatformFees!$C$2:$C$5,MATCH(C478,PlatformFees!$A$2:$A$5,0)),0)</f>
        <v>0</v>
      </c>
      <c r="K478" s="11">
        <f t="shared" si="28"/>
        <v>17000</v>
      </c>
      <c r="L478" s="11">
        <f t="shared" si="29"/>
        <v>0</v>
      </c>
      <c r="M478" s="11">
        <f t="shared" si="30"/>
        <v>43200</v>
      </c>
      <c r="N478" s="10">
        <f t="shared" si="31"/>
        <v>0.71760797342192695</v>
      </c>
    </row>
    <row r="479" spans="1:14" x14ac:dyDescent="0.3">
      <c r="A479" s="9" t="s">
        <v>554</v>
      </c>
      <c r="B479" s="9" t="s">
        <v>551</v>
      </c>
      <c r="C479" s="9" t="s">
        <v>36</v>
      </c>
      <c r="D479" s="9" t="s">
        <v>20</v>
      </c>
      <c r="E479" s="9">
        <v>1</v>
      </c>
      <c r="F479" s="11">
        <v>56300</v>
      </c>
      <c r="G479" s="9" t="str">
        <f>INDEX(Products!$B$2:$B$9,MATCH(D479,Products!$A$2:$A$9,0))</f>
        <v>Trà cà leo gai giảm cân</v>
      </c>
      <c r="H479" s="9" t="str">
        <f>INDEX(Products!$C$2:$C$9,MATCH(D479,Products!$A$2:$A$9,0))</f>
        <v>Detox</v>
      </c>
      <c r="I479" s="11">
        <f>INDEX(Products!$D$2:$D$9,MATCH(D479,Products!$A$2:$A$9,0))</f>
        <v>15000</v>
      </c>
      <c r="J479" s="10">
        <f>IFERROR(INDEX(PlatformFees!$C$2:$C$5,MATCH(C479,PlatformFees!$A$2:$A$5,0)),0)</f>
        <v>0.13</v>
      </c>
      <c r="K479" s="11">
        <f t="shared" si="28"/>
        <v>15000</v>
      </c>
      <c r="L479" s="11">
        <f t="shared" si="29"/>
        <v>7319</v>
      </c>
      <c r="M479" s="11">
        <f t="shared" si="30"/>
        <v>33981</v>
      </c>
      <c r="N479" s="10">
        <f t="shared" si="31"/>
        <v>0.60357015985790408</v>
      </c>
    </row>
    <row r="480" spans="1:14" x14ac:dyDescent="0.3">
      <c r="A480" s="9" t="s">
        <v>555</v>
      </c>
      <c r="B480" s="9" t="s">
        <v>551</v>
      </c>
      <c r="C480" s="9" t="s">
        <v>40</v>
      </c>
      <c r="D480" s="9" t="s">
        <v>27</v>
      </c>
      <c r="E480" s="9">
        <v>3</v>
      </c>
      <c r="F480" s="11">
        <v>113100</v>
      </c>
      <c r="G480" s="9" t="str">
        <f>INDEX(Products!$B$2:$B$9,MATCH(D480,Products!$A$2:$A$9,0))</f>
        <v>Trà gừng mật ong</v>
      </c>
      <c r="H480" s="9" t="str">
        <f>INDEX(Products!$C$2:$C$9,MATCH(D480,Products!$A$2:$A$9,0))</f>
        <v>Giữ ấm</v>
      </c>
      <c r="I480" s="11">
        <f>INDEX(Products!$D$2:$D$9,MATCH(D480,Products!$A$2:$A$9,0))</f>
        <v>11000</v>
      </c>
      <c r="J480" s="10">
        <f>IFERROR(INDEX(PlatformFees!$C$2:$C$5,MATCH(C480,PlatformFees!$A$2:$A$5,0)),0)</f>
        <v>0</v>
      </c>
      <c r="K480" s="11">
        <f t="shared" si="28"/>
        <v>33000</v>
      </c>
      <c r="L480" s="11">
        <f t="shared" si="29"/>
        <v>0</v>
      </c>
      <c r="M480" s="11">
        <f t="shared" si="30"/>
        <v>80100</v>
      </c>
      <c r="N480" s="10">
        <f t="shared" si="31"/>
        <v>0.70822281167108758</v>
      </c>
    </row>
    <row r="481" spans="1:14" x14ac:dyDescent="0.3">
      <c r="A481" s="9" t="s">
        <v>556</v>
      </c>
      <c r="B481" s="9" t="s">
        <v>551</v>
      </c>
      <c r="C481" s="9" t="s">
        <v>39</v>
      </c>
      <c r="D481" s="9" t="s">
        <v>17</v>
      </c>
      <c r="E481" s="9">
        <v>1</v>
      </c>
      <c r="F481" s="11">
        <v>41200</v>
      </c>
      <c r="G481" s="9" t="str">
        <f>INDEX(Products!$B$2:$B$9,MATCH(D481,Products!$A$2:$A$9,0))</f>
        <v>Trà diếp cá rau má</v>
      </c>
      <c r="H481" s="9" t="str">
        <f>INDEX(Products!$C$2:$C$9,MATCH(D481,Products!$A$2:$A$9,0))</f>
        <v>Detox</v>
      </c>
      <c r="I481" s="11">
        <f>INDEX(Products!$D$2:$D$9,MATCH(D481,Products!$A$2:$A$9,0))</f>
        <v>10500</v>
      </c>
      <c r="J481" s="10">
        <f>IFERROR(INDEX(PlatformFees!$C$2:$C$5,MATCH(C481,PlatformFees!$A$2:$A$5,0)),0)</f>
        <v>0</v>
      </c>
      <c r="K481" s="11">
        <f t="shared" si="28"/>
        <v>10500</v>
      </c>
      <c r="L481" s="11">
        <f t="shared" si="29"/>
        <v>0</v>
      </c>
      <c r="M481" s="11">
        <f t="shared" si="30"/>
        <v>30700</v>
      </c>
      <c r="N481" s="10">
        <f t="shared" si="31"/>
        <v>0.74514563106796117</v>
      </c>
    </row>
    <row r="482" spans="1:14" x14ac:dyDescent="0.3">
      <c r="A482" s="9" t="s">
        <v>557</v>
      </c>
      <c r="B482" s="9" t="s">
        <v>551</v>
      </c>
      <c r="C482" s="9" t="s">
        <v>40</v>
      </c>
      <c r="D482" s="9" t="s">
        <v>27</v>
      </c>
      <c r="E482" s="9">
        <v>1</v>
      </c>
      <c r="F482" s="11">
        <v>37300</v>
      </c>
      <c r="G482" s="9" t="str">
        <f>INDEX(Products!$B$2:$B$9,MATCH(D482,Products!$A$2:$A$9,0))</f>
        <v>Trà gừng mật ong</v>
      </c>
      <c r="H482" s="9" t="str">
        <f>INDEX(Products!$C$2:$C$9,MATCH(D482,Products!$A$2:$A$9,0))</f>
        <v>Giữ ấm</v>
      </c>
      <c r="I482" s="11">
        <f>INDEX(Products!$D$2:$D$9,MATCH(D482,Products!$A$2:$A$9,0))</f>
        <v>11000</v>
      </c>
      <c r="J482" s="10">
        <f>IFERROR(INDEX(PlatformFees!$C$2:$C$5,MATCH(C482,PlatformFees!$A$2:$A$5,0)),0)</f>
        <v>0</v>
      </c>
      <c r="K482" s="11">
        <f t="shared" si="28"/>
        <v>11000</v>
      </c>
      <c r="L482" s="11">
        <f t="shared" si="29"/>
        <v>0</v>
      </c>
      <c r="M482" s="11">
        <f t="shared" si="30"/>
        <v>26300</v>
      </c>
      <c r="N482" s="10">
        <f t="shared" si="31"/>
        <v>0.70509383378016088</v>
      </c>
    </row>
    <row r="483" spans="1:14" x14ac:dyDescent="0.3">
      <c r="A483" s="9" t="s">
        <v>558</v>
      </c>
      <c r="B483" s="9" t="s">
        <v>551</v>
      </c>
      <c r="C483" s="9" t="s">
        <v>38</v>
      </c>
      <c r="D483" s="9" t="s">
        <v>17</v>
      </c>
      <c r="E483" s="9">
        <v>2</v>
      </c>
      <c r="F483" s="11">
        <v>84800</v>
      </c>
      <c r="G483" s="9" t="str">
        <f>INDEX(Products!$B$2:$B$9,MATCH(D483,Products!$A$2:$A$9,0))</f>
        <v>Trà diếp cá rau má</v>
      </c>
      <c r="H483" s="9" t="str">
        <f>INDEX(Products!$C$2:$C$9,MATCH(D483,Products!$A$2:$A$9,0))</f>
        <v>Detox</v>
      </c>
      <c r="I483" s="11">
        <f>INDEX(Products!$D$2:$D$9,MATCH(D483,Products!$A$2:$A$9,0))</f>
        <v>10500</v>
      </c>
      <c r="J483" s="10">
        <f>IFERROR(INDEX(PlatformFees!$C$2:$C$5,MATCH(C483,PlatformFees!$A$2:$A$5,0)),0)</f>
        <v>0.16</v>
      </c>
      <c r="K483" s="11">
        <f t="shared" si="28"/>
        <v>21000</v>
      </c>
      <c r="L483" s="11">
        <f t="shared" si="29"/>
        <v>13568</v>
      </c>
      <c r="M483" s="11">
        <f t="shared" si="30"/>
        <v>50232</v>
      </c>
      <c r="N483" s="10">
        <f t="shared" si="31"/>
        <v>0.59235849056603773</v>
      </c>
    </row>
    <row r="484" spans="1:14" x14ac:dyDescent="0.3">
      <c r="A484" s="9" t="s">
        <v>559</v>
      </c>
      <c r="B484" s="9" t="s">
        <v>551</v>
      </c>
      <c r="C484" s="9" t="s">
        <v>40</v>
      </c>
      <c r="D484" s="9" t="s">
        <v>27</v>
      </c>
      <c r="E484" s="9">
        <v>1</v>
      </c>
      <c r="F484" s="11">
        <v>37000</v>
      </c>
      <c r="G484" s="9" t="str">
        <f>INDEX(Products!$B$2:$B$9,MATCH(D484,Products!$A$2:$A$9,0))</f>
        <v>Trà gừng mật ong</v>
      </c>
      <c r="H484" s="9" t="str">
        <f>INDEX(Products!$C$2:$C$9,MATCH(D484,Products!$A$2:$A$9,0))</f>
        <v>Giữ ấm</v>
      </c>
      <c r="I484" s="11">
        <f>INDEX(Products!$D$2:$D$9,MATCH(D484,Products!$A$2:$A$9,0))</f>
        <v>11000</v>
      </c>
      <c r="J484" s="10">
        <f>IFERROR(INDEX(PlatformFees!$C$2:$C$5,MATCH(C484,PlatformFees!$A$2:$A$5,0)),0)</f>
        <v>0</v>
      </c>
      <c r="K484" s="11">
        <f t="shared" si="28"/>
        <v>11000</v>
      </c>
      <c r="L484" s="11">
        <f t="shared" si="29"/>
        <v>0</v>
      </c>
      <c r="M484" s="11">
        <f t="shared" si="30"/>
        <v>26000</v>
      </c>
      <c r="N484" s="10">
        <f t="shared" si="31"/>
        <v>0.70270270270270274</v>
      </c>
    </row>
    <row r="485" spans="1:14" x14ac:dyDescent="0.3">
      <c r="A485" s="9" t="s">
        <v>560</v>
      </c>
      <c r="B485" s="9" t="s">
        <v>551</v>
      </c>
      <c r="C485" s="9" t="s">
        <v>40</v>
      </c>
      <c r="D485" s="9" t="s">
        <v>12</v>
      </c>
      <c r="E485" s="9">
        <v>2</v>
      </c>
      <c r="F485" s="11">
        <v>69500</v>
      </c>
      <c r="G485" s="9" t="str">
        <f>INDEX(Products!$B$2:$B$9,MATCH(D485,Products!$A$2:$A$9,0))</f>
        <v>Trà atiso thanh lọc</v>
      </c>
      <c r="H485" s="9" t="str">
        <f>INDEX(Products!$C$2:$C$9,MATCH(D485,Products!$A$2:$A$9,0))</f>
        <v>Thanh lọc</v>
      </c>
      <c r="I485" s="11">
        <f>INDEX(Products!$D$2:$D$9,MATCH(D485,Products!$A$2:$A$9,0))</f>
        <v>9000</v>
      </c>
      <c r="J485" s="10">
        <f>IFERROR(INDEX(PlatformFees!$C$2:$C$5,MATCH(C485,PlatformFees!$A$2:$A$5,0)),0)</f>
        <v>0</v>
      </c>
      <c r="K485" s="11">
        <f t="shared" si="28"/>
        <v>18000</v>
      </c>
      <c r="L485" s="11">
        <f t="shared" si="29"/>
        <v>0</v>
      </c>
      <c r="M485" s="11">
        <f t="shared" si="30"/>
        <v>51500</v>
      </c>
      <c r="N485" s="10">
        <f t="shared" si="31"/>
        <v>0.74100719424460426</v>
      </c>
    </row>
    <row r="486" spans="1:14" x14ac:dyDescent="0.3">
      <c r="A486" s="9" t="s">
        <v>561</v>
      </c>
      <c r="B486" s="9" t="s">
        <v>551</v>
      </c>
      <c r="C486" s="9" t="s">
        <v>39</v>
      </c>
      <c r="D486" s="9" t="s">
        <v>15</v>
      </c>
      <c r="E486" s="9">
        <v>2</v>
      </c>
      <c r="F486" s="11">
        <v>60800</v>
      </c>
      <c r="G486" s="9" t="str">
        <f>INDEX(Products!$B$2:$B$9,MATCH(D486,Products!$A$2:$A$9,0))</f>
        <v>Trà lá nam sen ổi</v>
      </c>
      <c r="H486" s="9" t="str">
        <f>INDEX(Products!$C$2:$C$9,MATCH(D486,Products!$A$2:$A$9,0))</f>
        <v>Thanh lọc</v>
      </c>
      <c r="I486" s="11">
        <f>INDEX(Products!$D$2:$D$9,MATCH(D486,Products!$A$2:$A$9,0))</f>
        <v>8500</v>
      </c>
      <c r="J486" s="10">
        <f>IFERROR(INDEX(PlatformFees!$C$2:$C$5,MATCH(C486,PlatformFees!$A$2:$A$5,0)),0)</f>
        <v>0</v>
      </c>
      <c r="K486" s="11">
        <f t="shared" si="28"/>
        <v>17000</v>
      </c>
      <c r="L486" s="11">
        <f t="shared" si="29"/>
        <v>0</v>
      </c>
      <c r="M486" s="11">
        <f t="shared" si="30"/>
        <v>43800</v>
      </c>
      <c r="N486" s="10">
        <f t="shared" si="31"/>
        <v>0.72039473684210531</v>
      </c>
    </row>
    <row r="487" spans="1:14" x14ac:dyDescent="0.3">
      <c r="A487" s="9" t="s">
        <v>562</v>
      </c>
      <c r="B487" s="9" t="s">
        <v>551</v>
      </c>
      <c r="C487" s="9" t="s">
        <v>38</v>
      </c>
      <c r="D487" s="9" t="s">
        <v>17</v>
      </c>
      <c r="E487" s="9">
        <v>1</v>
      </c>
      <c r="F487" s="11">
        <v>41500</v>
      </c>
      <c r="G487" s="9" t="str">
        <f>INDEX(Products!$B$2:$B$9,MATCH(D487,Products!$A$2:$A$9,0))</f>
        <v>Trà diếp cá rau má</v>
      </c>
      <c r="H487" s="9" t="str">
        <f>INDEX(Products!$C$2:$C$9,MATCH(D487,Products!$A$2:$A$9,0))</f>
        <v>Detox</v>
      </c>
      <c r="I487" s="11">
        <f>INDEX(Products!$D$2:$D$9,MATCH(D487,Products!$A$2:$A$9,0))</f>
        <v>10500</v>
      </c>
      <c r="J487" s="10">
        <f>IFERROR(INDEX(PlatformFees!$C$2:$C$5,MATCH(C487,PlatformFees!$A$2:$A$5,0)),0)</f>
        <v>0.16</v>
      </c>
      <c r="K487" s="11">
        <f t="shared" si="28"/>
        <v>10500</v>
      </c>
      <c r="L487" s="11">
        <f t="shared" si="29"/>
        <v>6640</v>
      </c>
      <c r="M487" s="11">
        <f t="shared" si="30"/>
        <v>24360</v>
      </c>
      <c r="N487" s="10">
        <f t="shared" si="31"/>
        <v>0.58698795180722896</v>
      </c>
    </row>
    <row r="488" spans="1:14" x14ac:dyDescent="0.3">
      <c r="A488" s="9" t="s">
        <v>563</v>
      </c>
      <c r="B488" s="9" t="s">
        <v>551</v>
      </c>
      <c r="C488" s="9" t="s">
        <v>38</v>
      </c>
      <c r="D488" s="9" t="s">
        <v>17</v>
      </c>
      <c r="E488" s="9">
        <v>3</v>
      </c>
      <c r="F488" s="11">
        <v>128500</v>
      </c>
      <c r="G488" s="9" t="str">
        <f>INDEX(Products!$B$2:$B$9,MATCH(D488,Products!$A$2:$A$9,0))</f>
        <v>Trà diếp cá rau má</v>
      </c>
      <c r="H488" s="9" t="str">
        <f>INDEX(Products!$C$2:$C$9,MATCH(D488,Products!$A$2:$A$9,0))</f>
        <v>Detox</v>
      </c>
      <c r="I488" s="11">
        <f>INDEX(Products!$D$2:$D$9,MATCH(D488,Products!$A$2:$A$9,0))</f>
        <v>10500</v>
      </c>
      <c r="J488" s="10">
        <f>IFERROR(INDEX(PlatformFees!$C$2:$C$5,MATCH(C488,PlatformFees!$A$2:$A$5,0)),0)</f>
        <v>0.16</v>
      </c>
      <c r="K488" s="11">
        <f t="shared" si="28"/>
        <v>31500</v>
      </c>
      <c r="L488" s="11">
        <f t="shared" si="29"/>
        <v>20560</v>
      </c>
      <c r="M488" s="11">
        <f t="shared" si="30"/>
        <v>76440</v>
      </c>
      <c r="N488" s="10">
        <f t="shared" si="31"/>
        <v>0.59486381322957194</v>
      </c>
    </row>
    <row r="489" spans="1:14" x14ac:dyDescent="0.3">
      <c r="A489" s="9" t="s">
        <v>564</v>
      </c>
      <c r="B489" s="9" t="s">
        <v>551</v>
      </c>
      <c r="C489" s="9" t="s">
        <v>36</v>
      </c>
      <c r="D489" s="9" t="s">
        <v>17</v>
      </c>
      <c r="E489" s="9">
        <v>1</v>
      </c>
      <c r="F489" s="11">
        <v>40500</v>
      </c>
      <c r="G489" s="9" t="str">
        <f>INDEX(Products!$B$2:$B$9,MATCH(D489,Products!$A$2:$A$9,0))</f>
        <v>Trà diếp cá rau má</v>
      </c>
      <c r="H489" s="9" t="str">
        <f>INDEX(Products!$C$2:$C$9,MATCH(D489,Products!$A$2:$A$9,0))</f>
        <v>Detox</v>
      </c>
      <c r="I489" s="11">
        <f>INDEX(Products!$D$2:$D$9,MATCH(D489,Products!$A$2:$A$9,0))</f>
        <v>10500</v>
      </c>
      <c r="J489" s="10">
        <f>IFERROR(INDEX(PlatformFees!$C$2:$C$5,MATCH(C489,PlatformFees!$A$2:$A$5,0)),0)</f>
        <v>0.13</v>
      </c>
      <c r="K489" s="11">
        <f t="shared" si="28"/>
        <v>10500</v>
      </c>
      <c r="L489" s="11">
        <f t="shared" si="29"/>
        <v>5265</v>
      </c>
      <c r="M489" s="11">
        <f t="shared" si="30"/>
        <v>24735</v>
      </c>
      <c r="N489" s="10">
        <f t="shared" si="31"/>
        <v>0.6107407407407407</v>
      </c>
    </row>
    <row r="490" spans="1:14" x14ac:dyDescent="0.3">
      <c r="A490" s="9" t="s">
        <v>565</v>
      </c>
      <c r="B490" s="9" t="s">
        <v>551</v>
      </c>
      <c r="C490" s="9" t="s">
        <v>39</v>
      </c>
      <c r="D490" s="9" t="s">
        <v>12</v>
      </c>
      <c r="E490" s="9">
        <v>1</v>
      </c>
      <c r="F490" s="11">
        <v>32200</v>
      </c>
      <c r="G490" s="9" t="str">
        <f>INDEX(Products!$B$2:$B$9,MATCH(D490,Products!$A$2:$A$9,0))</f>
        <v>Trà atiso thanh lọc</v>
      </c>
      <c r="H490" s="9" t="str">
        <f>INDEX(Products!$C$2:$C$9,MATCH(D490,Products!$A$2:$A$9,0))</f>
        <v>Thanh lọc</v>
      </c>
      <c r="I490" s="11">
        <f>INDEX(Products!$D$2:$D$9,MATCH(D490,Products!$A$2:$A$9,0))</f>
        <v>9000</v>
      </c>
      <c r="J490" s="10">
        <f>IFERROR(INDEX(PlatformFees!$C$2:$C$5,MATCH(C490,PlatformFees!$A$2:$A$5,0)),0)</f>
        <v>0</v>
      </c>
      <c r="K490" s="11">
        <f t="shared" si="28"/>
        <v>9000</v>
      </c>
      <c r="L490" s="11">
        <f t="shared" si="29"/>
        <v>0</v>
      </c>
      <c r="M490" s="11">
        <f t="shared" si="30"/>
        <v>23200</v>
      </c>
      <c r="N490" s="10">
        <f t="shared" si="31"/>
        <v>0.72049689440993792</v>
      </c>
    </row>
    <row r="491" spans="1:14" x14ac:dyDescent="0.3">
      <c r="A491" s="9" t="s">
        <v>566</v>
      </c>
      <c r="B491" s="9" t="s">
        <v>551</v>
      </c>
      <c r="C491" s="9" t="s">
        <v>38</v>
      </c>
      <c r="D491" s="9" t="s">
        <v>30</v>
      </c>
      <c r="E491" s="9">
        <v>2</v>
      </c>
      <c r="F491" s="11">
        <v>71400</v>
      </c>
      <c r="G491" s="9" t="str">
        <f>INDEX(Products!$B$2:$B$9,MATCH(D491,Products!$A$2:$A$9,0))</f>
        <v>Trà mâm xôi vitamin</v>
      </c>
      <c r="H491" s="9" t="str">
        <f>INDEX(Products!$C$2:$C$9,MATCH(D491,Products!$A$2:$A$9,0))</f>
        <v>Bổ sung dưỡng chất</v>
      </c>
      <c r="I491" s="11">
        <f>INDEX(Products!$D$2:$D$9,MATCH(D491,Products!$A$2:$A$9,0))</f>
        <v>9800</v>
      </c>
      <c r="J491" s="10">
        <f>IFERROR(INDEX(PlatformFees!$C$2:$C$5,MATCH(C491,PlatformFees!$A$2:$A$5,0)),0)</f>
        <v>0.16</v>
      </c>
      <c r="K491" s="11">
        <f t="shared" si="28"/>
        <v>19600</v>
      </c>
      <c r="L491" s="11">
        <f t="shared" si="29"/>
        <v>11424</v>
      </c>
      <c r="M491" s="11">
        <f t="shared" si="30"/>
        <v>40376</v>
      </c>
      <c r="N491" s="10">
        <f t="shared" si="31"/>
        <v>0.56549019607843132</v>
      </c>
    </row>
    <row r="492" spans="1:14" x14ac:dyDescent="0.3">
      <c r="A492" s="9" t="s">
        <v>567</v>
      </c>
      <c r="B492" s="9" t="s">
        <v>551</v>
      </c>
      <c r="C492" s="9" t="s">
        <v>39</v>
      </c>
      <c r="D492" s="9" t="s">
        <v>22</v>
      </c>
      <c r="E492" s="9">
        <v>3</v>
      </c>
      <c r="F492" s="11">
        <v>107400</v>
      </c>
      <c r="G492" s="9" t="str">
        <f>INDEX(Products!$B$2:$B$9,MATCH(D492,Products!$A$2:$A$9,0))</f>
        <v>Trà hoa cúc an thần</v>
      </c>
      <c r="H492" s="9" t="str">
        <f>INDEX(Products!$C$2:$C$9,MATCH(D492,Products!$A$2:$A$9,0))</f>
        <v>An thần</v>
      </c>
      <c r="I492" s="11">
        <f>INDEX(Products!$D$2:$D$9,MATCH(D492,Products!$A$2:$A$9,0))</f>
        <v>9500</v>
      </c>
      <c r="J492" s="10">
        <f>IFERROR(INDEX(PlatformFees!$C$2:$C$5,MATCH(C492,PlatformFees!$A$2:$A$5,0)),0)</f>
        <v>0</v>
      </c>
      <c r="K492" s="11">
        <f t="shared" si="28"/>
        <v>28500</v>
      </c>
      <c r="L492" s="11">
        <f t="shared" si="29"/>
        <v>0</v>
      </c>
      <c r="M492" s="11">
        <f t="shared" si="30"/>
        <v>78900</v>
      </c>
      <c r="N492" s="10">
        <f t="shared" si="31"/>
        <v>0.73463687150837986</v>
      </c>
    </row>
    <row r="493" spans="1:14" x14ac:dyDescent="0.3">
      <c r="A493" s="9" t="s">
        <v>568</v>
      </c>
      <c r="B493" s="9" t="s">
        <v>551</v>
      </c>
      <c r="C493" s="9" t="s">
        <v>40</v>
      </c>
      <c r="D493" s="9" t="s">
        <v>17</v>
      </c>
      <c r="E493" s="9">
        <v>3</v>
      </c>
      <c r="F493" s="11">
        <v>116700</v>
      </c>
      <c r="G493" s="9" t="str">
        <f>INDEX(Products!$B$2:$B$9,MATCH(D493,Products!$A$2:$A$9,0))</f>
        <v>Trà diếp cá rau má</v>
      </c>
      <c r="H493" s="9" t="str">
        <f>INDEX(Products!$C$2:$C$9,MATCH(D493,Products!$A$2:$A$9,0))</f>
        <v>Detox</v>
      </c>
      <c r="I493" s="11">
        <f>INDEX(Products!$D$2:$D$9,MATCH(D493,Products!$A$2:$A$9,0))</f>
        <v>10500</v>
      </c>
      <c r="J493" s="10">
        <f>IFERROR(INDEX(PlatformFees!$C$2:$C$5,MATCH(C493,PlatformFees!$A$2:$A$5,0)),0)</f>
        <v>0</v>
      </c>
      <c r="K493" s="11">
        <f t="shared" si="28"/>
        <v>31500</v>
      </c>
      <c r="L493" s="11">
        <f t="shared" si="29"/>
        <v>0</v>
      </c>
      <c r="M493" s="11">
        <f t="shared" si="30"/>
        <v>85200</v>
      </c>
      <c r="N493" s="10">
        <f t="shared" si="31"/>
        <v>0.73007712082262211</v>
      </c>
    </row>
    <row r="494" spans="1:14" x14ac:dyDescent="0.3">
      <c r="A494" s="9" t="s">
        <v>569</v>
      </c>
      <c r="B494" s="9" t="s">
        <v>551</v>
      </c>
      <c r="C494" s="9" t="s">
        <v>39</v>
      </c>
      <c r="D494" s="9" t="s">
        <v>25</v>
      </c>
      <c r="E494" s="9">
        <v>1</v>
      </c>
      <c r="F494" s="11">
        <v>33300</v>
      </c>
      <c r="G494" s="9" t="str">
        <f>INDEX(Products!$B$2:$B$9,MATCH(D494,Products!$A$2:$A$9,0))</f>
        <v>Trà hoa đậu biếc</v>
      </c>
      <c r="H494" s="9" t="str">
        <f>INDEX(Products!$C$2:$C$9,MATCH(D494,Products!$A$2:$A$9,0))</f>
        <v>An thần</v>
      </c>
      <c r="I494" s="11">
        <f>INDEX(Products!$D$2:$D$9,MATCH(D494,Products!$A$2:$A$9,0))</f>
        <v>8800</v>
      </c>
      <c r="J494" s="10">
        <f>IFERROR(INDEX(PlatformFees!$C$2:$C$5,MATCH(C494,PlatformFees!$A$2:$A$5,0)),0)</f>
        <v>0</v>
      </c>
      <c r="K494" s="11">
        <f t="shared" si="28"/>
        <v>8800</v>
      </c>
      <c r="L494" s="11">
        <f t="shared" si="29"/>
        <v>0</v>
      </c>
      <c r="M494" s="11">
        <f t="shared" si="30"/>
        <v>24500</v>
      </c>
      <c r="N494" s="10">
        <f t="shared" si="31"/>
        <v>0.7357357357357357</v>
      </c>
    </row>
    <row r="495" spans="1:14" x14ac:dyDescent="0.3">
      <c r="A495" s="9" t="s">
        <v>570</v>
      </c>
      <c r="B495" s="9" t="s">
        <v>551</v>
      </c>
      <c r="C495" s="9" t="s">
        <v>39</v>
      </c>
      <c r="D495" s="9" t="s">
        <v>30</v>
      </c>
      <c r="E495" s="9">
        <v>1</v>
      </c>
      <c r="F495" s="11">
        <v>34800</v>
      </c>
      <c r="G495" s="9" t="str">
        <f>INDEX(Products!$B$2:$B$9,MATCH(D495,Products!$A$2:$A$9,0))</f>
        <v>Trà mâm xôi vitamin</v>
      </c>
      <c r="H495" s="9" t="str">
        <f>INDEX(Products!$C$2:$C$9,MATCH(D495,Products!$A$2:$A$9,0))</f>
        <v>Bổ sung dưỡng chất</v>
      </c>
      <c r="I495" s="11">
        <f>INDEX(Products!$D$2:$D$9,MATCH(D495,Products!$A$2:$A$9,0))</f>
        <v>9800</v>
      </c>
      <c r="J495" s="10">
        <f>IFERROR(INDEX(PlatformFees!$C$2:$C$5,MATCH(C495,PlatformFees!$A$2:$A$5,0)),0)</f>
        <v>0</v>
      </c>
      <c r="K495" s="11">
        <f t="shared" si="28"/>
        <v>9800</v>
      </c>
      <c r="L495" s="11">
        <f t="shared" si="29"/>
        <v>0</v>
      </c>
      <c r="M495" s="11">
        <f t="shared" si="30"/>
        <v>25000</v>
      </c>
      <c r="N495" s="10">
        <f t="shared" si="31"/>
        <v>0.7183908045977011</v>
      </c>
    </row>
    <row r="496" spans="1:14" x14ac:dyDescent="0.3">
      <c r="A496" s="9" t="s">
        <v>571</v>
      </c>
      <c r="B496" s="9" t="s">
        <v>551</v>
      </c>
      <c r="C496" s="9" t="s">
        <v>39</v>
      </c>
      <c r="D496" s="9" t="s">
        <v>30</v>
      </c>
      <c r="E496" s="9">
        <v>1</v>
      </c>
      <c r="F496" s="11">
        <v>37100</v>
      </c>
      <c r="G496" s="9" t="str">
        <f>INDEX(Products!$B$2:$B$9,MATCH(D496,Products!$A$2:$A$9,0))</f>
        <v>Trà mâm xôi vitamin</v>
      </c>
      <c r="H496" s="9" t="str">
        <f>INDEX(Products!$C$2:$C$9,MATCH(D496,Products!$A$2:$A$9,0))</f>
        <v>Bổ sung dưỡng chất</v>
      </c>
      <c r="I496" s="11">
        <f>INDEX(Products!$D$2:$D$9,MATCH(D496,Products!$A$2:$A$9,0))</f>
        <v>9800</v>
      </c>
      <c r="J496" s="10">
        <f>IFERROR(INDEX(PlatformFees!$C$2:$C$5,MATCH(C496,PlatformFees!$A$2:$A$5,0)),0)</f>
        <v>0</v>
      </c>
      <c r="K496" s="11">
        <f t="shared" si="28"/>
        <v>9800</v>
      </c>
      <c r="L496" s="11">
        <f t="shared" si="29"/>
        <v>0</v>
      </c>
      <c r="M496" s="11">
        <f t="shared" si="30"/>
        <v>27300</v>
      </c>
      <c r="N496" s="10">
        <f t="shared" si="31"/>
        <v>0.73584905660377353</v>
      </c>
    </row>
    <row r="497" spans="1:14" x14ac:dyDescent="0.3">
      <c r="A497" s="9" t="s">
        <v>572</v>
      </c>
      <c r="B497" s="9" t="s">
        <v>573</v>
      </c>
      <c r="C497" s="9" t="s">
        <v>39</v>
      </c>
      <c r="D497" s="9" t="s">
        <v>15</v>
      </c>
      <c r="E497" s="9">
        <v>3</v>
      </c>
      <c r="F497" s="11">
        <v>98500</v>
      </c>
      <c r="G497" s="9" t="str">
        <f>INDEX(Products!$B$2:$B$9,MATCH(D497,Products!$A$2:$A$9,0))</f>
        <v>Trà lá nam sen ổi</v>
      </c>
      <c r="H497" s="9" t="str">
        <f>INDEX(Products!$C$2:$C$9,MATCH(D497,Products!$A$2:$A$9,0))</f>
        <v>Thanh lọc</v>
      </c>
      <c r="I497" s="11">
        <f>INDEX(Products!$D$2:$D$9,MATCH(D497,Products!$A$2:$A$9,0))</f>
        <v>8500</v>
      </c>
      <c r="J497" s="10">
        <f>IFERROR(INDEX(PlatformFees!$C$2:$C$5,MATCH(C497,PlatformFees!$A$2:$A$5,0)),0)</f>
        <v>0</v>
      </c>
      <c r="K497" s="11">
        <f t="shared" si="28"/>
        <v>25500</v>
      </c>
      <c r="L497" s="11">
        <f t="shared" si="29"/>
        <v>0</v>
      </c>
      <c r="M497" s="11">
        <f t="shared" si="30"/>
        <v>73000</v>
      </c>
      <c r="N497" s="10">
        <f t="shared" si="31"/>
        <v>0.74111675126903553</v>
      </c>
    </row>
    <row r="498" spans="1:14" x14ac:dyDescent="0.3">
      <c r="A498" s="9" t="s">
        <v>574</v>
      </c>
      <c r="B498" s="9" t="s">
        <v>573</v>
      </c>
      <c r="C498" s="9" t="s">
        <v>40</v>
      </c>
      <c r="D498" s="9" t="s">
        <v>30</v>
      </c>
      <c r="E498" s="9">
        <v>1</v>
      </c>
      <c r="F498" s="11">
        <v>34300</v>
      </c>
      <c r="G498" s="9" t="str">
        <f>INDEX(Products!$B$2:$B$9,MATCH(D498,Products!$A$2:$A$9,0))</f>
        <v>Trà mâm xôi vitamin</v>
      </c>
      <c r="H498" s="9" t="str">
        <f>INDEX(Products!$C$2:$C$9,MATCH(D498,Products!$A$2:$A$9,0))</f>
        <v>Bổ sung dưỡng chất</v>
      </c>
      <c r="I498" s="11">
        <f>INDEX(Products!$D$2:$D$9,MATCH(D498,Products!$A$2:$A$9,0))</f>
        <v>9800</v>
      </c>
      <c r="J498" s="10">
        <f>IFERROR(INDEX(PlatformFees!$C$2:$C$5,MATCH(C498,PlatformFees!$A$2:$A$5,0)),0)</f>
        <v>0</v>
      </c>
      <c r="K498" s="11">
        <f t="shared" si="28"/>
        <v>9800</v>
      </c>
      <c r="L498" s="11">
        <f t="shared" si="29"/>
        <v>0</v>
      </c>
      <c r="M498" s="11">
        <f t="shared" si="30"/>
        <v>24500</v>
      </c>
      <c r="N498" s="10">
        <f t="shared" si="31"/>
        <v>0.7142857142857143</v>
      </c>
    </row>
    <row r="499" spans="1:14" x14ac:dyDescent="0.3">
      <c r="A499" s="9" t="s">
        <v>575</v>
      </c>
      <c r="B499" s="9" t="s">
        <v>573</v>
      </c>
      <c r="C499" s="9" t="s">
        <v>38</v>
      </c>
      <c r="D499" s="9" t="s">
        <v>30</v>
      </c>
      <c r="E499" s="9">
        <v>1</v>
      </c>
      <c r="F499" s="11">
        <v>34200</v>
      </c>
      <c r="G499" s="9" t="str">
        <f>INDEX(Products!$B$2:$B$9,MATCH(D499,Products!$A$2:$A$9,0))</f>
        <v>Trà mâm xôi vitamin</v>
      </c>
      <c r="H499" s="9" t="str">
        <f>INDEX(Products!$C$2:$C$9,MATCH(D499,Products!$A$2:$A$9,0))</f>
        <v>Bổ sung dưỡng chất</v>
      </c>
      <c r="I499" s="11">
        <f>INDEX(Products!$D$2:$D$9,MATCH(D499,Products!$A$2:$A$9,0))</f>
        <v>9800</v>
      </c>
      <c r="J499" s="10">
        <f>IFERROR(INDEX(PlatformFees!$C$2:$C$5,MATCH(C499,PlatformFees!$A$2:$A$5,0)),0)</f>
        <v>0.16</v>
      </c>
      <c r="K499" s="11">
        <f t="shared" si="28"/>
        <v>9800</v>
      </c>
      <c r="L499" s="11">
        <f t="shared" si="29"/>
        <v>5472</v>
      </c>
      <c r="M499" s="11">
        <f t="shared" si="30"/>
        <v>18928</v>
      </c>
      <c r="N499" s="10">
        <f t="shared" si="31"/>
        <v>0.55345029239766086</v>
      </c>
    </row>
    <row r="500" spans="1:14" x14ac:dyDescent="0.3">
      <c r="A500" s="9" t="s">
        <v>576</v>
      </c>
      <c r="B500" s="9" t="s">
        <v>573</v>
      </c>
      <c r="C500" s="9" t="s">
        <v>40</v>
      </c>
      <c r="D500" s="9" t="s">
        <v>22</v>
      </c>
      <c r="E500" s="9">
        <v>2</v>
      </c>
      <c r="F500" s="11">
        <v>77400</v>
      </c>
      <c r="G500" s="9" t="str">
        <f>INDEX(Products!$B$2:$B$9,MATCH(D500,Products!$A$2:$A$9,0))</f>
        <v>Trà hoa cúc an thần</v>
      </c>
      <c r="H500" s="9" t="str">
        <f>INDEX(Products!$C$2:$C$9,MATCH(D500,Products!$A$2:$A$9,0))</f>
        <v>An thần</v>
      </c>
      <c r="I500" s="11">
        <f>INDEX(Products!$D$2:$D$9,MATCH(D500,Products!$A$2:$A$9,0))</f>
        <v>9500</v>
      </c>
      <c r="J500" s="10">
        <f>IFERROR(INDEX(PlatformFees!$C$2:$C$5,MATCH(C500,PlatformFees!$A$2:$A$5,0)),0)</f>
        <v>0</v>
      </c>
      <c r="K500" s="11">
        <f t="shared" si="28"/>
        <v>19000</v>
      </c>
      <c r="L500" s="11">
        <f t="shared" si="29"/>
        <v>0</v>
      </c>
      <c r="M500" s="11">
        <f t="shared" si="30"/>
        <v>58400</v>
      </c>
      <c r="N500" s="10">
        <f t="shared" si="31"/>
        <v>0.75452196382428938</v>
      </c>
    </row>
    <row r="501" spans="1:14" x14ac:dyDescent="0.3">
      <c r="A501" s="9" t="s">
        <v>577</v>
      </c>
      <c r="B501" s="9" t="s">
        <v>573</v>
      </c>
      <c r="C501" s="9" t="s">
        <v>36</v>
      </c>
      <c r="D501" s="9" t="s">
        <v>20</v>
      </c>
      <c r="E501" s="9">
        <v>1</v>
      </c>
      <c r="F501" s="11">
        <v>51800</v>
      </c>
      <c r="G501" s="9" t="str">
        <f>INDEX(Products!$B$2:$B$9,MATCH(D501,Products!$A$2:$A$9,0))</f>
        <v>Trà cà leo gai giảm cân</v>
      </c>
      <c r="H501" s="9" t="str">
        <f>INDEX(Products!$C$2:$C$9,MATCH(D501,Products!$A$2:$A$9,0))</f>
        <v>Detox</v>
      </c>
      <c r="I501" s="11">
        <f>INDEX(Products!$D$2:$D$9,MATCH(D501,Products!$A$2:$A$9,0))</f>
        <v>15000</v>
      </c>
      <c r="J501" s="10">
        <f>IFERROR(INDEX(PlatformFees!$C$2:$C$5,MATCH(C501,PlatformFees!$A$2:$A$5,0)),0)</f>
        <v>0.13</v>
      </c>
      <c r="K501" s="11">
        <f t="shared" si="28"/>
        <v>15000</v>
      </c>
      <c r="L501" s="11">
        <f t="shared" si="29"/>
        <v>6734</v>
      </c>
      <c r="M501" s="11">
        <f t="shared" si="30"/>
        <v>30066</v>
      </c>
      <c r="N501" s="10">
        <f t="shared" si="31"/>
        <v>0.58042471042471044</v>
      </c>
    </row>
    <row r="502" spans="1:14" x14ac:dyDescent="0.3">
      <c r="A502" s="9" t="s">
        <v>578</v>
      </c>
      <c r="B502" s="9" t="s">
        <v>573</v>
      </c>
      <c r="C502" s="9" t="s">
        <v>36</v>
      </c>
      <c r="D502" s="9" t="s">
        <v>15</v>
      </c>
      <c r="E502" s="9">
        <v>2</v>
      </c>
      <c r="F502" s="11">
        <v>63400</v>
      </c>
      <c r="G502" s="9" t="str">
        <f>INDEX(Products!$B$2:$B$9,MATCH(D502,Products!$A$2:$A$9,0))</f>
        <v>Trà lá nam sen ổi</v>
      </c>
      <c r="H502" s="9" t="str">
        <f>INDEX(Products!$C$2:$C$9,MATCH(D502,Products!$A$2:$A$9,0))</f>
        <v>Thanh lọc</v>
      </c>
      <c r="I502" s="11">
        <f>INDEX(Products!$D$2:$D$9,MATCH(D502,Products!$A$2:$A$9,0))</f>
        <v>8500</v>
      </c>
      <c r="J502" s="10">
        <f>IFERROR(INDEX(PlatformFees!$C$2:$C$5,MATCH(C502,PlatformFees!$A$2:$A$5,0)),0)</f>
        <v>0.13</v>
      </c>
      <c r="K502" s="11">
        <f t="shared" si="28"/>
        <v>17000</v>
      </c>
      <c r="L502" s="11">
        <f t="shared" si="29"/>
        <v>8242</v>
      </c>
      <c r="M502" s="11">
        <f t="shared" si="30"/>
        <v>38158</v>
      </c>
      <c r="N502" s="10">
        <f t="shared" si="31"/>
        <v>0.60186119873817034</v>
      </c>
    </row>
    <row r="503" spans="1:14" x14ac:dyDescent="0.3">
      <c r="A503" s="9" t="s">
        <v>579</v>
      </c>
      <c r="B503" s="9" t="s">
        <v>573</v>
      </c>
      <c r="C503" s="9" t="s">
        <v>39</v>
      </c>
      <c r="D503" s="9" t="s">
        <v>12</v>
      </c>
      <c r="E503" s="9">
        <v>1</v>
      </c>
      <c r="F503" s="11">
        <v>35200</v>
      </c>
      <c r="G503" s="9" t="str">
        <f>INDEX(Products!$B$2:$B$9,MATCH(D503,Products!$A$2:$A$9,0))</f>
        <v>Trà atiso thanh lọc</v>
      </c>
      <c r="H503" s="9" t="str">
        <f>INDEX(Products!$C$2:$C$9,MATCH(D503,Products!$A$2:$A$9,0))</f>
        <v>Thanh lọc</v>
      </c>
      <c r="I503" s="11">
        <f>INDEX(Products!$D$2:$D$9,MATCH(D503,Products!$A$2:$A$9,0))</f>
        <v>9000</v>
      </c>
      <c r="J503" s="10">
        <f>IFERROR(INDEX(PlatformFees!$C$2:$C$5,MATCH(C503,PlatformFees!$A$2:$A$5,0)),0)</f>
        <v>0</v>
      </c>
      <c r="K503" s="11">
        <f t="shared" si="28"/>
        <v>9000</v>
      </c>
      <c r="L503" s="11">
        <f t="shared" si="29"/>
        <v>0</v>
      </c>
      <c r="M503" s="11">
        <f t="shared" si="30"/>
        <v>26200</v>
      </c>
      <c r="N503" s="10">
        <f t="shared" si="31"/>
        <v>0.74431818181818177</v>
      </c>
    </row>
    <row r="504" spans="1:14" x14ac:dyDescent="0.3">
      <c r="A504" s="9" t="s">
        <v>580</v>
      </c>
      <c r="B504" s="9" t="s">
        <v>573</v>
      </c>
      <c r="C504" s="9" t="s">
        <v>38</v>
      </c>
      <c r="D504" s="9" t="s">
        <v>25</v>
      </c>
      <c r="E504" s="9">
        <v>1</v>
      </c>
      <c r="F504" s="11">
        <v>33600</v>
      </c>
      <c r="G504" s="9" t="str">
        <f>INDEX(Products!$B$2:$B$9,MATCH(D504,Products!$A$2:$A$9,0))</f>
        <v>Trà hoa đậu biếc</v>
      </c>
      <c r="H504" s="9" t="str">
        <f>INDEX(Products!$C$2:$C$9,MATCH(D504,Products!$A$2:$A$9,0))</f>
        <v>An thần</v>
      </c>
      <c r="I504" s="11">
        <f>INDEX(Products!$D$2:$D$9,MATCH(D504,Products!$A$2:$A$9,0))</f>
        <v>8800</v>
      </c>
      <c r="J504" s="10">
        <f>IFERROR(INDEX(PlatformFees!$C$2:$C$5,MATCH(C504,PlatformFees!$A$2:$A$5,0)),0)</f>
        <v>0.16</v>
      </c>
      <c r="K504" s="11">
        <f t="shared" si="28"/>
        <v>8800</v>
      </c>
      <c r="L504" s="11">
        <f t="shared" si="29"/>
        <v>5376</v>
      </c>
      <c r="M504" s="11">
        <f t="shared" si="30"/>
        <v>19424</v>
      </c>
      <c r="N504" s="10">
        <f t="shared" si="31"/>
        <v>0.57809523809523811</v>
      </c>
    </row>
    <row r="505" spans="1:14" x14ac:dyDescent="0.3">
      <c r="A505" s="9" t="s">
        <v>581</v>
      </c>
      <c r="B505" s="9" t="s">
        <v>573</v>
      </c>
      <c r="C505" s="9" t="s">
        <v>38</v>
      </c>
      <c r="D505" s="9" t="s">
        <v>20</v>
      </c>
      <c r="E505" s="9">
        <v>2</v>
      </c>
      <c r="F505" s="11">
        <v>107400</v>
      </c>
      <c r="G505" s="9" t="str">
        <f>INDEX(Products!$B$2:$B$9,MATCH(D505,Products!$A$2:$A$9,0))</f>
        <v>Trà cà leo gai giảm cân</v>
      </c>
      <c r="H505" s="9" t="str">
        <f>INDEX(Products!$C$2:$C$9,MATCH(D505,Products!$A$2:$A$9,0))</f>
        <v>Detox</v>
      </c>
      <c r="I505" s="11">
        <f>INDEX(Products!$D$2:$D$9,MATCH(D505,Products!$A$2:$A$9,0))</f>
        <v>15000</v>
      </c>
      <c r="J505" s="10">
        <f>IFERROR(INDEX(PlatformFees!$C$2:$C$5,MATCH(C505,PlatformFees!$A$2:$A$5,0)),0)</f>
        <v>0.16</v>
      </c>
      <c r="K505" s="11">
        <f t="shared" si="28"/>
        <v>30000</v>
      </c>
      <c r="L505" s="11">
        <f t="shared" si="29"/>
        <v>17184</v>
      </c>
      <c r="M505" s="11">
        <f t="shared" si="30"/>
        <v>60216</v>
      </c>
      <c r="N505" s="10">
        <f t="shared" si="31"/>
        <v>0.56067039106145256</v>
      </c>
    </row>
    <row r="506" spans="1:14" x14ac:dyDescent="0.3">
      <c r="A506" s="9" t="s">
        <v>582</v>
      </c>
      <c r="B506" s="9" t="s">
        <v>573</v>
      </c>
      <c r="C506" s="9" t="s">
        <v>36</v>
      </c>
      <c r="D506" s="9" t="s">
        <v>22</v>
      </c>
      <c r="E506" s="9">
        <v>1</v>
      </c>
      <c r="F506" s="11">
        <v>39100</v>
      </c>
      <c r="G506" s="9" t="str">
        <f>INDEX(Products!$B$2:$B$9,MATCH(D506,Products!$A$2:$A$9,0))</f>
        <v>Trà hoa cúc an thần</v>
      </c>
      <c r="H506" s="9" t="str">
        <f>INDEX(Products!$C$2:$C$9,MATCH(D506,Products!$A$2:$A$9,0))</f>
        <v>An thần</v>
      </c>
      <c r="I506" s="11">
        <f>INDEX(Products!$D$2:$D$9,MATCH(D506,Products!$A$2:$A$9,0))</f>
        <v>9500</v>
      </c>
      <c r="J506" s="10">
        <f>IFERROR(INDEX(PlatformFees!$C$2:$C$5,MATCH(C506,PlatformFees!$A$2:$A$5,0)),0)</f>
        <v>0.13</v>
      </c>
      <c r="K506" s="11">
        <f t="shared" si="28"/>
        <v>9500</v>
      </c>
      <c r="L506" s="11">
        <f t="shared" si="29"/>
        <v>5083</v>
      </c>
      <c r="M506" s="11">
        <f t="shared" si="30"/>
        <v>24517</v>
      </c>
      <c r="N506" s="10">
        <f t="shared" si="31"/>
        <v>0.62703324808184147</v>
      </c>
    </row>
    <row r="507" spans="1:14" x14ac:dyDescent="0.3">
      <c r="A507" s="9" t="s">
        <v>583</v>
      </c>
      <c r="B507" s="9" t="s">
        <v>573</v>
      </c>
      <c r="C507" s="9" t="s">
        <v>38</v>
      </c>
      <c r="D507" s="9" t="s">
        <v>30</v>
      </c>
      <c r="E507" s="9">
        <v>1</v>
      </c>
      <c r="F507" s="11">
        <v>34200</v>
      </c>
      <c r="G507" s="9" t="str">
        <f>INDEX(Products!$B$2:$B$9,MATCH(D507,Products!$A$2:$A$9,0))</f>
        <v>Trà mâm xôi vitamin</v>
      </c>
      <c r="H507" s="9" t="str">
        <f>INDEX(Products!$C$2:$C$9,MATCH(D507,Products!$A$2:$A$9,0))</f>
        <v>Bổ sung dưỡng chất</v>
      </c>
      <c r="I507" s="11">
        <f>INDEX(Products!$D$2:$D$9,MATCH(D507,Products!$A$2:$A$9,0))</f>
        <v>9800</v>
      </c>
      <c r="J507" s="10">
        <f>IFERROR(INDEX(PlatformFees!$C$2:$C$5,MATCH(C507,PlatformFees!$A$2:$A$5,0)),0)</f>
        <v>0.16</v>
      </c>
      <c r="K507" s="11">
        <f t="shared" si="28"/>
        <v>9800</v>
      </c>
      <c r="L507" s="11">
        <f t="shared" si="29"/>
        <v>5472</v>
      </c>
      <c r="M507" s="11">
        <f t="shared" si="30"/>
        <v>18928</v>
      </c>
      <c r="N507" s="10">
        <f t="shared" si="31"/>
        <v>0.55345029239766086</v>
      </c>
    </row>
    <row r="508" spans="1:14" x14ac:dyDescent="0.3">
      <c r="A508" s="9" t="s">
        <v>584</v>
      </c>
      <c r="B508" s="9" t="s">
        <v>573</v>
      </c>
      <c r="C508" s="9" t="s">
        <v>36</v>
      </c>
      <c r="D508" s="9" t="s">
        <v>25</v>
      </c>
      <c r="E508" s="9">
        <v>1</v>
      </c>
      <c r="F508" s="11">
        <v>32400</v>
      </c>
      <c r="G508" s="9" t="str">
        <f>INDEX(Products!$B$2:$B$9,MATCH(D508,Products!$A$2:$A$9,0))</f>
        <v>Trà hoa đậu biếc</v>
      </c>
      <c r="H508" s="9" t="str">
        <f>INDEX(Products!$C$2:$C$9,MATCH(D508,Products!$A$2:$A$9,0))</f>
        <v>An thần</v>
      </c>
      <c r="I508" s="11">
        <f>INDEX(Products!$D$2:$D$9,MATCH(D508,Products!$A$2:$A$9,0))</f>
        <v>8800</v>
      </c>
      <c r="J508" s="10">
        <f>IFERROR(INDEX(PlatformFees!$C$2:$C$5,MATCH(C508,PlatformFees!$A$2:$A$5,0)),0)</f>
        <v>0.13</v>
      </c>
      <c r="K508" s="11">
        <f t="shared" si="28"/>
        <v>8800</v>
      </c>
      <c r="L508" s="11">
        <f t="shared" si="29"/>
        <v>4212</v>
      </c>
      <c r="M508" s="11">
        <f t="shared" si="30"/>
        <v>19388</v>
      </c>
      <c r="N508" s="10">
        <f t="shared" si="31"/>
        <v>0.59839506172839507</v>
      </c>
    </row>
    <row r="509" spans="1:14" x14ac:dyDescent="0.3">
      <c r="A509" s="9" t="s">
        <v>585</v>
      </c>
      <c r="B509" s="9" t="s">
        <v>573</v>
      </c>
      <c r="C509" s="9" t="s">
        <v>39</v>
      </c>
      <c r="D509" s="9" t="s">
        <v>12</v>
      </c>
      <c r="E509" s="9">
        <v>3</v>
      </c>
      <c r="F509" s="11">
        <v>100800</v>
      </c>
      <c r="G509" s="9" t="str">
        <f>INDEX(Products!$B$2:$B$9,MATCH(D509,Products!$A$2:$A$9,0))</f>
        <v>Trà atiso thanh lọc</v>
      </c>
      <c r="H509" s="9" t="str">
        <f>INDEX(Products!$C$2:$C$9,MATCH(D509,Products!$A$2:$A$9,0))</f>
        <v>Thanh lọc</v>
      </c>
      <c r="I509" s="11">
        <f>INDEX(Products!$D$2:$D$9,MATCH(D509,Products!$A$2:$A$9,0))</f>
        <v>9000</v>
      </c>
      <c r="J509" s="10">
        <f>IFERROR(INDEX(PlatformFees!$C$2:$C$5,MATCH(C509,PlatformFees!$A$2:$A$5,0)),0)</f>
        <v>0</v>
      </c>
      <c r="K509" s="11">
        <f t="shared" si="28"/>
        <v>27000</v>
      </c>
      <c r="L509" s="11">
        <f t="shared" si="29"/>
        <v>0</v>
      </c>
      <c r="M509" s="11">
        <f t="shared" si="30"/>
        <v>73800</v>
      </c>
      <c r="N509" s="10">
        <f t="shared" si="31"/>
        <v>0.7321428571428571</v>
      </c>
    </row>
    <row r="510" spans="1:14" x14ac:dyDescent="0.3">
      <c r="A510" s="9" t="s">
        <v>586</v>
      </c>
      <c r="B510" s="9" t="s">
        <v>573</v>
      </c>
      <c r="C510" s="9" t="s">
        <v>36</v>
      </c>
      <c r="D510" s="9" t="s">
        <v>22</v>
      </c>
      <c r="E510" s="9">
        <v>2</v>
      </c>
      <c r="F510" s="11">
        <v>72500</v>
      </c>
      <c r="G510" s="9" t="str">
        <f>INDEX(Products!$B$2:$B$9,MATCH(D510,Products!$A$2:$A$9,0))</f>
        <v>Trà hoa cúc an thần</v>
      </c>
      <c r="H510" s="9" t="str">
        <f>INDEX(Products!$C$2:$C$9,MATCH(D510,Products!$A$2:$A$9,0))</f>
        <v>An thần</v>
      </c>
      <c r="I510" s="11">
        <f>INDEX(Products!$D$2:$D$9,MATCH(D510,Products!$A$2:$A$9,0))</f>
        <v>9500</v>
      </c>
      <c r="J510" s="10">
        <f>IFERROR(INDEX(PlatformFees!$C$2:$C$5,MATCH(C510,PlatformFees!$A$2:$A$5,0)),0)</f>
        <v>0.13</v>
      </c>
      <c r="K510" s="11">
        <f t="shared" si="28"/>
        <v>19000</v>
      </c>
      <c r="L510" s="11">
        <f t="shared" si="29"/>
        <v>9425</v>
      </c>
      <c r="M510" s="11">
        <f t="shared" si="30"/>
        <v>44075</v>
      </c>
      <c r="N510" s="10">
        <f t="shared" si="31"/>
        <v>0.60793103448275865</v>
      </c>
    </row>
    <row r="511" spans="1:14" x14ac:dyDescent="0.3">
      <c r="A511" s="9" t="s">
        <v>587</v>
      </c>
      <c r="B511" s="9" t="s">
        <v>573</v>
      </c>
      <c r="C511" s="9" t="s">
        <v>36</v>
      </c>
      <c r="D511" s="9" t="s">
        <v>20</v>
      </c>
      <c r="E511" s="9">
        <v>3</v>
      </c>
      <c r="F511" s="11">
        <v>165800</v>
      </c>
      <c r="G511" s="9" t="str">
        <f>INDEX(Products!$B$2:$B$9,MATCH(D511,Products!$A$2:$A$9,0))</f>
        <v>Trà cà leo gai giảm cân</v>
      </c>
      <c r="H511" s="9" t="str">
        <f>INDEX(Products!$C$2:$C$9,MATCH(D511,Products!$A$2:$A$9,0))</f>
        <v>Detox</v>
      </c>
      <c r="I511" s="11">
        <f>INDEX(Products!$D$2:$D$9,MATCH(D511,Products!$A$2:$A$9,0))</f>
        <v>15000</v>
      </c>
      <c r="J511" s="10">
        <f>IFERROR(INDEX(PlatformFees!$C$2:$C$5,MATCH(C511,PlatformFees!$A$2:$A$5,0)),0)</f>
        <v>0.13</v>
      </c>
      <c r="K511" s="11">
        <f t="shared" si="28"/>
        <v>45000</v>
      </c>
      <c r="L511" s="11">
        <f t="shared" si="29"/>
        <v>21554</v>
      </c>
      <c r="M511" s="11">
        <f t="shared" si="30"/>
        <v>99246</v>
      </c>
      <c r="N511" s="10">
        <f t="shared" si="31"/>
        <v>0.5985886610373945</v>
      </c>
    </row>
    <row r="512" spans="1:14" x14ac:dyDescent="0.3">
      <c r="A512" s="9" t="s">
        <v>588</v>
      </c>
      <c r="B512" s="9" t="s">
        <v>573</v>
      </c>
      <c r="C512" s="9" t="s">
        <v>38</v>
      </c>
      <c r="D512" s="9" t="s">
        <v>22</v>
      </c>
      <c r="E512" s="9">
        <v>1</v>
      </c>
      <c r="F512" s="11">
        <v>36500</v>
      </c>
      <c r="G512" s="9" t="str">
        <f>INDEX(Products!$B$2:$B$9,MATCH(D512,Products!$A$2:$A$9,0))</f>
        <v>Trà hoa cúc an thần</v>
      </c>
      <c r="H512" s="9" t="str">
        <f>INDEX(Products!$C$2:$C$9,MATCH(D512,Products!$A$2:$A$9,0))</f>
        <v>An thần</v>
      </c>
      <c r="I512" s="11">
        <f>INDEX(Products!$D$2:$D$9,MATCH(D512,Products!$A$2:$A$9,0))</f>
        <v>9500</v>
      </c>
      <c r="J512" s="10">
        <f>IFERROR(INDEX(PlatformFees!$C$2:$C$5,MATCH(C512,PlatformFees!$A$2:$A$5,0)),0)</f>
        <v>0.16</v>
      </c>
      <c r="K512" s="11">
        <f t="shared" si="28"/>
        <v>9500</v>
      </c>
      <c r="L512" s="11">
        <f t="shared" si="29"/>
        <v>5840</v>
      </c>
      <c r="M512" s="11">
        <f t="shared" si="30"/>
        <v>21160</v>
      </c>
      <c r="N512" s="10">
        <f t="shared" si="31"/>
        <v>0.57972602739726031</v>
      </c>
    </row>
    <row r="513" spans="1:14" x14ac:dyDescent="0.3">
      <c r="A513" s="9" t="s">
        <v>589</v>
      </c>
      <c r="B513" s="9" t="s">
        <v>590</v>
      </c>
      <c r="C513" s="9" t="s">
        <v>36</v>
      </c>
      <c r="D513" s="9" t="s">
        <v>15</v>
      </c>
      <c r="E513" s="9">
        <v>1</v>
      </c>
      <c r="F513" s="11">
        <v>31000</v>
      </c>
      <c r="G513" s="9" t="str">
        <f>INDEX(Products!$B$2:$B$9,MATCH(D513,Products!$A$2:$A$9,0))</f>
        <v>Trà lá nam sen ổi</v>
      </c>
      <c r="H513" s="9" t="str">
        <f>INDEX(Products!$C$2:$C$9,MATCH(D513,Products!$A$2:$A$9,0))</f>
        <v>Thanh lọc</v>
      </c>
      <c r="I513" s="11">
        <f>INDEX(Products!$D$2:$D$9,MATCH(D513,Products!$A$2:$A$9,0))</f>
        <v>8500</v>
      </c>
      <c r="J513" s="10">
        <f>IFERROR(INDEX(PlatformFees!$C$2:$C$5,MATCH(C513,PlatformFees!$A$2:$A$5,0)),0)</f>
        <v>0.13</v>
      </c>
      <c r="K513" s="11">
        <f t="shared" si="28"/>
        <v>8500</v>
      </c>
      <c r="L513" s="11">
        <f t="shared" si="29"/>
        <v>4030</v>
      </c>
      <c r="M513" s="11">
        <f t="shared" si="30"/>
        <v>18470</v>
      </c>
      <c r="N513" s="10">
        <f t="shared" si="31"/>
        <v>0.59580645161290324</v>
      </c>
    </row>
    <row r="514" spans="1:14" x14ac:dyDescent="0.3">
      <c r="A514" s="9" t="s">
        <v>591</v>
      </c>
      <c r="B514" s="9" t="s">
        <v>590</v>
      </c>
      <c r="C514" s="9" t="s">
        <v>40</v>
      </c>
      <c r="D514" s="9" t="s">
        <v>20</v>
      </c>
      <c r="E514" s="9">
        <v>3</v>
      </c>
      <c r="F514" s="11">
        <v>161800</v>
      </c>
      <c r="G514" s="9" t="str">
        <f>INDEX(Products!$B$2:$B$9,MATCH(D514,Products!$A$2:$A$9,0))</f>
        <v>Trà cà leo gai giảm cân</v>
      </c>
      <c r="H514" s="9" t="str">
        <f>INDEX(Products!$C$2:$C$9,MATCH(D514,Products!$A$2:$A$9,0))</f>
        <v>Detox</v>
      </c>
      <c r="I514" s="11">
        <f>INDEX(Products!$D$2:$D$9,MATCH(D514,Products!$A$2:$A$9,0))</f>
        <v>15000</v>
      </c>
      <c r="J514" s="10">
        <f>IFERROR(INDEX(PlatformFees!$C$2:$C$5,MATCH(C514,PlatformFees!$A$2:$A$5,0)),0)</f>
        <v>0</v>
      </c>
      <c r="K514" s="11">
        <f t="shared" ref="K514:K577" si="32">E514*I514</f>
        <v>45000</v>
      </c>
      <c r="L514" s="11">
        <f t="shared" ref="L514:L577" si="33">F514*J514</f>
        <v>0</v>
      </c>
      <c r="M514" s="11">
        <f t="shared" ref="M514:M577" si="34">F514-L514-K514</f>
        <v>116800</v>
      </c>
      <c r="N514" s="10">
        <f t="shared" ref="N514:N577" si="35">IFERROR(M514/F514,0)</f>
        <v>0.72187886279357227</v>
      </c>
    </row>
    <row r="515" spans="1:14" x14ac:dyDescent="0.3">
      <c r="A515" s="9" t="s">
        <v>592</v>
      </c>
      <c r="B515" s="9" t="s">
        <v>590</v>
      </c>
      <c r="C515" s="9" t="s">
        <v>38</v>
      </c>
      <c r="D515" s="9" t="s">
        <v>20</v>
      </c>
      <c r="E515" s="9">
        <v>3</v>
      </c>
      <c r="F515" s="11">
        <v>166800</v>
      </c>
      <c r="G515" s="9" t="str">
        <f>INDEX(Products!$B$2:$B$9,MATCH(D515,Products!$A$2:$A$9,0))</f>
        <v>Trà cà leo gai giảm cân</v>
      </c>
      <c r="H515" s="9" t="str">
        <f>INDEX(Products!$C$2:$C$9,MATCH(D515,Products!$A$2:$A$9,0))</f>
        <v>Detox</v>
      </c>
      <c r="I515" s="11">
        <f>INDEX(Products!$D$2:$D$9,MATCH(D515,Products!$A$2:$A$9,0))</f>
        <v>15000</v>
      </c>
      <c r="J515" s="10">
        <f>IFERROR(INDEX(PlatformFees!$C$2:$C$5,MATCH(C515,PlatformFees!$A$2:$A$5,0)),0)</f>
        <v>0.16</v>
      </c>
      <c r="K515" s="11">
        <f t="shared" si="32"/>
        <v>45000</v>
      </c>
      <c r="L515" s="11">
        <f t="shared" si="33"/>
        <v>26688</v>
      </c>
      <c r="M515" s="11">
        <f t="shared" si="34"/>
        <v>95112</v>
      </c>
      <c r="N515" s="10">
        <f t="shared" si="35"/>
        <v>0.57021582733812948</v>
      </c>
    </row>
    <row r="516" spans="1:14" x14ac:dyDescent="0.3">
      <c r="A516" s="9" t="s">
        <v>593</v>
      </c>
      <c r="B516" s="9" t="s">
        <v>590</v>
      </c>
      <c r="C516" s="9" t="s">
        <v>39</v>
      </c>
      <c r="D516" s="9" t="s">
        <v>25</v>
      </c>
      <c r="E516" s="9">
        <v>2</v>
      </c>
      <c r="F516" s="11">
        <v>69100</v>
      </c>
      <c r="G516" s="9" t="str">
        <f>INDEX(Products!$B$2:$B$9,MATCH(D516,Products!$A$2:$A$9,0))</f>
        <v>Trà hoa đậu biếc</v>
      </c>
      <c r="H516" s="9" t="str">
        <f>INDEX(Products!$C$2:$C$9,MATCH(D516,Products!$A$2:$A$9,0))</f>
        <v>An thần</v>
      </c>
      <c r="I516" s="11">
        <f>INDEX(Products!$D$2:$D$9,MATCH(D516,Products!$A$2:$A$9,0))</f>
        <v>8800</v>
      </c>
      <c r="J516" s="10">
        <f>IFERROR(INDEX(PlatformFees!$C$2:$C$5,MATCH(C516,PlatformFees!$A$2:$A$5,0)),0)</f>
        <v>0</v>
      </c>
      <c r="K516" s="11">
        <f t="shared" si="32"/>
        <v>17600</v>
      </c>
      <c r="L516" s="11">
        <f t="shared" si="33"/>
        <v>0</v>
      </c>
      <c r="M516" s="11">
        <f t="shared" si="34"/>
        <v>51500</v>
      </c>
      <c r="N516" s="10">
        <f t="shared" si="35"/>
        <v>0.74529667149059331</v>
      </c>
    </row>
    <row r="517" spans="1:14" x14ac:dyDescent="0.3">
      <c r="A517" s="9" t="s">
        <v>594</v>
      </c>
      <c r="B517" s="9" t="s">
        <v>590</v>
      </c>
      <c r="C517" s="9" t="s">
        <v>36</v>
      </c>
      <c r="D517" s="9" t="s">
        <v>20</v>
      </c>
      <c r="E517" s="9">
        <v>3</v>
      </c>
      <c r="F517" s="11">
        <v>158400</v>
      </c>
      <c r="G517" s="9" t="str">
        <f>INDEX(Products!$B$2:$B$9,MATCH(D517,Products!$A$2:$A$9,0))</f>
        <v>Trà cà leo gai giảm cân</v>
      </c>
      <c r="H517" s="9" t="str">
        <f>INDEX(Products!$C$2:$C$9,MATCH(D517,Products!$A$2:$A$9,0))</f>
        <v>Detox</v>
      </c>
      <c r="I517" s="11">
        <f>INDEX(Products!$D$2:$D$9,MATCH(D517,Products!$A$2:$A$9,0))</f>
        <v>15000</v>
      </c>
      <c r="J517" s="10">
        <f>IFERROR(INDEX(PlatformFees!$C$2:$C$5,MATCH(C517,PlatformFees!$A$2:$A$5,0)),0)</f>
        <v>0.13</v>
      </c>
      <c r="K517" s="11">
        <f t="shared" si="32"/>
        <v>45000</v>
      </c>
      <c r="L517" s="11">
        <f t="shared" si="33"/>
        <v>20592</v>
      </c>
      <c r="M517" s="11">
        <f t="shared" si="34"/>
        <v>92808</v>
      </c>
      <c r="N517" s="10">
        <f t="shared" si="35"/>
        <v>0.58590909090909093</v>
      </c>
    </row>
    <row r="518" spans="1:14" x14ac:dyDescent="0.3">
      <c r="A518" s="9" t="s">
        <v>595</v>
      </c>
      <c r="B518" s="9" t="s">
        <v>590</v>
      </c>
      <c r="C518" s="9" t="s">
        <v>40</v>
      </c>
      <c r="D518" s="9" t="s">
        <v>12</v>
      </c>
      <c r="E518" s="9">
        <v>2</v>
      </c>
      <c r="F518" s="11">
        <v>71400</v>
      </c>
      <c r="G518" s="9" t="str">
        <f>INDEX(Products!$B$2:$B$9,MATCH(D518,Products!$A$2:$A$9,0))</f>
        <v>Trà atiso thanh lọc</v>
      </c>
      <c r="H518" s="9" t="str">
        <f>INDEX(Products!$C$2:$C$9,MATCH(D518,Products!$A$2:$A$9,0))</f>
        <v>Thanh lọc</v>
      </c>
      <c r="I518" s="11">
        <f>INDEX(Products!$D$2:$D$9,MATCH(D518,Products!$A$2:$A$9,0))</f>
        <v>9000</v>
      </c>
      <c r="J518" s="10">
        <f>IFERROR(INDEX(PlatformFees!$C$2:$C$5,MATCH(C518,PlatformFees!$A$2:$A$5,0)),0)</f>
        <v>0</v>
      </c>
      <c r="K518" s="11">
        <f t="shared" si="32"/>
        <v>18000</v>
      </c>
      <c r="L518" s="11">
        <f t="shared" si="33"/>
        <v>0</v>
      </c>
      <c r="M518" s="11">
        <f t="shared" si="34"/>
        <v>53400</v>
      </c>
      <c r="N518" s="10">
        <f t="shared" si="35"/>
        <v>0.74789915966386555</v>
      </c>
    </row>
    <row r="519" spans="1:14" x14ac:dyDescent="0.3">
      <c r="A519" s="9" t="s">
        <v>596</v>
      </c>
      <c r="B519" s="9" t="s">
        <v>590</v>
      </c>
      <c r="C519" s="9" t="s">
        <v>36</v>
      </c>
      <c r="D519" s="9" t="s">
        <v>20</v>
      </c>
      <c r="E519" s="9">
        <v>1</v>
      </c>
      <c r="F519" s="11">
        <v>52600</v>
      </c>
      <c r="G519" s="9" t="str">
        <f>INDEX(Products!$B$2:$B$9,MATCH(D519,Products!$A$2:$A$9,0))</f>
        <v>Trà cà leo gai giảm cân</v>
      </c>
      <c r="H519" s="9" t="str">
        <f>INDEX(Products!$C$2:$C$9,MATCH(D519,Products!$A$2:$A$9,0))</f>
        <v>Detox</v>
      </c>
      <c r="I519" s="11">
        <f>INDEX(Products!$D$2:$D$9,MATCH(D519,Products!$A$2:$A$9,0))</f>
        <v>15000</v>
      </c>
      <c r="J519" s="10">
        <f>IFERROR(INDEX(PlatformFees!$C$2:$C$5,MATCH(C519,PlatformFees!$A$2:$A$5,0)),0)</f>
        <v>0.13</v>
      </c>
      <c r="K519" s="11">
        <f t="shared" si="32"/>
        <v>15000</v>
      </c>
      <c r="L519" s="11">
        <f t="shared" si="33"/>
        <v>6838</v>
      </c>
      <c r="M519" s="11">
        <f t="shared" si="34"/>
        <v>30762</v>
      </c>
      <c r="N519" s="10">
        <f t="shared" si="35"/>
        <v>0.58482889733840304</v>
      </c>
    </row>
    <row r="520" spans="1:14" x14ac:dyDescent="0.3">
      <c r="A520" s="9" t="s">
        <v>597</v>
      </c>
      <c r="B520" s="9" t="s">
        <v>590</v>
      </c>
      <c r="C520" s="9" t="s">
        <v>38</v>
      </c>
      <c r="D520" s="9" t="s">
        <v>15</v>
      </c>
      <c r="E520" s="9">
        <v>1</v>
      </c>
      <c r="F520" s="11">
        <v>32000</v>
      </c>
      <c r="G520" s="9" t="str">
        <f>INDEX(Products!$B$2:$B$9,MATCH(D520,Products!$A$2:$A$9,0))</f>
        <v>Trà lá nam sen ổi</v>
      </c>
      <c r="H520" s="9" t="str">
        <f>INDEX(Products!$C$2:$C$9,MATCH(D520,Products!$A$2:$A$9,0))</f>
        <v>Thanh lọc</v>
      </c>
      <c r="I520" s="11">
        <f>INDEX(Products!$D$2:$D$9,MATCH(D520,Products!$A$2:$A$9,0))</f>
        <v>8500</v>
      </c>
      <c r="J520" s="10">
        <f>IFERROR(INDEX(PlatformFees!$C$2:$C$5,MATCH(C520,PlatformFees!$A$2:$A$5,0)),0)</f>
        <v>0.16</v>
      </c>
      <c r="K520" s="11">
        <f t="shared" si="32"/>
        <v>8500</v>
      </c>
      <c r="L520" s="11">
        <f t="shared" si="33"/>
        <v>5120</v>
      </c>
      <c r="M520" s="11">
        <f t="shared" si="34"/>
        <v>18380</v>
      </c>
      <c r="N520" s="10">
        <f t="shared" si="35"/>
        <v>0.57437499999999997</v>
      </c>
    </row>
    <row r="521" spans="1:14" x14ac:dyDescent="0.3">
      <c r="A521" s="9" t="s">
        <v>598</v>
      </c>
      <c r="B521" s="9" t="s">
        <v>590</v>
      </c>
      <c r="C521" s="9" t="s">
        <v>38</v>
      </c>
      <c r="D521" s="9" t="s">
        <v>27</v>
      </c>
      <c r="E521" s="9">
        <v>2</v>
      </c>
      <c r="F521" s="11">
        <v>80700</v>
      </c>
      <c r="G521" s="9" t="str">
        <f>INDEX(Products!$B$2:$B$9,MATCH(D521,Products!$A$2:$A$9,0))</f>
        <v>Trà gừng mật ong</v>
      </c>
      <c r="H521" s="9" t="str">
        <f>INDEX(Products!$C$2:$C$9,MATCH(D521,Products!$A$2:$A$9,0))</f>
        <v>Giữ ấm</v>
      </c>
      <c r="I521" s="11">
        <f>INDEX(Products!$D$2:$D$9,MATCH(D521,Products!$A$2:$A$9,0))</f>
        <v>11000</v>
      </c>
      <c r="J521" s="10">
        <f>IFERROR(INDEX(PlatformFees!$C$2:$C$5,MATCH(C521,PlatformFees!$A$2:$A$5,0)),0)</f>
        <v>0.16</v>
      </c>
      <c r="K521" s="11">
        <f t="shared" si="32"/>
        <v>22000</v>
      </c>
      <c r="L521" s="11">
        <f t="shared" si="33"/>
        <v>12912</v>
      </c>
      <c r="M521" s="11">
        <f t="shared" si="34"/>
        <v>45788</v>
      </c>
      <c r="N521" s="10">
        <f t="shared" si="35"/>
        <v>0.56738537794299881</v>
      </c>
    </row>
    <row r="522" spans="1:14" x14ac:dyDescent="0.3">
      <c r="A522" s="9" t="s">
        <v>599</v>
      </c>
      <c r="B522" s="9" t="s">
        <v>590</v>
      </c>
      <c r="C522" s="9" t="s">
        <v>38</v>
      </c>
      <c r="D522" s="9" t="s">
        <v>20</v>
      </c>
      <c r="E522" s="9">
        <v>2</v>
      </c>
      <c r="F522" s="11">
        <v>108000</v>
      </c>
      <c r="G522" s="9" t="str">
        <f>INDEX(Products!$B$2:$B$9,MATCH(D522,Products!$A$2:$A$9,0))</f>
        <v>Trà cà leo gai giảm cân</v>
      </c>
      <c r="H522" s="9" t="str">
        <f>INDEX(Products!$C$2:$C$9,MATCH(D522,Products!$A$2:$A$9,0))</f>
        <v>Detox</v>
      </c>
      <c r="I522" s="11">
        <f>INDEX(Products!$D$2:$D$9,MATCH(D522,Products!$A$2:$A$9,0))</f>
        <v>15000</v>
      </c>
      <c r="J522" s="10">
        <f>IFERROR(INDEX(PlatformFees!$C$2:$C$5,MATCH(C522,PlatformFees!$A$2:$A$5,0)),0)</f>
        <v>0.16</v>
      </c>
      <c r="K522" s="11">
        <f t="shared" si="32"/>
        <v>30000</v>
      </c>
      <c r="L522" s="11">
        <f t="shared" si="33"/>
        <v>17280</v>
      </c>
      <c r="M522" s="11">
        <f t="shared" si="34"/>
        <v>60720</v>
      </c>
      <c r="N522" s="10">
        <f t="shared" si="35"/>
        <v>0.56222222222222218</v>
      </c>
    </row>
    <row r="523" spans="1:14" x14ac:dyDescent="0.3">
      <c r="A523" s="9" t="s">
        <v>600</v>
      </c>
      <c r="B523" s="9" t="s">
        <v>590</v>
      </c>
      <c r="C523" s="9" t="s">
        <v>38</v>
      </c>
      <c r="D523" s="9" t="s">
        <v>22</v>
      </c>
      <c r="E523" s="9">
        <v>1</v>
      </c>
      <c r="F523" s="11">
        <v>38000</v>
      </c>
      <c r="G523" s="9" t="str">
        <f>INDEX(Products!$B$2:$B$9,MATCH(D523,Products!$A$2:$A$9,0))</f>
        <v>Trà hoa cúc an thần</v>
      </c>
      <c r="H523" s="9" t="str">
        <f>INDEX(Products!$C$2:$C$9,MATCH(D523,Products!$A$2:$A$9,0))</f>
        <v>An thần</v>
      </c>
      <c r="I523" s="11">
        <f>INDEX(Products!$D$2:$D$9,MATCH(D523,Products!$A$2:$A$9,0))</f>
        <v>9500</v>
      </c>
      <c r="J523" s="10">
        <f>IFERROR(INDEX(PlatformFees!$C$2:$C$5,MATCH(C523,PlatformFees!$A$2:$A$5,0)),0)</f>
        <v>0.16</v>
      </c>
      <c r="K523" s="11">
        <f t="shared" si="32"/>
        <v>9500</v>
      </c>
      <c r="L523" s="11">
        <f t="shared" si="33"/>
        <v>6080</v>
      </c>
      <c r="M523" s="11">
        <f t="shared" si="34"/>
        <v>22420</v>
      </c>
      <c r="N523" s="10">
        <f t="shared" si="35"/>
        <v>0.59</v>
      </c>
    </row>
    <row r="524" spans="1:14" x14ac:dyDescent="0.3">
      <c r="A524" s="9" t="s">
        <v>601</v>
      </c>
      <c r="B524" s="9" t="s">
        <v>590</v>
      </c>
      <c r="C524" s="9" t="s">
        <v>36</v>
      </c>
      <c r="D524" s="9" t="s">
        <v>27</v>
      </c>
      <c r="E524" s="9">
        <v>3</v>
      </c>
      <c r="F524" s="11">
        <v>113300</v>
      </c>
      <c r="G524" s="9" t="str">
        <f>INDEX(Products!$B$2:$B$9,MATCH(D524,Products!$A$2:$A$9,0))</f>
        <v>Trà gừng mật ong</v>
      </c>
      <c r="H524" s="9" t="str">
        <f>INDEX(Products!$C$2:$C$9,MATCH(D524,Products!$A$2:$A$9,0))</f>
        <v>Giữ ấm</v>
      </c>
      <c r="I524" s="11">
        <f>INDEX(Products!$D$2:$D$9,MATCH(D524,Products!$A$2:$A$9,0))</f>
        <v>11000</v>
      </c>
      <c r="J524" s="10">
        <f>IFERROR(INDEX(PlatformFees!$C$2:$C$5,MATCH(C524,PlatformFees!$A$2:$A$5,0)),0)</f>
        <v>0.13</v>
      </c>
      <c r="K524" s="11">
        <f t="shared" si="32"/>
        <v>33000</v>
      </c>
      <c r="L524" s="11">
        <f t="shared" si="33"/>
        <v>14729</v>
      </c>
      <c r="M524" s="11">
        <f t="shared" si="34"/>
        <v>65571</v>
      </c>
      <c r="N524" s="10">
        <f t="shared" si="35"/>
        <v>0.57873786407766992</v>
      </c>
    </row>
    <row r="525" spans="1:14" x14ac:dyDescent="0.3">
      <c r="A525" s="9" t="s">
        <v>602</v>
      </c>
      <c r="B525" s="9" t="s">
        <v>590</v>
      </c>
      <c r="C525" s="9" t="s">
        <v>36</v>
      </c>
      <c r="D525" s="9" t="s">
        <v>20</v>
      </c>
      <c r="E525" s="9">
        <v>3</v>
      </c>
      <c r="F525" s="11">
        <v>153000</v>
      </c>
      <c r="G525" s="9" t="str">
        <f>INDEX(Products!$B$2:$B$9,MATCH(D525,Products!$A$2:$A$9,0))</f>
        <v>Trà cà leo gai giảm cân</v>
      </c>
      <c r="H525" s="9" t="str">
        <f>INDEX(Products!$C$2:$C$9,MATCH(D525,Products!$A$2:$A$9,0))</f>
        <v>Detox</v>
      </c>
      <c r="I525" s="11">
        <f>INDEX(Products!$D$2:$D$9,MATCH(D525,Products!$A$2:$A$9,0))</f>
        <v>15000</v>
      </c>
      <c r="J525" s="10">
        <f>IFERROR(INDEX(PlatformFees!$C$2:$C$5,MATCH(C525,PlatformFees!$A$2:$A$5,0)),0)</f>
        <v>0.13</v>
      </c>
      <c r="K525" s="11">
        <f t="shared" si="32"/>
        <v>45000</v>
      </c>
      <c r="L525" s="11">
        <f t="shared" si="33"/>
        <v>19890</v>
      </c>
      <c r="M525" s="11">
        <f t="shared" si="34"/>
        <v>88110</v>
      </c>
      <c r="N525" s="10">
        <f t="shared" si="35"/>
        <v>0.57588235294117651</v>
      </c>
    </row>
    <row r="526" spans="1:14" x14ac:dyDescent="0.3">
      <c r="A526" s="9" t="s">
        <v>603</v>
      </c>
      <c r="B526" s="9" t="s">
        <v>604</v>
      </c>
      <c r="C526" s="9" t="s">
        <v>40</v>
      </c>
      <c r="D526" s="9" t="s">
        <v>12</v>
      </c>
      <c r="E526" s="9">
        <v>2</v>
      </c>
      <c r="F526" s="11">
        <v>64600</v>
      </c>
      <c r="G526" s="9" t="str">
        <f>INDEX(Products!$B$2:$B$9,MATCH(D526,Products!$A$2:$A$9,0))</f>
        <v>Trà atiso thanh lọc</v>
      </c>
      <c r="H526" s="9" t="str">
        <f>INDEX(Products!$C$2:$C$9,MATCH(D526,Products!$A$2:$A$9,0))</f>
        <v>Thanh lọc</v>
      </c>
      <c r="I526" s="11">
        <f>INDEX(Products!$D$2:$D$9,MATCH(D526,Products!$A$2:$A$9,0))</f>
        <v>9000</v>
      </c>
      <c r="J526" s="10">
        <f>IFERROR(INDEX(PlatformFees!$C$2:$C$5,MATCH(C526,PlatformFees!$A$2:$A$5,0)),0)</f>
        <v>0</v>
      </c>
      <c r="K526" s="11">
        <f t="shared" si="32"/>
        <v>18000</v>
      </c>
      <c r="L526" s="11">
        <f t="shared" si="33"/>
        <v>0</v>
      </c>
      <c r="M526" s="11">
        <f t="shared" si="34"/>
        <v>46600</v>
      </c>
      <c r="N526" s="10">
        <f t="shared" si="35"/>
        <v>0.72136222910216719</v>
      </c>
    </row>
    <row r="527" spans="1:14" x14ac:dyDescent="0.3">
      <c r="A527" s="9" t="s">
        <v>605</v>
      </c>
      <c r="B527" s="9" t="s">
        <v>604</v>
      </c>
      <c r="C527" s="9" t="s">
        <v>36</v>
      </c>
      <c r="D527" s="9" t="s">
        <v>25</v>
      </c>
      <c r="E527" s="9">
        <v>3</v>
      </c>
      <c r="F527" s="11">
        <v>104800</v>
      </c>
      <c r="G527" s="9" t="str">
        <f>INDEX(Products!$B$2:$B$9,MATCH(D527,Products!$A$2:$A$9,0))</f>
        <v>Trà hoa đậu biếc</v>
      </c>
      <c r="H527" s="9" t="str">
        <f>INDEX(Products!$C$2:$C$9,MATCH(D527,Products!$A$2:$A$9,0))</f>
        <v>An thần</v>
      </c>
      <c r="I527" s="11">
        <f>INDEX(Products!$D$2:$D$9,MATCH(D527,Products!$A$2:$A$9,0))</f>
        <v>8800</v>
      </c>
      <c r="J527" s="10">
        <f>IFERROR(INDEX(PlatformFees!$C$2:$C$5,MATCH(C527,PlatformFees!$A$2:$A$5,0)),0)</f>
        <v>0.13</v>
      </c>
      <c r="K527" s="11">
        <f t="shared" si="32"/>
        <v>26400</v>
      </c>
      <c r="L527" s="11">
        <f t="shared" si="33"/>
        <v>13624</v>
      </c>
      <c r="M527" s="11">
        <f t="shared" si="34"/>
        <v>64776</v>
      </c>
      <c r="N527" s="10">
        <f t="shared" si="35"/>
        <v>0.61809160305343513</v>
      </c>
    </row>
    <row r="528" spans="1:14" x14ac:dyDescent="0.3">
      <c r="A528" s="9" t="s">
        <v>606</v>
      </c>
      <c r="B528" s="9" t="s">
        <v>604</v>
      </c>
      <c r="C528" s="9" t="s">
        <v>38</v>
      </c>
      <c r="D528" s="9" t="s">
        <v>20</v>
      </c>
      <c r="E528" s="9">
        <v>2</v>
      </c>
      <c r="F528" s="11">
        <v>106600</v>
      </c>
      <c r="G528" s="9" t="str">
        <f>INDEX(Products!$B$2:$B$9,MATCH(D528,Products!$A$2:$A$9,0))</f>
        <v>Trà cà leo gai giảm cân</v>
      </c>
      <c r="H528" s="9" t="str">
        <f>INDEX(Products!$C$2:$C$9,MATCH(D528,Products!$A$2:$A$9,0))</f>
        <v>Detox</v>
      </c>
      <c r="I528" s="11">
        <f>INDEX(Products!$D$2:$D$9,MATCH(D528,Products!$A$2:$A$9,0))</f>
        <v>15000</v>
      </c>
      <c r="J528" s="10">
        <f>IFERROR(INDEX(PlatformFees!$C$2:$C$5,MATCH(C528,PlatformFees!$A$2:$A$5,0)),0)</f>
        <v>0.16</v>
      </c>
      <c r="K528" s="11">
        <f t="shared" si="32"/>
        <v>30000</v>
      </c>
      <c r="L528" s="11">
        <f t="shared" si="33"/>
        <v>17056</v>
      </c>
      <c r="M528" s="11">
        <f t="shared" si="34"/>
        <v>59544</v>
      </c>
      <c r="N528" s="10">
        <f t="shared" si="35"/>
        <v>0.55857410881801128</v>
      </c>
    </row>
    <row r="529" spans="1:14" x14ac:dyDescent="0.3">
      <c r="A529" s="9" t="s">
        <v>607</v>
      </c>
      <c r="B529" s="9" t="s">
        <v>604</v>
      </c>
      <c r="C529" s="9" t="s">
        <v>40</v>
      </c>
      <c r="D529" s="9" t="s">
        <v>20</v>
      </c>
      <c r="E529" s="9">
        <v>1</v>
      </c>
      <c r="F529" s="11">
        <v>54700</v>
      </c>
      <c r="G529" s="9" t="str">
        <f>INDEX(Products!$B$2:$B$9,MATCH(D529,Products!$A$2:$A$9,0))</f>
        <v>Trà cà leo gai giảm cân</v>
      </c>
      <c r="H529" s="9" t="str">
        <f>INDEX(Products!$C$2:$C$9,MATCH(D529,Products!$A$2:$A$9,0))</f>
        <v>Detox</v>
      </c>
      <c r="I529" s="11">
        <f>INDEX(Products!$D$2:$D$9,MATCH(D529,Products!$A$2:$A$9,0))</f>
        <v>15000</v>
      </c>
      <c r="J529" s="10">
        <f>IFERROR(INDEX(PlatformFees!$C$2:$C$5,MATCH(C529,PlatformFees!$A$2:$A$5,0)),0)</f>
        <v>0</v>
      </c>
      <c r="K529" s="11">
        <f t="shared" si="32"/>
        <v>15000</v>
      </c>
      <c r="L529" s="11">
        <f t="shared" si="33"/>
        <v>0</v>
      </c>
      <c r="M529" s="11">
        <f t="shared" si="34"/>
        <v>39700</v>
      </c>
      <c r="N529" s="10">
        <f t="shared" si="35"/>
        <v>0.72577696526508229</v>
      </c>
    </row>
    <row r="530" spans="1:14" x14ac:dyDescent="0.3">
      <c r="A530" s="9" t="s">
        <v>608</v>
      </c>
      <c r="B530" s="9" t="s">
        <v>604</v>
      </c>
      <c r="C530" s="9" t="s">
        <v>38</v>
      </c>
      <c r="D530" s="9" t="s">
        <v>20</v>
      </c>
      <c r="E530" s="9">
        <v>3</v>
      </c>
      <c r="F530" s="11">
        <v>167400</v>
      </c>
      <c r="G530" s="9" t="str">
        <f>INDEX(Products!$B$2:$B$9,MATCH(D530,Products!$A$2:$A$9,0))</f>
        <v>Trà cà leo gai giảm cân</v>
      </c>
      <c r="H530" s="9" t="str">
        <f>INDEX(Products!$C$2:$C$9,MATCH(D530,Products!$A$2:$A$9,0))</f>
        <v>Detox</v>
      </c>
      <c r="I530" s="11">
        <f>INDEX(Products!$D$2:$D$9,MATCH(D530,Products!$A$2:$A$9,0))</f>
        <v>15000</v>
      </c>
      <c r="J530" s="10">
        <f>IFERROR(INDEX(PlatformFees!$C$2:$C$5,MATCH(C530,PlatformFees!$A$2:$A$5,0)),0)</f>
        <v>0.16</v>
      </c>
      <c r="K530" s="11">
        <f t="shared" si="32"/>
        <v>45000</v>
      </c>
      <c r="L530" s="11">
        <f t="shared" si="33"/>
        <v>26784</v>
      </c>
      <c r="M530" s="11">
        <f t="shared" si="34"/>
        <v>95616</v>
      </c>
      <c r="N530" s="10">
        <f t="shared" si="35"/>
        <v>0.57118279569892472</v>
      </c>
    </row>
    <row r="531" spans="1:14" x14ac:dyDescent="0.3">
      <c r="A531" s="9" t="s">
        <v>609</v>
      </c>
      <c r="B531" s="9" t="s">
        <v>604</v>
      </c>
      <c r="C531" s="9" t="s">
        <v>36</v>
      </c>
      <c r="D531" s="9" t="s">
        <v>30</v>
      </c>
      <c r="E531" s="9">
        <v>2</v>
      </c>
      <c r="F531" s="11">
        <v>70400</v>
      </c>
      <c r="G531" s="9" t="str">
        <f>INDEX(Products!$B$2:$B$9,MATCH(D531,Products!$A$2:$A$9,0))</f>
        <v>Trà mâm xôi vitamin</v>
      </c>
      <c r="H531" s="9" t="str">
        <f>INDEX(Products!$C$2:$C$9,MATCH(D531,Products!$A$2:$A$9,0))</f>
        <v>Bổ sung dưỡng chất</v>
      </c>
      <c r="I531" s="11">
        <f>INDEX(Products!$D$2:$D$9,MATCH(D531,Products!$A$2:$A$9,0))</f>
        <v>9800</v>
      </c>
      <c r="J531" s="10">
        <f>IFERROR(INDEX(PlatformFees!$C$2:$C$5,MATCH(C531,PlatformFees!$A$2:$A$5,0)),0)</f>
        <v>0.13</v>
      </c>
      <c r="K531" s="11">
        <f t="shared" si="32"/>
        <v>19600</v>
      </c>
      <c r="L531" s="11">
        <f t="shared" si="33"/>
        <v>9152</v>
      </c>
      <c r="M531" s="11">
        <f t="shared" si="34"/>
        <v>41648</v>
      </c>
      <c r="N531" s="10">
        <f t="shared" si="35"/>
        <v>0.59159090909090906</v>
      </c>
    </row>
    <row r="532" spans="1:14" x14ac:dyDescent="0.3">
      <c r="A532" s="9" t="s">
        <v>610</v>
      </c>
      <c r="B532" s="9" t="s">
        <v>604</v>
      </c>
      <c r="C532" s="9" t="s">
        <v>39</v>
      </c>
      <c r="D532" s="9" t="s">
        <v>15</v>
      </c>
      <c r="E532" s="9">
        <v>1</v>
      </c>
      <c r="F532" s="11">
        <v>32100</v>
      </c>
      <c r="G532" s="9" t="str">
        <f>INDEX(Products!$B$2:$B$9,MATCH(D532,Products!$A$2:$A$9,0))</f>
        <v>Trà lá nam sen ổi</v>
      </c>
      <c r="H532" s="9" t="str">
        <f>INDEX(Products!$C$2:$C$9,MATCH(D532,Products!$A$2:$A$9,0))</f>
        <v>Thanh lọc</v>
      </c>
      <c r="I532" s="11">
        <f>INDEX(Products!$D$2:$D$9,MATCH(D532,Products!$A$2:$A$9,0))</f>
        <v>8500</v>
      </c>
      <c r="J532" s="10">
        <f>IFERROR(INDEX(PlatformFees!$C$2:$C$5,MATCH(C532,PlatformFees!$A$2:$A$5,0)),0)</f>
        <v>0</v>
      </c>
      <c r="K532" s="11">
        <f t="shared" si="32"/>
        <v>8500</v>
      </c>
      <c r="L532" s="11">
        <f t="shared" si="33"/>
        <v>0</v>
      </c>
      <c r="M532" s="11">
        <f t="shared" si="34"/>
        <v>23600</v>
      </c>
      <c r="N532" s="10">
        <f t="shared" si="35"/>
        <v>0.73520249221183798</v>
      </c>
    </row>
    <row r="533" spans="1:14" x14ac:dyDescent="0.3">
      <c r="A533" s="9" t="s">
        <v>611</v>
      </c>
      <c r="B533" s="9" t="s">
        <v>604</v>
      </c>
      <c r="C533" s="9" t="s">
        <v>40</v>
      </c>
      <c r="D533" s="9" t="s">
        <v>22</v>
      </c>
      <c r="E533" s="9">
        <v>3</v>
      </c>
      <c r="F533" s="11">
        <v>111700</v>
      </c>
      <c r="G533" s="9" t="str">
        <f>INDEX(Products!$B$2:$B$9,MATCH(D533,Products!$A$2:$A$9,0))</f>
        <v>Trà hoa cúc an thần</v>
      </c>
      <c r="H533" s="9" t="str">
        <f>INDEX(Products!$C$2:$C$9,MATCH(D533,Products!$A$2:$A$9,0))</f>
        <v>An thần</v>
      </c>
      <c r="I533" s="11">
        <f>INDEX(Products!$D$2:$D$9,MATCH(D533,Products!$A$2:$A$9,0))</f>
        <v>9500</v>
      </c>
      <c r="J533" s="10">
        <f>IFERROR(INDEX(PlatformFees!$C$2:$C$5,MATCH(C533,PlatformFees!$A$2:$A$5,0)),0)</f>
        <v>0</v>
      </c>
      <c r="K533" s="11">
        <f t="shared" si="32"/>
        <v>28500</v>
      </c>
      <c r="L533" s="11">
        <f t="shared" si="33"/>
        <v>0</v>
      </c>
      <c r="M533" s="11">
        <f t="shared" si="34"/>
        <v>83200</v>
      </c>
      <c r="N533" s="10">
        <f t="shared" si="35"/>
        <v>0.74485228290062666</v>
      </c>
    </row>
    <row r="534" spans="1:14" x14ac:dyDescent="0.3">
      <c r="A534" s="9" t="s">
        <v>612</v>
      </c>
      <c r="B534" s="9" t="s">
        <v>604</v>
      </c>
      <c r="C534" s="9" t="s">
        <v>38</v>
      </c>
      <c r="D534" s="9" t="s">
        <v>27</v>
      </c>
      <c r="E534" s="9">
        <v>1</v>
      </c>
      <c r="F534" s="11">
        <v>38800</v>
      </c>
      <c r="G534" s="9" t="str">
        <f>INDEX(Products!$B$2:$B$9,MATCH(D534,Products!$A$2:$A$9,0))</f>
        <v>Trà gừng mật ong</v>
      </c>
      <c r="H534" s="9" t="str">
        <f>INDEX(Products!$C$2:$C$9,MATCH(D534,Products!$A$2:$A$9,0))</f>
        <v>Giữ ấm</v>
      </c>
      <c r="I534" s="11">
        <f>INDEX(Products!$D$2:$D$9,MATCH(D534,Products!$A$2:$A$9,0))</f>
        <v>11000</v>
      </c>
      <c r="J534" s="10">
        <f>IFERROR(INDEX(PlatformFees!$C$2:$C$5,MATCH(C534,PlatformFees!$A$2:$A$5,0)),0)</f>
        <v>0.16</v>
      </c>
      <c r="K534" s="11">
        <f t="shared" si="32"/>
        <v>11000</v>
      </c>
      <c r="L534" s="11">
        <f t="shared" si="33"/>
        <v>6208</v>
      </c>
      <c r="M534" s="11">
        <f t="shared" si="34"/>
        <v>21592</v>
      </c>
      <c r="N534" s="10">
        <f t="shared" si="35"/>
        <v>0.55649484536082472</v>
      </c>
    </row>
    <row r="535" spans="1:14" x14ac:dyDescent="0.3">
      <c r="A535" s="9" t="s">
        <v>613</v>
      </c>
      <c r="B535" s="9" t="s">
        <v>604</v>
      </c>
      <c r="C535" s="9" t="s">
        <v>36</v>
      </c>
      <c r="D535" s="9" t="s">
        <v>15</v>
      </c>
      <c r="E535" s="9">
        <v>3</v>
      </c>
      <c r="F535" s="11">
        <v>96400</v>
      </c>
      <c r="G535" s="9" t="str">
        <f>INDEX(Products!$B$2:$B$9,MATCH(D535,Products!$A$2:$A$9,0))</f>
        <v>Trà lá nam sen ổi</v>
      </c>
      <c r="H535" s="9" t="str">
        <f>INDEX(Products!$C$2:$C$9,MATCH(D535,Products!$A$2:$A$9,0))</f>
        <v>Thanh lọc</v>
      </c>
      <c r="I535" s="11">
        <f>INDEX(Products!$D$2:$D$9,MATCH(D535,Products!$A$2:$A$9,0))</f>
        <v>8500</v>
      </c>
      <c r="J535" s="10">
        <f>IFERROR(INDEX(PlatformFees!$C$2:$C$5,MATCH(C535,PlatformFees!$A$2:$A$5,0)),0)</f>
        <v>0.13</v>
      </c>
      <c r="K535" s="11">
        <f t="shared" si="32"/>
        <v>25500</v>
      </c>
      <c r="L535" s="11">
        <f t="shared" si="33"/>
        <v>12532</v>
      </c>
      <c r="M535" s="11">
        <f t="shared" si="34"/>
        <v>58368</v>
      </c>
      <c r="N535" s="10">
        <f t="shared" si="35"/>
        <v>0.60547717842323656</v>
      </c>
    </row>
    <row r="536" spans="1:14" x14ac:dyDescent="0.3">
      <c r="A536" s="9" t="s">
        <v>614</v>
      </c>
      <c r="B536" s="9" t="s">
        <v>615</v>
      </c>
      <c r="C536" s="9" t="s">
        <v>39</v>
      </c>
      <c r="D536" s="9" t="s">
        <v>20</v>
      </c>
      <c r="E536" s="9">
        <v>1</v>
      </c>
      <c r="F536" s="11">
        <v>52100</v>
      </c>
      <c r="G536" s="9" t="str">
        <f>INDEX(Products!$B$2:$B$9,MATCH(D536,Products!$A$2:$A$9,0))</f>
        <v>Trà cà leo gai giảm cân</v>
      </c>
      <c r="H536" s="9" t="str">
        <f>INDEX(Products!$C$2:$C$9,MATCH(D536,Products!$A$2:$A$9,0))</f>
        <v>Detox</v>
      </c>
      <c r="I536" s="11">
        <f>INDEX(Products!$D$2:$D$9,MATCH(D536,Products!$A$2:$A$9,0))</f>
        <v>15000</v>
      </c>
      <c r="J536" s="10">
        <f>IFERROR(INDEX(PlatformFees!$C$2:$C$5,MATCH(C536,PlatformFees!$A$2:$A$5,0)),0)</f>
        <v>0</v>
      </c>
      <c r="K536" s="11">
        <f t="shared" si="32"/>
        <v>15000</v>
      </c>
      <c r="L536" s="11">
        <f t="shared" si="33"/>
        <v>0</v>
      </c>
      <c r="M536" s="11">
        <f t="shared" si="34"/>
        <v>37100</v>
      </c>
      <c r="N536" s="10">
        <f t="shared" si="35"/>
        <v>0.71209213051823417</v>
      </c>
    </row>
    <row r="537" spans="1:14" x14ac:dyDescent="0.3">
      <c r="A537" s="9" t="s">
        <v>616</v>
      </c>
      <c r="B537" s="9" t="s">
        <v>615</v>
      </c>
      <c r="C537" s="9" t="s">
        <v>36</v>
      </c>
      <c r="D537" s="9" t="s">
        <v>20</v>
      </c>
      <c r="E537" s="9">
        <v>2</v>
      </c>
      <c r="F537" s="11">
        <v>108400</v>
      </c>
      <c r="G537" s="9" t="str">
        <f>INDEX(Products!$B$2:$B$9,MATCH(D537,Products!$A$2:$A$9,0))</f>
        <v>Trà cà leo gai giảm cân</v>
      </c>
      <c r="H537" s="9" t="str">
        <f>INDEX(Products!$C$2:$C$9,MATCH(D537,Products!$A$2:$A$9,0))</f>
        <v>Detox</v>
      </c>
      <c r="I537" s="11">
        <f>INDEX(Products!$D$2:$D$9,MATCH(D537,Products!$A$2:$A$9,0))</f>
        <v>15000</v>
      </c>
      <c r="J537" s="10">
        <f>IFERROR(INDEX(PlatformFees!$C$2:$C$5,MATCH(C537,PlatformFees!$A$2:$A$5,0)),0)</f>
        <v>0.13</v>
      </c>
      <c r="K537" s="11">
        <f t="shared" si="32"/>
        <v>30000</v>
      </c>
      <c r="L537" s="11">
        <f t="shared" si="33"/>
        <v>14092</v>
      </c>
      <c r="M537" s="11">
        <f t="shared" si="34"/>
        <v>64308</v>
      </c>
      <c r="N537" s="10">
        <f t="shared" si="35"/>
        <v>0.59324723247232469</v>
      </c>
    </row>
    <row r="538" spans="1:14" x14ac:dyDescent="0.3">
      <c r="A538" s="9" t="s">
        <v>617</v>
      </c>
      <c r="B538" s="9" t="s">
        <v>615</v>
      </c>
      <c r="C538" s="9" t="s">
        <v>39</v>
      </c>
      <c r="D538" s="9" t="s">
        <v>12</v>
      </c>
      <c r="E538" s="9">
        <v>3</v>
      </c>
      <c r="F538" s="11">
        <v>97100</v>
      </c>
      <c r="G538" s="9" t="str">
        <f>INDEX(Products!$B$2:$B$9,MATCH(D538,Products!$A$2:$A$9,0))</f>
        <v>Trà atiso thanh lọc</v>
      </c>
      <c r="H538" s="9" t="str">
        <f>INDEX(Products!$C$2:$C$9,MATCH(D538,Products!$A$2:$A$9,0))</f>
        <v>Thanh lọc</v>
      </c>
      <c r="I538" s="11">
        <f>INDEX(Products!$D$2:$D$9,MATCH(D538,Products!$A$2:$A$9,0))</f>
        <v>9000</v>
      </c>
      <c r="J538" s="10">
        <f>IFERROR(INDEX(PlatformFees!$C$2:$C$5,MATCH(C538,PlatformFees!$A$2:$A$5,0)),0)</f>
        <v>0</v>
      </c>
      <c r="K538" s="11">
        <f t="shared" si="32"/>
        <v>27000</v>
      </c>
      <c r="L538" s="11">
        <f t="shared" si="33"/>
        <v>0</v>
      </c>
      <c r="M538" s="11">
        <f t="shared" si="34"/>
        <v>70100</v>
      </c>
      <c r="N538" s="10">
        <f t="shared" si="35"/>
        <v>0.72193614830072095</v>
      </c>
    </row>
    <row r="539" spans="1:14" x14ac:dyDescent="0.3">
      <c r="A539" s="9" t="s">
        <v>618</v>
      </c>
      <c r="B539" s="9" t="s">
        <v>615</v>
      </c>
      <c r="C539" s="9" t="s">
        <v>36</v>
      </c>
      <c r="D539" s="9" t="s">
        <v>20</v>
      </c>
      <c r="E539" s="9">
        <v>1</v>
      </c>
      <c r="F539" s="11">
        <v>51400</v>
      </c>
      <c r="G539" s="9" t="str">
        <f>INDEX(Products!$B$2:$B$9,MATCH(D539,Products!$A$2:$A$9,0))</f>
        <v>Trà cà leo gai giảm cân</v>
      </c>
      <c r="H539" s="9" t="str">
        <f>INDEX(Products!$C$2:$C$9,MATCH(D539,Products!$A$2:$A$9,0))</f>
        <v>Detox</v>
      </c>
      <c r="I539" s="11">
        <f>INDEX(Products!$D$2:$D$9,MATCH(D539,Products!$A$2:$A$9,0))</f>
        <v>15000</v>
      </c>
      <c r="J539" s="10">
        <f>IFERROR(INDEX(PlatformFees!$C$2:$C$5,MATCH(C539,PlatformFees!$A$2:$A$5,0)),0)</f>
        <v>0.13</v>
      </c>
      <c r="K539" s="11">
        <f t="shared" si="32"/>
        <v>15000</v>
      </c>
      <c r="L539" s="11">
        <f t="shared" si="33"/>
        <v>6682</v>
      </c>
      <c r="M539" s="11">
        <f t="shared" si="34"/>
        <v>29718</v>
      </c>
      <c r="N539" s="10">
        <f t="shared" si="35"/>
        <v>0.57817120622568097</v>
      </c>
    </row>
    <row r="540" spans="1:14" x14ac:dyDescent="0.3">
      <c r="A540" s="9" t="s">
        <v>619</v>
      </c>
      <c r="B540" s="9" t="s">
        <v>615</v>
      </c>
      <c r="C540" s="9" t="s">
        <v>40</v>
      </c>
      <c r="D540" s="9" t="s">
        <v>15</v>
      </c>
      <c r="E540" s="9">
        <v>3</v>
      </c>
      <c r="F540" s="11">
        <v>94400</v>
      </c>
      <c r="G540" s="9" t="str">
        <f>INDEX(Products!$B$2:$B$9,MATCH(D540,Products!$A$2:$A$9,0))</f>
        <v>Trà lá nam sen ổi</v>
      </c>
      <c r="H540" s="9" t="str">
        <f>INDEX(Products!$C$2:$C$9,MATCH(D540,Products!$A$2:$A$9,0))</f>
        <v>Thanh lọc</v>
      </c>
      <c r="I540" s="11">
        <f>INDEX(Products!$D$2:$D$9,MATCH(D540,Products!$A$2:$A$9,0))</f>
        <v>8500</v>
      </c>
      <c r="J540" s="10">
        <f>IFERROR(INDEX(PlatformFees!$C$2:$C$5,MATCH(C540,PlatformFees!$A$2:$A$5,0)),0)</f>
        <v>0</v>
      </c>
      <c r="K540" s="11">
        <f t="shared" si="32"/>
        <v>25500</v>
      </c>
      <c r="L540" s="11">
        <f t="shared" si="33"/>
        <v>0</v>
      </c>
      <c r="M540" s="11">
        <f t="shared" si="34"/>
        <v>68900</v>
      </c>
      <c r="N540" s="10">
        <f t="shared" si="35"/>
        <v>0.7298728813559322</v>
      </c>
    </row>
    <row r="541" spans="1:14" x14ac:dyDescent="0.3">
      <c r="A541" s="9" t="s">
        <v>620</v>
      </c>
      <c r="B541" s="9" t="s">
        <v>615</v>
      </c>
      <c r="C541" s="9" t="s">
        <v>38</v>
      </c>
      <c r="D541" s="9" t="s">
        <v>25</v>
      </c>
      <c r="E541" s="9">
        <v>1</v>
      </c>
      <c r="F541" s="11">
        <v>32200</v>
      </c>
      <c r="G541" s="9" t="str">
        <f>INDEX(Products!$B$2:$B$9,MATCH(D541,Products!$A$2:$A$9,0))</f>
        <v>Trà hoa đậu biếc</v>
      </c>
      <c r="H541" s="9" t="str">
        <f>INDEX(Products!$C$2:$C$9,MATCH(D541,Products!$A$2:$A$9,0))</f>
        <v>An thần</v>
      </c>
      <c r="I541" s="11">
        <f>INDEX(Products!$D$2:$D$9,MATCH(D541,Products!$A$2:$A$9,0))</f>
        <v>8800</v>
      </c>
      <c r="J541" s="10">
        <f>IFERROR(INDEX(PlatformFees!$C$2:$C$5,MATCH(C541,PlatformFees!$A$2:$A$5,0)),0)</f>
        <v>0.16</v>
      </c>
      <c r="K541" s="11">
        <f t="shared" si="32"/>
        <v>8800</v>
      </c>
      <c r="L541" s="11">
        <f t="shared" si="33"/>
        <v>5152</v>
      </c>
      <c r="M541" s="11">
        <f t="shared" si="34"/>
        <v>18248</v>
      </c>
      <c r="N541" s="10">
        <f t="shared" si="35"/>
        <v>0.5667080745341615</v>
      </c>
    </row>
    <row r="542" spans="1:14" x14ac:dyDescent="0.3">
      <c r="A542" s="9" t="s">
        <v>621</v>
      </c>
      <c r="B542" s="9" t="s">
        <v>615</v>
      </c>
      <c r="C542" s="9" t="s">
        <v>39</v>
      </c>
      <c r="D542" s="9" t="s">
        <v>30</v>
      </c>
      <c r="E542" s="9">
        <v>2</v>
      </c>
      <c r="F542" s="11">
        <v>68000</v>
      </c>
      <c r="G542" s="9" t="str">
        <f>INDEX(Products!$B$2:$B$9,MATCH(D542,Products!$A$2:$A$9,0))</f>
        <v>Trà mâm xôi vitamin</v>
      </c>
      <c r="H542" s="9" t="str">
        <f>INDEX(Products!$C$2:$C$9,MATCH(D542,Products!$A$2:$A$9,0))</f>
        <v>Bổ sung dưỡng chất</v>
      </c>
      <c r="I542" s="11">
        <f>INDEX(Products!$D$2:$D$9,MATCH(D542,Products!$A$2:$A$9,0))</f>
        <v>9800</v>
      </c>
      <c r="J542" s="10">
        <f>IFERROR(INDEX(PlatformFees!$C$2:$C$5,MATCH(C542,PlatformFees!$A$2:$A$5,0)),0)</f>
        <v>0</v>
      </c>
      <c r="K542" s="11">
        <f t="shared" si="32"/>
        <v>19600</v>
      </c>
      <c r="L542" s="11">
        <f t="shared" si="33"/>
        <v>0</v>
      </c>
      <c r="M542" s="11">
        <f t="shared" si="34"/>
        <v>48400</v>
      </c>
      <c r="N542" s="10">
        <f t="shared" si="35"/>
        <v>0.71176470588235297</v>
      </c>
    </row>
    <row r="543" spans="1:14" x14ac:dyDescent="0.3">
      <c r="A543" s="9" t="s">
        <v>622</v>
      </c>
      <c r="B543" s="9" t="s">
        <v>615</v>
      </c>
      <c r="C543" s="9" t="s">
        <v>36</v>
      </c>
      <c r="D543" s="9" t="s">
        <v>12</v>
      </c>
      <c r="E543" s="9">
        <v>2</v>
      </c>
      <c r="F543" s="11">
        <v>71200</v>
      </c>
      <c r="G543" s="9" t="str">
        <f>INDEX(Products!$B$2:$B$9,MATCH(D543,Products!$A$2:$A$9,0))</f>
        <v>Trà atiso thanh lọc</v>
      </c>
      <c r="H543" s="9" t="str">
        <f>INDEX(Products!$C$2:$C$9,MATCH(D543,Products!$A$2:$A$9,0))</f>
        <v>Thanh lọc</v>
      </c>
      <c r="I543" s="11">
        <f>INDEX(Products!$D$2:$D$9,MATCH(D543,Products!$A$2:$A$9,0))</f>
        <v>9000</v>
      </c>
      <c r="J543" s="10">
        <f>IFERROR(INDEX(PlatformFees!$C$2:$C$5,MATCH(C543,PlatformFees!$A$2:$A$5,0)),0)</f>
        <v>0.13</v>
      </c>
      <c r="K543" s="11">
        <f t="shared" si="32"/>
        <v>18000</v>
      </c>
      <c r="L543" s="11">
        <f t="shared" si="33"/>
        <v>9256</v>
      </c>
      <c r="M543" s="11">
        <f t="shared" si="34"/>
        <v>43944</v>
      </c>
      <c r="N543" s="10">
        <f t="shared" si="35"/>
        <v>0.6171910112359551</v>
      </c>
    </row>
    <row r="544" spans="1:14" x14ac:dyDescent="0.3">
      <c r="A544" s="9" t="s">
        <v>623</v>
      </c>
      <c r="B544" s="9" t="s">
        <v>615</v>
      </c>
      <c r="C544" s="9" t="s">
        <v>40</v>
      </c>
      <c r="D544" s="9" t="s">
        <v>25</v>
      </c>
      <c r="E544" s="9">
        <v>2</v>
      </c>
      <c r="F544" s="11">
        <v>66700</v>
      </c>
      <c r="G544" s="9" t="str">
        <f>INDEX(Products!$B$2:$B$9,MATCH(D544,Products!$A$2:$A$9,0))</f>
        <v>Trà hoa đậu biếc</v>
      </c>
      <c r="H544" s="9" t="str">
        <f>INDEX(Products!$C$2:$C$9,MATCH(D544,Products!$A$2:$A$9,0))</f>
        <v>An thần</v>
      </c>
      <c r="I544" s="11">
        <f>INDEX(Products!$D$2:$D$9,MATCH(D544,Products!$A$2:$A$9,0))</f>
        <v>8800</v>
      </c>
      <c r="J544" s="10">
        <f>IFERROR(INDEX(PlatformFees!$C$2:$C$5,MATCH(C544,PlatformFees!$A$2:$A$5,0)),0)</f>
        <v>0</v>
      </c>
      <c r="K544" s="11">
        <f t="shared" si="32"/>
        <v>17600</v>
      </c>
      <c r="L544" s="11">
        <f t="shared" si="33"/>
        <v>0</v>
      </c>
      <c r="M544" s="11">
        <f t="shared" si="34"/>
        <v>49100</v>
      </c>
      <c r="N544" s="10">
        <f t="shared" si="35"/>
        <v>0.73613193403298349</v>
      </c>
    </row>
    <row r="545" spans="1:14" x14ac:dyDescent="0.3">
      <c r="A545" s="9" t="s">
        <v>624</v>
      </c>
      <c r="B545" s="9" t="s">
        <v>615</v>
      </c>
      <c r="C545" s="9" t="s">
        <v>36</v>
      </c>
      <c r="D545" s="9" t="s">
        <v>17</v>
      </c>
      <c r="E545" s="9">
        <v>3</v>
      </c>
      <c r="F545" s="11">
        <v>125200</v>
      </c>
      <c r="G545" s="9" t="str">
        <f>INDEX(Products!$B$2:$B$9,MATCH(D545,Products!$A$2:$A$9,0))</f>
        <v>Trà diếp cá rau má</v>
      </c>
      <c r="H545" s="9" t="str">
        <f>INDEX(Products!$C$2:$C$9,MATCH(D545,Products!$A$2:$A$9,0))</f>
        <v>Detox</v>
      </c>
      <c r="I545" s="11">
        <f>INDEX(Products!$D$2:$D$9,MATCH(D545,Products!$A$2:$A$9,0))</f>
        <v>10500</v>
      </c>
      <c r="J545" s="10">
        <f>IFERROR(INDEX(PlatformFees!$C$2:$C$5,MATCH(C545,PlatformFees!$A$2:$A$5,0)),0)</f>
        <v>0.13</v>
      </c>
      <c r="K545" s="11">
        <f t="shared" si="32"/>
        <v>31500</v>
      </c>
      <c r="L545" s="11">
        <f t="shared" si="33"/>
        <v>16276</v>
      </c>
      <c r="M545" s="11">
        <f t="shared" si="34"/>
        <v>77424</v>
      </c>
      <c r="N545" s="10">
        <f t="shared" si="35"/>
        <v>0.61840255591054316</v>
      </c>
    </row>
    <row r="546" spans="1:14" x14ac:dyDescent="0.3">
      <c r="A546" s="9" t="s">
        <v>625</v>
      </c>
      <c r="B546" s="9" t="s">
        <v>626</v>
      </c>
      <c r="C546" s="9" t="s">
        <v>38</v>
      </c>
      <c r="D546" s="9" t="s">
        <v>22</v>
      </c>
      <c r="E546" s="9">
        <v>2</v>
      </c>
      <c r="F546" s="11">
        <v>71200</v>
      </c>
      <c r="G546" s="9" t="str">
        <f>INDEX(Products!$B$2:$B$9,MATCH(D546,Products!$A$2:$A$9,0))</f>
        <v>Trà hoa cúc an thần</v>
      </c>
      <c r="H546" s="9" t="str">
        <f>INDEX(Products!$C$2:$C$9,MATCH(D546,Products!$A$2:$A$9,0))</f>
        <v>An thần</v>
      </c>
      <c r="I546" s="11">
        <f>INDEX(Products!$D$2:$D$9,MATCH(D546,Products!$A$2:$A$9,0))</f>
        <v>9500</v>
      </c>
      <c r="J546" s="10">
        <f>IFERROR(INDEX(PlatformFees!$C$2:$C$5,MATCH(C546,PlatformFees!$A$2:$A$5,0)),0)</f>
        <v>0.16</v>
      </c>
      <c r="K546" s="11">
        <f t="shared" si="32"/>
        <v>19000</v>
      </c>
      <c r="L546" s="11">
        <f t="shared" si="33"/>
        <v>11392</v>
      </c>
      <c r="M546" s="11">
        <f t="shared" si="34"/>
        <v>40808</v>
      </c>
      <c r="N546" s="10">
        <f t="shared" si="35"/>
        <v>0.57314606741573038</v>
      </c>
    </row>
    <row r="547" spans="1:14" x14ac:dyDescent="0.3">
      <c r="A547" s="9" t="s">
        <v>627</v>
      </c>
      <c r="B547" s="9" t="s">
        <v>626</v>
      </c>
      <c r="C547" s="9" t="s">
        <v>36</v>
      </c>
      <c r="D547" s="9" t="s">
        <v>25</v>
      </c>
      <c r="E547" s="9">
        <v>2</v>
      </c>
      <c r="F547" s="11">
        <v>64400</v>
      </c>
      <c r="G547" s="9" t="str">
        <f>INDEX(Products!$B$2:$B$9,MATCH(D547,Products!$A$2:$A$9,0))</f>
        <v>Trà hoa đậu biếc</v>
      </c>
      <c r="H547" s="9" t="str">
        <f>INDEX(Products!$C$2:$C$9,MATCH(D547,Products!$A$2:$A$9,0))</f>
        <v>An thần</v>
      </c>
      <c r="I547" s="11">
        <f>INDEX(Products!$D$2:$D$9,MATCH(D547,Products!$A$2:$A$9,0))</f>
        <v>8800</v>
      </c>
      <c r="J547" s="10">
        <f>IFERROR(INDEX(PlatformFees!$C$2:$C$5,MATCH(C547,PlatformFees!$A$2:$A$5,0)),0)</f>
        <v>0.13</v>
      </c>
      <c r="K547" s="11">
        <f t="shared" si="32"/>
        <v>17600</v>
      </c>
      <c r="L547" s="11">
        <f t="shared" si="33"/>
        <v>8372</v>
      </c>
      <c r="M547" s="11">
        <f t="shared" si="34"/>
        <v>38428</v>
      </c>
      <c r="N547" s="10">
        <f t="shared" si="35"/>
        <v>0.59670807453416153</v>
      </c>
    </row>
    <row r="548" spans="1:14" x14ac:dyDescent="0.3">
      <c r="A548" s="9" t="s">
        <v>628</v>
      </c>
      <c r="B548" s="9" t="s">
        <v>626</v>
      </c>
      <c r="C548" s="9" t="s">
        <v>36</v>
      </c>
      <c r="D548" s="9" t="s">
        <v>27</v>
      </c>
      <c r="E548" s="9">
        <v>1</v>
      </c>
      <c r="F548" s="11">
        <v>40300</v>
      </c>
      <c r="G548" s="9" t="str">
        <f>INDEX(Products!$B$2:$B$9,MATCH(D548,Products!$A$2:$A$9,0))</f>
        <v>Trà gừng mật ong</v>
      </c>
      <c r="H548" s="9" t="str">
        <f>INDEX(Products!$C$2:$C$9,MATCH(D548,Products!$A$2:$A$9,0))</f>
        <v>Giữ ấm</v>
      </c>
      <c r="I548" s="11">
        <f>INDEX(Products!$D$2:$D$9,MATCH(D548,Products!$A$2:$A$9,0))</f>
        <v>11000</v>
      </c>
      <c r="J548" s="10">
        <f>IFERROR(INDEX(PlatformFees!$C$2:$C$5,MATCH(C548,PlatformFees!$A$2:$A$5,0)),0)</f>
        <v>0.13</v>
      </c>
      <c r="K548" s="11">
        <f t="shared" si="32"/>
        <v>11000</v>
      </c>
      <c r="L548" s="11">
        <f t="shared" si="33"/>
        <v>5239</v>
      </c>
      <c r="M548" s="11">
        <f t="shared" si="34"/>
        <v>24061</v>
      </c>
      <c r="N548" s="10">
        <f t="shared" si="35"/>
        <v>0.59704714640198508</v>
      </c>
    </row>
    <row r="549" spans="1:14" x14ac:dyDescent="0.3">
      <c r="A549" s="9" t="s">
        <v>629</v>
      </c>
      <c r="B549" s="9" t="s">
        <v>626</v>
      </c>
      <c r="C549" s="9" t="s">
        <v>40</v>
      </c>
      <c r="D549" s="9" t="s">
        <v>22</v>
      </c>
      <c r="E549" s="9">
        <v>2</v>
      </c>
      <c r="F549" s="11">
        <v>74600</v>
      </c>
      <c r="G549" s="9" t="str">
        <f>INDEX(Products!$B$2:$B$9,MATCH(D549,Products!$A$2:$A$9,0))</f>
        <v>Trà hoa cúc an thần</v>
      </c>
      <c r="H549" s="9" t="str">
        <f>INDEX(Products!$C$2:$C$9,MATCH(D549,Products!$A$2:$A$9,0))</f>
        <v>An thần</v>
      </c>
      <c r="I549" s="11">
        <f>INDEX(Products!$D$2:$D$9,MATCH(D549,Products!$A$2:$A$9,0))</f>
        <v>9500</v>
      </c>
      <c r="J549" s="10">
        <f>IFERROR(INDEX(PlatformFees!$C$2:$C$5,MATCH(C549,PlatformFees!$A$2:$A$5,0)),0)</f>
        <v>0</v>
      </c>
      <c r="K549" s="11">
        <f t="shared" si="32"/>
        <v>19000</v>
      </c>
      <c r="L549" s="11">
        <f t="shared" si="33"/>
        <v>0</v>
      </c>
      <c r="M549" s="11">
        <f t="shared" si="34"/>
        <v>55600</v>
      </c>
      <c r="N549" s="10">
        <f t="shared" si="35"/>
        <v>0.74530831099195716</v>
      </c>
    </row>
    <row r="550" spans="1:14" x14ac:dyDescent="0.3">
      <c r="A550" s="9" t="s">
        <v>630</v>
      </c>
      <c r="B550" s="9" t="s">
        <v>626</v>
      </c>
      <c r="C550" s="9" t="s">
        <v>36</v>
      </c>
      <c r="D550" s="9" t="s">
        <v>17</v>
      </c>
      <c r="E550" s="9">
        <v>1</v>
      </c>
      <c r="F550" s="11">
        <v>40200</v>
      </c>
      <c r="G550" s="9" t="str">
        <f>INDEX(Products!$B$2:$B$9,MATCH(D550,Products!$A$2:$A$9,0))</f>
        <v>Trà diếp cá rau má</v>
      </c>
      <c r="H550" s="9" t="str">
        <f>INDEX(Products!$C$2:$C$9,MATCH(D550,Products!$A$2:$A$9,0))</f>
        <v>Detox</v>
      </c>
      <c r="I550" s="11">
        <f>INDEX(Products!$D$2:$D$9,MATCH(D550,Products!$A$2:$A$9,0))</f>
        <v>10500</v>
      </c>
      <c r="J550" s="10">
        <f>IFERROR(INDEX(PlatformFees!$C$2:$C$5,MATCH(C550,PlatformFees!$A$2:$A$5,0)),0)</f>
        <v>0.13</v>
      </c>
      <c r="K550" s="11">
        <f t="shared" si="32"/>
        <v>10500</v>
      </c>
      <c r="L550" s="11">
        <f t="shared" si="33"/>
        <v>5226</v>
      </c>
      <c r="M550" s="11">
        <f t="shared" si="34"/>
        <v>24474</v>
      </c>
      <c r="N550" s="10">
        <f t="shared" si="35"/>
        <v>0.60880597014925375</v>
      </c>
    </row>
    <row r="551" spans="1:14" x14ac:dyDescent="0.3">
      <c r="A551" s="9" t="s">
        <v>631</v>
      </c>
      <c r="B551" s="9" t="s">
        <v>626</v>
      </c>
      <c r="C551" s="9" t="s">
        <v>36</v>
      </c>
      <c r="D551" s="9" t="s">
        <v>20</v>
      </c>
      <c r="E551" s="9">
        <v>1</v>
      </c>
      <c r="F551" s="11">
        <v>51200</v>
      </c>
      <c r="G551" s="9" t="str">
        <f>INDEX(Products!$B$2:$B$9,MATCH(D551,Products!$A$2:$A$9,0))</f>
        <v>Trà cà leo gai giảm cân</v>
      </c>
      <c r="H551" s="9" t="str">
        <f>INDEX(Products!$C$2:$C$9,MATCH(D551,Products!$A$2:$A$9,0))</f>
        <v>Detox</v>
      </c>
      <c r="I551" s="11">
        <f>INDEX(Products!$D$2:$D$9,MATCH(D551,Products!$A$2:$A$9,0))</f>
        <v>15000</v>
      </c>
      <c r="J551" s="10">
        <f>IFERROR(INDEX(PlatformFees!$C$2:$C$5,MATCH(C551,PlatformFees!$A$2:$A$5,0)),0)</f>
        <v>0.13</v>
      </c>
      <c r="K551" s="11">
        <f t="shared" si="32"/>
        <v>15000</v>
      </c>
      <c r="L551" s="11">
        <f t="shared" si="33"/>
        <v>6656</v>
      </c>
      <c r="M551" s="11">
        <f t="shared" si="34"/>
        <v>29544</v>
      </c>
      <c r="N551" s="10">
        <f t="shared" si="35"/>
        <v>0.57703125</v>
      </c>
    </row>
    <row r="552" spans="1:14" x14ac:dyDescent="0.3">
      <c r="A552" s="9" t="s">
        <v>632</v>
      </c>
      <c r="B552" s="9" t="s">
        <v>626</v>
      </c>
      <c r="C552" s="9" t="s">
        <v>39</v>
      </c>
      <c r="D552" s="9" t="s">
        <v>15</v>
      </c>
      <c r="E552" s="9">
        <v>1</v>
      </c>
      <c r="F552" s="11">
        <v>30800</v>
      </c>
      <c r="G552" s="9" t="str">
        <f>INDEX(Products!$B$2:$B$9,MATCH(D552,Products!$A$2:$A$9,0))</f>
        <v>Trà lá nam sen ổi</v>
      </c>
      <c r="H552" s="9" t="str">
        <f>INDEX(Products!$C$2:$C$9,MATCH(D552,Products!$A$2:$A$9,0))</f>
        <v>Thanh lọc</v>
      </c>
      <c r="I552" s="11">
        <f>INDEX(Products!$D$2:$D$9,MATCH(D552,Products!$A$2:$A$9,0))</f>
        <v>8500</v>
      </c>
      <c r="J552" s="10">
        <f>IFERROR(INDEX(PlatformFees!$C$2:$C$5,MATCH(C552,PlatformFees!$A$2:$A$5,0)),0)</f>
        <v>0</v>
      </c>
      <c r="K552" s="11">
        <f t="shared" si="32"/>
        <v>8500</v>
      </c>
      <c r="L552" s="11">
        <f t="shared" si="33"/>
        <v>0</v>
      </c>
      <c r="M552" s="11">
        <f t="shared" si="34"/>
        <v>22300</v>
      </c>
      <c r="N552" s="10">
        <f t="shared" si="35"/>
        <v>0.72402597402597402</v>
      </c>
    </row>
    <row r="553" spans="1:14" x14ac:dyDescent="0.3">
      <c r="A553" s="9" t="s">
        <v>633</v>
      </c>
      <c r="B553" s="9" t="s">
        <v>626</v>
      </c>
      <c r="C553" s="9" t="s">
        <v>38</v>
      </c>
      <c r="D553" s="9" t="s">
        <v>12</v>
      </c>
      <c r="E553" s="9">
        <v>1</v>
      </c>
      <c r="F553" s="11">
        <v>32900</v>
      </c>
      <c r="G553" s="9" t="str">
        <f>INDEX(Products!$B$2:$B$9,MATCH(D553,Products!$A$2:$A$9,0))</f>
        <v>Trà atiso thanh lọc</v>
      </c>
      <c r="H553" s="9" t="str">
        <f>INDEX(Products!$C$2:$C$9,MATCH(D553,Products!$A$2:$A$9,0))</f>
        <v>Thanh lọc</v>
      </c>
      <c r="I553" s="11">
        <f>INDEX(Products!$D$2:$D$9,MATCH(D553,Products!$A$2:$A$9,0))</f>
        <v>9000</v>
      </c>
      <c r="J553" s="10">
        <f>IFERROR(INDEX(PlatformFees!$C$2:$C$5,MATCH(C553,PlatformFees!$A$2:$A$5,0)),0)</f>
        <v>0.16</v>
      </c>
      <c r="K553" s="11">
        <f t="shared" si="32"/>
        <v>9000</v>
      </c>
      <c r="L553" s="11">
        <f t="shared" si="33"/>
        <v>5264</v>
      </c>
      <c r="M553" s="11">
        <f t="shared" si="34"/>
        <v>18636</v>
      </c>
      <c r="N553" s="10">
        <f t="shared" si="35"/>
        <v>0.56644376899696047</v>
      </c>
    </row>
    <row r="554" spans="1:14" x14ac:dyDescent="0.3">
      <c r="A554" s="9" t="s">
        <v>634</v>
      </c>
      <c r="B554" s="9" t="s">
        <v>626</v>
      </c>
      <c r="C554" s="9" t="s">
        <v>39</v>
      </c>
      <c r="D554" s="9" t="s">
        <v>27</v>
      </c>
      <c r="E554" s="9">
        <v>2</v>
      </c>
      <c r="F554" s="11">
        <v>75500</v>
      </c>
      <c r="G554" s="9" t="str">
        <f>INDEX(Products!$B$2:$B$9,MATCH(D554,Products!$A$2:$A$9,0))</f>
        <v>Trà gừng mật ong</v>
      </c>
      <c r="H554" s="9" t="str">
        <f>INDEX(Products!$C$2:$C$9,MATCH(D554,Products!$A$2:$A$9,0))</f>
        <v>Giữ ấm</v>
      </c>
      <c r="I554" s="11">
        <f>INDEX(Products!$D$2:$D$9,MATCH(D554,Products!$A$2:$A$9,0))</f>
        <v>11000</v>
      </c>
      <c r="J554" s="10">
        <f>IFERROR(INDEX(PlatformFees!$C$2:$C$5,MATCH(C554,PlatformFees!$A$2:$A$5,0)),0)</f>
        <v>0</v>
      </c>
      <c r="K554" s="11">
        <f t="shared" si="32"/>
        <v>22000</v>
      </c>
      <c r="L554" s="11">
        <f t="shared" si="33"/>
        <v>0</v>
      </c>
      <c r="M554" s="11">
        <f t="shared" si="34"/>
        <v>53500</v>
      </c>
      <c r="N554" s="10">
        <f t="shared" si="35"/>
        <v>0.70860927152317876</v>
      </c>
    </row>
    <row r="555" spans="1:14" x14ac:dyDescent="0.3">
      <c r="A555" s="9" t="s">
        <v>635</v>
      </c>
      <c r="B555" s="9" t="s">
        <v>626</v>
      </c>
      <c r="C555" s="9" t="s">
        <v>36</v>
      </c>
      <c r="D555" s="9" t="s">
        <v>30</v>
      </c>
      <c r="E555" s="9">
        <v>1</v>
      </c>
      <c r="F555" s="11">
        <v>36900</v>
      </c>
      <c r="G555" s="9" t="str">
        <f>INDEX(Products!$B$2:$B$9,MATCH(D555,Products!$A$2:$A$9,0))</f>
        <v>Trà mâm xôi vitamin</v>
      </c>
      <c r="H555" s="9" t="str">
        <f>INDEX(Products!$C$2:$C$9,MATCH(D555,Products!$A$2:$A$9,0))</f>
        <v>Bổ sung dưỡng chất</v>
      </c>
      <c r="I555" s="11">
        <f>INDEX(Products!$D$2:$D$9,MATCH(D555,Products!$A$2:$A$9,0))</f>
        <v>9800</v>
      </c>
      <c r="J555" s="10">
        <f>IFERROR(INDEX(PlatformFees!$C$2:$C$5,MATCH(C555,PlatformFees!$A$2:$A$5,0)),0)</f>
        <v>0.13</v>
      </c>
      <c r="K555" s="11">
        <f t="shared" si="32"/>
        <v>9800</v>
      </c>
      <c r="L555" s="11">
        <f t="shared" si="33"/>
        <v>4797</v>
      </c>
      <c r="M555" s="11">
        <f t="shared" si="34"/>
        <v>22303</v>
      </c>
      <c r="N555" s="10">
        <f t="shared" si="35"/>
        <v>0.60441734417344173</v>
      </c>
    </row>
    <row r="556" spans="1:14" x14ac:dyDescent="0.3">
      <c r="A556" s="9" t="s">
        <v>636</v>
      </c>
      <c r="B556" s="9" t="s">
        <v>626</v>
      </c>
      <c r="C556" s="9" t="s">
        <v>36</v>
      </c>
      <c r="D556" s="9" t="s">
        <v>30</v>
      </c>
      <c r="E556" s="9">
        <v>3</v>
      </c>
      <c r="F556" s="11">
        <v>100800</v>
      </c>
      <c r="G556" s="9" t="str">
        <f>INDEX(Products!$B$2:$B$9,MATCH(D556,Products!$A$2:$A$9,0))</f>
        <v>Trà mâm xôi vitamin</v>
      </c>
      <c r="H556" s="9" t="str">
        <f>INDEX(Products!$C$2:$C$9,MATCH(D556,Products!$A$2:$A$9,0))</f>
        <v>Bổ sung dưỡng chất</v>
      </c>
      <c r="I556" s="11">
        <f>INDEX(Products!$D$2:$D$9,MATCH(D556,Products!$A$2:$A$9,0))</f>
        <v>9800</v>
      </c>
      <c r="J556" s="10">
        <f>IFERROR(INDEX(PlatformFees!$C$2:$C$5,MATCH(C556,PlatformFees!$A$2:$A$5,0)),0)</f>
        <v>0.13</v>
      </c>
      <c r="K556" s="11">
        <f t="shared" si="32"/>
        <v>29400</v>
      </c>
      <c r="L556" s="11">
        <f t="shared" si="33"/>
        <v>13104</v>
      </c>
      <c r="M556" s="11">
        <f t="shared" si="34"/>
        <v>58296</v>
      </c>
      <c r="N556" s="10">
        <f t="shared" si="35"/>
        <v>0.57833333333333337</v>
      </c>
    </row>
    <row r="557" spans="1:14" x14ac:dyDescent="0.3">
      <c r="A557" s="9" t="s">
        <v>637</v>
      </c>
      <c r="B557" s="9" t="s">
        <v>626</v>
      </c>
      <c r="C557" s="9" t="s">
        <v>40</v>
      </c>
      <c r="D557" s="9" t="s">
        <v>22</v>
      </c>
      <c r="E557" s="9">
        <v>1</v>
      </c>
      <c r="F557" s="11">
        <v>37900</v>
      </c>
      <c r="G557" s="9" t="str">
        <f>INDEX(Products!$B$2:$B$9,MATCH(D557,Products!$A$2:$A$9,0))</f>
        <v>Trà hoa cúc an thần</v>
      </c>
      <c r="H557" s="9" t="str">
        <f>INDEX(Products!$C$2:$C$9,MATCH(D557,Products!$A$2:$A$9,0))</f>
        <v>An thần</v>
      </c>
      <c r="I557" s="11">
        <f>INDEX(Products!$D$2:$D$9,MATCH(D557,Products!$A$2:$A$9,0))</f>
        <v>9500</v>
      </c>
      <c r="J557" s="10">
        <f>IFERROR(INDEX(PlatformFees!$C$2:$C$5,MATCH(C557,PlatformFees!$A$2:$A$5,0)),0)</f>
        <v>0</v>
      </c>
      <c r="K557" s="11">
        <f t="shared" si="32"/>
        <v>9500</v>
      </c>
      <c r="L557" s="11">
        <f t="shared" si="33"/>
        <v>0</v>
      </c>
      <c r="M557" s="11">
        <f t="shared" si="34"/>
        <v>28400</v>
      </c>
      <c r="N557" s="10">
        <f t="shared" si="35"/>
        <v>0.74934036939313986</v>
      </c>
    </row>
    <row r="558" spans="1:14" x14ac:dyDescent="0.3">
      <c r="A558" s="9" t="s">
        <v>638</v>
      </c>
      <c r="B558" s="9" t="s">
        <v>626</v>
      </c>
      <c r="C558" s="9" t="s">
        <v>39</v>
      </c>
      <c r="D558" s="9" t="s">
        <v>20</v>
      </c>
      <c r="E558" s="9">
        <v>1</v>
      </c>
      <c r="F558" s="11">
        <v>53900</v>
      </c>
      <c r="G558" s="9" t="str">
        <f>INDEX(Products!$B$2:$B$9,MATCH(D558,Products!$A$2:$A$9,0))</f>
        <v>Trà cà leo gai giảm cân</v>
      </c>
      <c r="H558" s="9" t="str">
        <f>INDEX(Products!$C$2:$C$9,MATCH(D558,Products!$A$2:$A$9,0))</f>
        <v>Detox</v>
      </c>
      <c r="I558" s="11">
        <f>INDEX(Products!$D$2:$D$9,MATCH(D558,Products!$A$2:$A$9,0))</f>
        <v>15000</v>
      </c>
      <c r="J558" s="10">
        <f>IFERROR(INDEX(PlatformFees!$C$2:$C$5,MATCH(C558,PlatformFees!$A$2:$A$5,0)),0)</f>
        <v>0</v>
      </c>
      <c r="K558" s="11">
        <f t="shared" si="32"/>
        <v>15000</v>
      </c>
      <c r="L558" s="11">
        <f t="shared" si="33"/>
        <v>0</v>
      </c>
      <c r="M558" s="11">
        <f t="shared" si="34"/>
        <v>38900</v>
      </c>
      <c r="N558" s="10">
        <f t="shared" si="35"/>
        <v>0.72170686456400746</v>
      </c>
    </row>
    <row r="559" spans="1:14" x14ac:dyDescent="0.3">
      <c r="A559" s="9" t="s">
        <v>639</v>
      </c>
      <c r="B559" s="9" t="s">
        <v>626</v>
      </c>
      <c r="C559" s="9" t="s">
        <v>39</v>
      </c>
      <c r="D559" s="9" t="s">
        <v>20</v>
      </c>
      <c r="E559" s="9">
        <v>2</v>
      </c>
      <c r="F559" s="11">
        <v>109000</v>
      </c>
      <c r="G559" s="9" t="str">
        <f>INDEX(Products!$B$2:$B$9,MATCH(D559,Products!$A$2:$A$9,0))</f>
        <v>Trà cà leo gai giảm cân</v>
      </c>
      <c r="H559" s="9" t="str">
        <f>INDEX(Products!$C$2:$C$9,MATCH(D559,Products!$A$2:$A$9,0))</f>
        <v>Detox</v>
      </c>
      <c r="I559" s="11">
        <f>INDEX(Products!$D$2:$D$9,MATCH(D559,Products!$A$2:$A$9,0))</f>
        <v>15000</v>
      </c>
      <c r="J559" s="10">
        <f>IFERROR(INDEX(PlatformFees!$C$2:$C$5,MATCH(C559,PlatformFees!$A$2:$A$5,0)),0)</f>
        <v>0</v>
      </c>
      <c r="K559" s="11">
        <f t="shared" si="32"/>
        <v>30000</v>
      </c>
      <c r="L559" s="11">
        <f t="shared" si="33"/>
        <v>0</v>
      </c>
      <c r="M559" s="11">
        <f t="shared" si="34"/>
        <v>79000</v>
      </c>
      <c r="N559" s="10">
        <f t="shared" si="35"/>
        <v>0.72477064220183485</v>
      </c>
    </row>
    <row r="560" spans="1:14" x14ac:dyDescent="0.3">
      <c r="A560" s="9" t="s">
        <v>640</v>
      </c>
      <c r="B560" s="9" t="s">
        <v>626</v>
      </c>
      <c r="C560" s="9" t="s">
        <v>36</v>
      </c>
      <c r="D560" s="9" t="s">
        <v>17</v>
      </c>
      <c r="E560" s="9">
        <v>2</v>
      </c>
      <c r="F560" s="11">
        <v>81600</v>
      </c>
      <c r="G560" s="9" t="str">
        <f>INDEX(Products!$B$2:$B$9,MATCH(D560,Products!$A$2:$A$9,0))</f>
        <v>Trà diếp cá rau má</v>
      </c>
      <c r="H560" s="9" t="str">
        <f>INDEX(Products!$C$2:$C$9,MATCH(D560,Products!$A$2:$A$9,0))</f>
        <v>Detox</v>
      </c>
      <c r="I560" s="11">
        <f>INDEX(Products!$D$2:$D$9,MATCH(D560,Products!$A$2:$A$9,0))</f>
        <v>10500</v>
      </c>
      <c r="J560" s="10">
        <f>IFERROR(INDEX(PlatformFees!$C$2:$C$5,MATCH(C560,PlatformFees!$A$2:$A$5,0)),0)</f>
        <v>0.13</v>
      </c>
      <c r="K560" s="11">
        <f t="shared" si="32"/>
        <v>21000</v>
      </c>
      <c r="L560" s="11">
        <f t="shared" si="33"/>
        <v>10608</v>
      </c>
      <c r="M560" s="11">
        <f t="shared" si="34"/>
        <v>49992</v>
      </c>
      <c r="N560" s="10">
        <f t="shared" si="35"/>
        <v>0.61264705882352943</v>
      </c>
    </row>
    <row r="561" spans="1:14" x14ac:dyDescent="0.3">
      <c r="A561" s="9" t="s">
        <v>641</v>
      </c>
      <c r="B561" s="9" t="s">
        <v>626</v>
      </c>
      <c r="C561" s="9" t="s">
        <v>39</v>
      </c>
      <c r="D561" s="9" t="s">
        <v>27</v>
      </c>
      <c r="E561" s="9">
        <v>1</v>
      </c>
      <c r="F561" s="11">
        <v>40800</v>
      </c>
      <c r="G561" s="9" t="str">
        <f>INDEX(Products!$B$2:$B$9,MATCH(D561,Products!$A$2:$A$9,0))</f>
        <v>Trà gừng mật ong</v>
      </c>
      <c r="H561" s="9" t="str">
        <f>INDEX(Products!$C$2:$C$9,MATCH(D561,Products!$A$2:$A$9,0))</f>
        <v>Giữ ấm</v>
      </c>
      <c r="I561" s="11">
        <f>INDEX(Products!$D$2:$D$9,MATCH(D561,Products!$A$2:$A$9,0))</f>
        <v>11000</v>
      </c>
      <c r="J561" s="10">
        <f>IFERROR(INDEX(PlatformFees!$C$2:$C$5,MATCH(C561,PlatformFees!$A$2:$A$5,0)),0)</f>
        <v>0</v>
      </c>
      <c r="K561" s="11">
        <f t="shared" si="32"/>
        <v>11000</v>
      </c>
      <c r="L561" s="11">
        <f t="shared" si="33"/>
        <v>0</v>
      </c>
      <c r="M561" s="11">
        <f t="shared" si="34"/>
        <v>29800</v>
      </c>
      <c r="N561" s="10">
        <f t="shared" si="35"/>
        <v>0.73039215686274506</v>
      </c>
    </row>
    <row r="562" spans="1:14" x14ac:dyDescent="0.3">
      <c r="A562" s="9" t="s">
        <v>642</v>
      </c>
      <c r="B562" s="9" t="s">
        <v>626</v>
      </c>
      <c r="C562" s="9" t="s">
        <v>36</v>
      </c>
      <c r="D562" s="9" t="s">
        <v>20</v>
      </c>
      <c r="E562" s="9">
        <v>2</v>
      </c>
      <c r="F562" s="11">
        <v>111700</v>
      </c>
      <c r="G562" s="9" t="str">
        <f>INDEX(Products!$B$2:$B$9,MATCH(D562,Products!$A$2:$A$9,0))</f>
        <v>Trà cà leo gai giảm cân</v>
      </c>
      <c r="H562" s="9" t="str">
        <f>INDEX(Products!$C$2:$C$9,MATCH(D562,Products!$A$2:$A$9,0))</f>
        <v>Detox</v>
      </c>
      <c r="I562" s="11">
        <f>INDEX(Products!$D$2:$D$9,MATCH(D562,Products!$A$2:$A$9,0))</f>
        <v>15000</v>
      </c>
      <c r="J562" s="10">
        <f>IFERROR(INDEX(PlatformFees!$C$2:$C$5,MATCH(C562,PlatformFees!$A$2:$A$5,0)),0)</f>
        <v>0.13</v>
      </c>
      <c r="K562" s="11">
        <f t="shared" si="32"/>
        <v>30000</v>
      </c>
      <c r="L562" s="11">
        <f t="shared" si="33"/>
        <v>14521</v>
      </c>
      <c r="M562" s="11">
        <f t="shared" si="34"/>
        <v>67179</v>
      </c>
      <c r="N562" s="10">
        <f t="shared" si="35"/>
        <v>0.60142345568487021</v>
      </c>
    </row>
    <row r="563" spans="1:14" x14ac:dyDescent="0.3">
      <c r="A563" s="9" t="s">
        <v>643</v>
      </c>
      <c r="B563" s="9" t="s">
        <v>626</v>
      </c>
      <c r="C563" s="9" t="s">
        <v>39</v>
      </c>
      <c r="D563" s="9" t="s">
        <v>12</v>
      </c>
      <c r="E563" s="9">
        <v>2</v>
      </c>
      <c r="F563" s="11">
        <v>71600</v>
      </c>
      <c r="G563" s="9" t="str">
        <f>INDEX(Products!$B$2:$B$9,MATCH(D563,Products!$A$2:$A$9,0))</f>
        <v>Trà atiso thanh lọc</v>
      </c>
      <c r="H563" s="9" t="str">
        <f>INDEX(Products!$C$2:$C$9,MATCH(D563,Products!$A$2:$A$9,0))</f>
        <v>Thanh lọc</v>
      </c>
      <c r="I563" s="11">
        <f>INDEX(Products!$D$2:$D$9,MATCH(D563,Products!$A$2:$A$9,0))</f>
        <v>9000</v>
      </c>
      <c r="J563" s="10">
        <f>IFERROR(INDEX(PlatformFees!$C$2:$C$5,MATCH(C563,PlatformFees!$A$2:$A$5,0)),0)</f>
        <v>0</v>
      </c>
      <c r="K563" s="11">
        <f t="shared" si="32"/>
        <v>18000</v>
      </c>
      <c r="L563" s="11">
        <f t="shared" si="33"/>
        <v>0</v>
      </c>
      <c r="M563" s="11">
        <f t="shared" si="34"/>
        <v>53600</v>
      </c>
      <c r="N563" s="10">
        <f t="shared" si="35"/>
        <v>0.74860335195530725</v>
      </c>
    </row>
    <row r="564" spans="1:14" x14ac:dyDescent="0.3">
      <c r="A564" s="9" t="s">
        <v>644</v>
      </c>
      <c r="B564" s="9" t="s">
        <v>626</v>
      </c>
      <c r="C564" s="9" t="s">
        <v>38</v>
      </c>
      <c r="D564" s="9" t="s">
        <v>20</v>
      </c>
      <c r="E564" s="9">
        <v>1</v>
      </c>
      <c r="F564" s="11">
        <v>51800</v>
      </c>
      <c r="G564" s="9" t="str">
        <f>INDEX(Products!$B$2:$B$9,MATCH(D564,Products!$A$2:$A$9,0))</f>
        <v>Trà cà leo gai giảm cân</v>
      </c>
      <c r="H564" s="9" t="str">
        <f>INDEX(Products!$C$2:$C$9,MATCH(D564,Products!$A$2:$A$9,0))</f>
        <v>Detox</v>
      </c>
      <c r="I564" s="11">
        <f>INDEX(Products!$D$2:$D$9,MATCH(D564,Products!$A$2:$A$9,0))</f>
        <v>15000</v>
      </c>
      <c r="J564" s="10">
        <f>IFERROR(INDEX(PlatformFees!$C$2:$C$5,MATCH(C564,PlatformFees!$A$2:$A$5,0)),0)</f>
        <v>0.16</v>
      </c>
      <c r="K564" s="11">
        <f t="shared" si="32"/>
        <v>15000</v>
      </c>
      <c r="L564" s="11">
        <f t="shared" si="33"/>
        <v>8288</v>
      </c>
      <c r="M564" s="11">
        <f t="shared" si="34"/>
        <v>28512</v>
      </c>
      <c r="N564" s="10">
        <f t="shared" si="35"/>
        <v>0.55042471042471042</v>
      </c>
    </row>
    <row r="565" spans="1:14" x14ac:dyDescent="0.3">
      <c r="A565" s="9" t="s">
        <v>645</v>
      </c>
      <c r="B565" s="9" t="s">
        <v>626</v>
      </c>
      <c r="C565" s="9" t="s">
        <v>36</v>
      </c>
      <c r="D565" s="9" t="s">
        <v>20</v>
      </c>
      <c r="E565" s="9">
        <v>1</v>
      </c>
      <c r="F565" s="11">
        <v>53600</v>
      </c>
      <c r="G565" s="9" t="str">
        <f>INDEX(Products!$B$2:$B$9,MATCH(D565,Products!$A$2:$A$9,0))</f>
        <v>Trà cà leo gai giảm cân</v>
      </c>
      <c r="H565" s="9" t="str">
        <f>INDEX(Products!$C$2:$C$9,MATCH(D565,Products!$A$2:$A$9,0))</f>
        <v>Detox</v>
      </c>
      <c r="I565" s="11">
        <f>INDEX(Products!$D$2:$D$9,MATCH(D565,Products!$A$2:$A$9,0))</f>
        <v>15000</v>
      </c>
      <c r="J565" s="10">
        <f>IFERROR(INDEX(PlatformFees!$C$2:$C$5,MATCH(C565,PlatformFees!$A$2:$A$5,0)),0)</f>
        <v>0.13</v>
      </c>
      <c r="K565" s="11">
        <f t="shared" si="32"/>
        <v>15000</v>
      </c>
      <c r="L565" s="11">
        <f t="shared" si="33"/>
        <v>6968</v>
      </c>
      <c r="M565" s="11">
        <f t="shared" si="34"/>
        <v>31632</v>
      </c>
      <c r="N565" s="10">
        <f t="shared" si="35"/>
        <v>0.5901492537313433</v>
      </c>
    </row>
    <row r="566" spans="1:14" x14ac:dyDescent="0.3">
      <c r="A566" s="9" t="s">
        <v>646</v>
      </c>
      <c r="B566" s="9" t="s">
        <v>626</v>
      </c>
      <c r="C566" s="9" t="s">
        <v>38</v>
      </c>
      <c r="D566" s="9" t="s">
        <v>22</v>
      </c>
      <c r="E566" s="9">
        <v>1</v>
      </c>
      <c r="F566" s="11">
        <v>38200</v>
      </c>
      <c r="G566" s="9" t="str">
        <f>INDEX(Products!$B$2:$B$9,MATCH(D566,Products!$A$2:$A$9,0))</f>
        <v>Trà hoa cúc an thần</v>
      </c>
      <c r="H566" s="9" t="str">
        <f>INDEX(Products!$C$2:$C$9,MATCH(D566,Products!$A$2:$A$9,0))</f>
        <v>An thần</v>
      </c>
      <c r="I566" s="11">
        <f>INDEX(Products!$D$2:$D$9,MATCH(D566,Products!$A$2:$A$9,0))</f>
        <v>9500</v>
      </c>
      <c r="J566" s="10">
        <f>IFERROR(INDEX(PlatformFees!$C$2:$C$5,MATCH(C566,PlatformFees!$A$2:$A$5,0)),0)</f>
        <v>0.16</v>
      </c>
      <c r="K566" s="11">
        <f t="shared" si="32"/>
        <v>9500</v>
      </c>
      <c r="L566" s="11">
        <f t="shared" si="33"/>
        <v>6112</v>
      </c>
      <c r="M566" s="11">
        <f t="shared" si="34"/>
        <v>22588</v>
      </c>
      <c r="N566" s="10">
        <f t="shared" si="35"/>
        <v>0.59130890052356022</v>
      </c>
    </row>
    <row r="567" spans="1:14" x14ac:dyDescent="0.3">
      <c r="A567" s="9" t="s">
        <v>647</v>
      </c>
      <c r="B567" s="9" t="s">
        <v>626</v>
      </c>
      <c r="C567" s="9" t="s">
        <v>38</v>
      </c>
      <c r="D567" s="9" t="s">
        <v>25</v>
      </c>
      <c r="E567" s="9">
        <v>3</v>
      </c>
      <c r="F567" s="11">
        <v>99300</v>
      </c>
      <c r="G567" s="9" t="str">
        <f>INDEX(Products!$B$2:$B$9,MATCH(D567,Products!$A$2:$A$9,0))</f>
        <v>Trà hoa đậu biếc</v>
      </c>
      <c r="H567" s="9" t="str">
        <f>INDEX(Products!$C$2:$C$9,MATCH(D567,Products!$A$2:$A$9,0))</f>
        <v>An thần</v>
      </c>
      <c r="I567" s="11">
        <f>INDEX(Products!$D$2:$D$9,MATCH(D567,Products!$A$2:$A$9,0))</f>
        <v>8800</v>
      </c>
      <c r="J567" s="10">
        <f>IFERROR(INDEX(PlatformFees!$C$2:$C$5,MATCH(C567,PlatformFees!$A$2:$A$5,0)),0)</f>
        <v>0.16</v>
      </c>
      <c r="K567" s="11">
        <f t="shared" si="32"/>
        <v>26400</v>
      </c>
      <c r="L567" s="11">
        <f t="shared" si="33"/>
        <v>15888</v>
      </c>
      <c r="M567" s="11">
        <f t="shared" si="34"/>
        <v>57012</v>
      </c>
      <c r="N567" s="10">
        <f t="shared" si="35"/>
        <v>0.57413897280966764</v>
      </c>
    </row>
    <row r="568" spans="1:14" x14ac:dyDescent="0.3">
      <c r="A568" s="9" t="s">
        <v>648</v>
      </c>
      <c r="B568" s="9" t="s">
        <v>649</v>
      </c>
      <c r="C568" s="9" t="s">
        <v>39</v>
      </c>
      <c r="D568" s="9" t="s">
        <v>17</v>
      </c>
      <c r="E568" s="9">
        <v>1</v>
      </c>
      <c r="F568" s="11">
        <v>42000</v>
      </c>
      <c r="G568" s="9" t="str">
        <f>INDEX(Products!$B$2:$B$9,MATCH(D568,Products!$A$2:$A$9,0))</f>
        <v>Trà diếp cá rau má</v>
      </c>
      <c r="H568" s="9" t="str">
        <f>INDEX(Products!$C$2:$C$9,MATCH(D568,Products!$A$2:$A$9,0))</f>
        <v>Detox</v>
      </c>
      <c r="I568" s="11">
        <f>INDEX(Products!$D$2:$D$9,MATCH(D568,Products!$A$2:$A$9,0))</f>
        <v>10500</v>
      </c>
      <c r="J568" s="10">
        <f>IFERROR(INDEX(PlatformFees!$C$2:$C$5,MATCH(C568,PlatformFees!$A$2:$A$5,0)),0)</f>
        <v>0</v>
      </c>
      <c r="K568" s="11">
        <f t="shared" si="32"/>
        <v>10500</v>
      </c>
      <c r="L568" s="11">
        <f t="shared" si="33"/>
        <v>0</v>
      </c>
      <c r="M568" s="11">
        <f t="shared" si="34"/>
        <v>31500</v>
      </c>
      <c r="N568" s="10">
        <f t="shared" si="35"/>
        <v>0.75</v>
      </c>
    </row>
    <row r="569" spans="1:14" x14ac:dyDescent="0.3">
      <c r="A569" s="9" t="s">
        <v>650</v>
      </c>
      <c r="B569" s="9" t="s">
        <v>649</v>
      </c>
      <c r="C569" s="9" t="s">
        <v>38</v>
      </c>
      <c r="D569" s="9" t="s">
        <v>30</v>
      </c>
      <c r="E569" s="9">
        <v>2</v>
      </c>
      <c r="F569" s="11">
        <v>74100</v>
      </c>
      <c r="G569" s="9" t="str">
        <f>INDEX(Products!$B$2:$B$9,MATCH(D569,Products!$A$2:$A$9,0))</f>
        <v>Trà mâm xôi vitamin</v>
      </c>
      <c r="H569" s="9" t="str">
        <f>INDEX(Products!$C$2:$C$9,MATCH(D569,Products!$A$2:$A$9,0))</f>
        <v>Bổ sung dưỡng chất</v>
      </c>
      <c r="I569" s="11">
        <f>INDEX(Products!$D$2:$D$9,MATCH(D569,Products!$A$2:$A$9,0))</f>
        <v>9800</v>
      </c>
      <c r="J569" s="10">
        <f>IFERROR(INDEX(PlatformFees!$C$2:$C$5,MATCH(C569,PlatformFees!$A$2:$A$5,0)),0)</f>
        <v>0.16</v>
      </c>
      <c r="K569" s="11">
        <f t="shared" si="32"/>
        <v>19600</v>
      </c>
      <c r="L569" s="11">
        <f t="shared" si="33"/>
        <v>11856</v>
      </c>
      <c r="M569" s="11">
        <f t="shared" si="34"/>
        <v>42644</v>
      </c>
      <c r="N569" s="10">
        <f t="shared" si="35"/>
        <v>0.57549257759784078</v>
      </c>
    </row>
    <row r="570" spans="1:14" x14ac:dyDescent="0.3">
      <c r="A570" s="9" t="s">
        <v>651</v>
      </c>
      <c r="B570" s="9" t="s">
        <v>649</v>
      </c>
      <c r="C570" s="9" t="s">
        <v>40</v>
      </c>
      <c r="D570" s="9" t="s">
        <v>22</v>
      </c>
      <c r="E570" s="9">
        <v>1</v>
      </c>
      <c r="F570" s="11">
        <v>38900</v>
      </c>
      <c r="G570" s="9" t="str">
        <f>INDEX(Products!$B$2:$B$9,MATCH(D570,Products!$A$2:$A$9,0))</f>
        <v>Trà hoa cúc an thần</v>
      </c>
      <c r="H570" s="9" t="str">
        <f>INDEX(Products!$C$2:$C$9,MATCH(D570,Products!$A$2:$A$9,0))</f>
        <v>An thần</v>
      </c>
      <c r="I570" s="11">
        <f>INDEX(Products!$D$2:$D$9,MATCH(D570,Products!$A$2:$A$9,0))</f>
        <v>9500</v>
      </c>
      <c r="J570" s="10">
        <f>IFERROR(INDEX(PlatformFees!$C$2:$C$5,MATCH(C570,PlatformFees!$A$2:$A$5,0)),0)</f>
        <v>0</v>
      </c>
      <c r="K570" s="11">
        <f t="shared" si="32"/>
        <v>9500</v>
      </c>
      <c r="L570" s="11">
        <f t="shared" si="33"/>
        <v>0</v>
      </c>
      <c r="M570" s="11">
        <f t="shared" si="34"/>
        <v>29400</v>
      </c>
      <c r="N570" s="10">
        <f t="shared" si="35"/>
        <v>0.75578406169665813</v>
      </c>
    </row>
    <row r="571" spans="1:14" x14ac:dyDescent="0.3">
      <c r="A571" s="9" t="s">
        <v>652</v>
      </c>
      <c r="B571" s="9" t="s">
        <v>649</v>
      </c>
      <c r="C571" s="9" t="s">
        <v>38</v>
      </c>
      <c r="D571" s="9" t="s">
        <v>25</v>
      </c>
      <c r="E571" s="9">
        <v>2</v>
      </c>
      <c r="F571" s="11">
        <v>63600</v>
      </c>
      <c r="G571" s="9" t="str">
        <f>INDEX(Products!$B$2:$B$9,MATCH(D571,Products!$A$2:$A$9,0))</f>
        <v>Trà hoa đậu biếc</v>
      </c>
      <c r="H571" s="9" t="str">
        <f>INDEX(Products!$C$2:$C$9,MATCH(D571,Products!$A$2:$A$9,0))</f>
        <v>An thần</v>
      </c>
      <c r="I571" s="11">
        <f>INDEX(Products!$D$2:$D$9,MATCH(D571,Products!$A$2:$A$9,0))</f>
        <v>8800</v>
      </c>
      <c r="J571" s="10">
        <f>IFERROR(INDEX(PlatformFees!$C$2:$C$5,MATCH(C571,PlatformFees!$A$2:$A$5,0)),0)</f>
        <v>0.16</v>
      </c>
      <c r="K571" s="11">
        <f t="shared" si="32"/>
        <v>17600</v>
      </c>
      <c r="L571" s="11">
        <f t="shared" si="33"/>
        <v>10176</v>
      </c>
      <c r="M571" s="11">
        <f t="shared" si="34"/>
        <v>35824</v>
      </c>
      <c r="N571" s="10">
        <f t="shared" si="35"/>
        <v>0.56327044025157236</v>
      </c>
    </row>
    <row r="572" spans="1:14" x14ac:dyDescent="0.3">
      <c r="A572" s="9" t="s">
        <v>653</v>
      </c>
      <c r="B572" s="9" t="s">
        <v>649</v>
      </c>
      <c r="C572" s="9" t="s">
        <v>38</v>
      </c>
      <c r="D572" s="9" t="s">
        <v>12</v>
      </c>
      <c r="E572" s="9">
        <v>1</v>
      </c>
      <c r="F572" s="11">
        <v>32200</v>
      </c>
      <c r="G572" s="9" t="str">
        <f>INDEX(Products!$B$2:$B$9,MATCH(D572,Products!$A$2:$A$9,0))</f>
        <v>Trà atiso thanh lọc</v>
      </c>
      <c r="H572" s="9" t="str">
        <f>INDEX(Products!$C$2:$C$9,MATCH(D572,Products!$A$2:$A$9,0))</f>
        <v>Thanh lọc</v>
      </c>
      <c r="I572" s="11">
        <f>INDEX(Products!$D$2:$D$9,MATCH(D572,Products!$A$2:$A$9,0))</f>
        <v>9000</v>
      </c>
      <c r="J572" s="10">
        <f>IFERROR(INDEX(PlatformFees!$C$2:$C$5,MATCH(C572,PlatformFees!$A$2:$A$5,0)),0)</f>
        <v>0.16</v>
      </c>
      <c r="K572" s="11">
        <f t="shared" si="32"/>
        <v>9000</v>
      </c>
      <c r="L572" s="11">
        <f t="shared" si="33"/>
        <v>5152</v>
      </c>
      <c r="M572" s="11">
        <f t="shared" si="34"/>
        <v>18048</v>
      </c>
      <c r="N572" s="10">
        <f t="shared" si="35"/>
        <v>0.56049689440993788</v>
      </c>
    </row>
    <row r="573" spans="1:14" x14ac:dyDescent="0.3">
      <c r="A573" s="9" t="s">
        <v>654</v>
      </c>
      <c r="B573" s="9" t="s">
        <v>649</v>
      </c>
      <c r="C573" s="9" t="s">
        <v>38</v>
      </c>
      <c r="D573" s="9" t="s">
        <v>17</v>
      </c>
      <c r="E573" s="9">
        <v>2</v>
      </c>
      <c r="F573" s="11">
        <v>83200</v>
      </c>
      <c r="G573" s="9" t="str">
        <f>INDEX(Products!$B$2:$B$9,MATCH(D573,Products!$A$2:$A$9,0))</f>
        <v>Trà diếp cá rau má</v>
      </c>
      <c r="H573" s="9" t="str">
        <f>INDEX(Products!$C$2:$C$9,MATCH(D573,Products!$A$2:$A$9,0))</f>
        <v>Detox</v>
      </c>
      <c r="I573" s="11">
        <f>INDEX(Products!$D$2:$D$9,MATCH(D573,Products!$A$2:$A$9,0))</f>
        <v>10500</v>
      </c>
      <c r="J573" s="10">
        <f>IFERROR(INDEX(PlatformFees!$C$2:$C$5,MATCH(C573,PlatformFees!$A$2:$A$5,0)),0)</f>
        <v>0.16</v>
      </c>
      <c r="K573" s="11">
        <f t="shared" si="32"/>
        <v>21000</v>
      </c>
      <c r="L573" s="11">
        <f t="shared" si="33"/>
        <v>13312</v>
      </c>
      <c r="M573" s="11">
        <f t="shared" si="34"/>
        <v>48888</v>
      </c>
      <c r="N573" s="10">
        <f t="shared" si="35"/>
        <v>0.58759615384615382</v>
      </c>
    </row>
    <row r="574" spans="1:14" x14ac:dyDescent="0.3">
      <c r="A574" s="9" t="s">
        <v>655</v>
      </c>
      <c r="B574" s="9" t="s">
        <v>649</v>
      </c>
      <c r="C574" s="9" t="s">
        <v>40</v>
      </c>
      <c r="D574" s="9" t="s">
        <v>30</v>
      </c>
      <c r="E574" s="9">
        <v>3</v>
      </c>
      <c r="F574" s="11">
        <v>105200</v>
      </c>
      <c r="G574" s="9" t="str">
        <f>INDEX(Products!$B$2:$B$9,MATCH(D574,Products!$A$2:$A$9,0))</f>
        <v>Trà mâm xôi vitamin</v>
      </c>
      <c r="H574" s="9" t="str">
        <f>INDEX(Products!$C$2:$C$9,MATCH(D574,Products!$A$2:$A$9,0))</f>
        <v>Bổ sung dưỡng chất</v>
      </c>
      <c r="I574" s="11">
        <f>INDEX(Products!$D$2:$D$9,MATCH(D574,Products!$A$2:$A$9,0))</f>
        <v>9800</v>
      </c>
      <c r="J574" s="10">
        <f>IFERROR(INDEX(PlatformFees!$C$2:$C$5,MATCH(C574,PlatformFees!$A$2:$A$5,0)),0)</f>
        <v>0</v>
      </c>
      <c r="K574" s="11">
        <f t="shared" si="32"/>
        <v>29400</v>
      </c>
      <c r="L574" s="11">
        <f t="shared" si="33"/>
        <v>0</v>
      </c>
      <c r="M574" s="11">
        <f t="shared" si="34"/>
        <v>75800</v>
      </c>
      <c r="N574" s="10">
        <f t="shared" si="35"/>
        <v>0.72053231939163498</v>
      </c>
    </row>
    <row r="575" spans="1:14" x14ac:dyDescent="0.3">
      <c r="A575" s="9" t="s">
        <v>656</v>
      </c>
      <c r="B575" s="9" t="s">
        <v>649</v>
      </c>
      <c r="C575" s="9" t="s">
        <v>36</v>
      </c>
      <c r="D575" s="9" t="s">
        <v>20</v>
      </c>
      <c r="E575" s="9">
        <v>1</v>
      </c>
      <c r="F575" s="11">
        <v>50700</v>
      </c>
      <c r="G575" s="9" t="str">
        <f>INDEX(Products!$B$2:$B$9,MATCH(D575,Products!$A$2:$A$9,0))</f>
        <v>Trà cà leo gai giảm cân</v>
      </c>
      <c r="H575" s="9" t="str">
        <f>INDEX(Products!$C$2:$C$9,MATCH(D575,Products!$A$2:$A$9,0))</f>
        <v>Detox</v>
      </c>
      <c r="I575" s="11">
        <f>INDEX(Products!$D$2:$D$9,MATCH(D575,Products!$A$2:$A$9,0))</f>
        <v>15000</v>
      </c>
      <c r="J575" s="10">
        <f>IFERROR(INDEX(PlatformFees!$C$2:$C$5,MATCH(C575,PlatformFees!$A$2:$A$5,0)),0)</f>
        <v>0.13</v>
      </c>
      <c r="K575" s="11">
        <f t="shared" si="32"/>
        <v>15000</v>
      </c>
      <c r="L575" s="11">
        <f t="shared" si="33"/>
        <v>6591</v>
      </c>
      <c r="M575" s="11">
        <f t="shared" si="34"/>
        <v>29109</v>
      </c>
      <c r="N575" s="10">
        <f t="shared" si="35"/>
        <v>0.57414201183431957</v>
      </c>
    </row>
    <row r="576" spans="1:14" x14ac:dyDescent="0.3">
      <c r="A576" s="9" t="s">
        <v>657</v>
      </c>
      <c r="B576" s="9" t="s">
        <v>649</v>
      </c>
      <c r="C576" s="9" t="s">
        <v>39</v>
      </c>
      <c r="D576" s="9" t="s">
        <v>22</v>
      </c>
      <c r="E576" s="9">
        <v>1</v>
      </c>
      <c r="F576" s="11">
        <v>35000</v>
      </c>
      <c r="G576" s="9" t="str">
        <f>INDEX(Products!$B$2:$B$9,MATCH(D576,Products!$A$2:$A$9,0))</f>
        <v>Trà hoa cúc an thần</v>
      </c>
      <c r="H576" s="9" t="str">
        <f>INDEX(Products!$C$2:$C$9,MATCH(D576,Products!$A$2:$A$9,0))</f>
        <v>An thần</v>
      </c>
      <c r="I576" s="11">
        <f>INDEX(Products!$D$2:$D$9,MATCH(D576,Products!$A$2:$A$9,0))</f>
        <v>9500</v>
      </c>
      <c r="J576" s="10">
        <f>IFERROR(INDEX(PlatformFees!$C$2:$C$5,MATCH(C576,PlatformFees!$A$2:$A$5,0)),0)</f>
        <v>0</v>
      </c>
      <c r="K576" s="11">
        <f t="shared" si="32"/>
        <v>9500</v>
      </c>
      <c r="L576" s="11">
        <f t="shared" si="33"/>
        <v>0</v>
      </c>
      <c r="M576" s="11">
        <f t="shared" si="34"/>
        <v>25500</v>
      </c>
      <c r="N576" s="10">
        <f t="shared" si="35"/>
        <v>0.72857142857142854</v>
      </c>
    </row>
    <row r="577" spans="1:14" x14ac:dyDescent="0.3">
      <c r="A577" s="9" t="s">
        <v>658</v>
      </c>
      <c r="B577" s="9" t="s">
        <v>649</v>
      </c>
      <c r="C577" s="9" t="s">
        <v>39</v>
      </c>
      <c r="D577" s="9" t="s">
        <v>25</v>
      </c>
      <c r="E577" s="9">
        <v>1</v>
      </c>
      <c r="F577" s="11">
        <v>31700</v>
      </c>
      <c r="G577" s="9" t="str">
        <f>INDEX(Products!$B$2:$B$9,MATCH(D577,Products!$A$2:$A$9,0))</f>
        <v>Trà hoa đậu biếc</v>
      </c>
      <c r="H577" s="9" t="str">
        <f>INDEX(Products!$C$2:$C$9,MATCH(D577,Products!$A$2:$A$9,0))</f>
        <v>An thần</v>
      </c>
      <c r="I577" s="11">
        <f>INDEX(Products!$D$2:$D$9,MATCH(D577,Products!$A$2:$A$9,0))</f>
        <v>8800</v>
      </c>
      <c r="J577" s="10">
        <f>IFERROR(INDEX(PlatformFees!$C$2:$C$5,MATCH(C577,PlatformFees!$A$2:$A$5,0)),0)</f>
        <v>0</v>
      </c>
      <c r="K577" s="11">
        <f t="shared" si="32"/>
        <v>8800</v>
      </c>
      <c r="L577" s="11">
        <f t="shared" si="33"/>
        <v>0</v>
      </c>
      <c r="M577" s="11">
        <f t="shared" si="34"/>
        <v>22900</v>
      </c>
      <c r="N577" s="10">
        <f t="shared" si="35"/>
        <v>0.72239747634069396</v>
      </c>
    </row>
    <row r="578" spans="1:14" x14ac:dyDescent="0.3">
      <c r="A578" s="9" t="s">
        <v>659</v>
      </c>
      <c r="B578" s="9" t="s">
        <v>649</v>
      </c>
      <c r="C578" s="9" t="s">
        <v>36</v>
      </c>
      <c r="D578" s="9" t="s">
        <v>15</v>
      </c>
      <c r="E578" s="9">
        <v>1</v>
      </c>
      <c r="F578" s="11">
        <v>31600</v>
      </c>
      <c r="G578" s="9" t="str">
        <f>INDEX(Products!$B$2:$B$9,MATCH(D578,Products!$A$2:$A$9,0))</f>
        <v>Trà lá nam sen ổi</v>
      </c>
      <c r="H578" s="9" t="str">
        <f>INDEX(Products!$C$2:$C$9,MATCH(D578,Products!$A$2:$A$9,0))</f>
        <v>Thanh lọc</v>
      </c>
      <c r="I578" s="11">
        <f>INDEX(Products!$D$2:$D$9,MATCH(D578,Products!$A$2:$A$9,0))</f>
        <v>8500</v>
      </c>
      <c r="J578" s="10">
        <f>IFERROR(INDEX(PlatformFees!$C$2:$C$5,MATCH(C578,PlatformFees!$A$2:$A$5,0)),0)</f>
        <v>0.13</v>
      </c>
      <c r="K578" s="11">
        <f t="shared" ref="K578:K641" si="36">E578*I578</f>
        <v>8500</v>
      </c>
      <c r="L578" s="11">
        <f t="shared" ref="L578:L641" si="37">F578*J578</f>
        <v>4108</v>
      </c>
      <c r="M578" s="11">
        <f t="shared" ref="M578:M641" si="38">F578-L578-K578</f>
        <v>18992</v>
      </c>
      <c r="N578" s="10">
        <f t="shared" ref="N578:N641" si="39">IFERROR(M578/F578,0)</f>
        <v>0.60101265822784811</v>
      </c>
    </row>
    <row r="579" spans="1:14" x14ac:dyDescent="0.3">
      <c r="A579" s="9" t="s">
        <v>660</v>
      </c>
      <c r="B579" s="9" t="s">
        <v>649</v>
      </c>
      <c r="C579" s="9" t="s">
        <v>36</v>
      </c>
      <c r="D579" s="9" t="s">
        <v>17</v>
      </c>
      <c r="E579" s="9">
        <v>2</v>
      </c>
      <c r="F579" s="11">
        <v>78000</v>
      </c>
      <c r="G579" s="9" t="str">
        <f>INDEX(Products!$B$2:$B$9,MATCH(D579,Products!$A$2:$A$9,0))</f>
        <v>Trà diếp cá rau má</v>
      </c>
      <c r="H579" s="9" t="str">
        <f>INDEX(Products!$C$2:$C$9,MATCH(D579,Products!$A$2:$A$9,0))</f>
        <v>Detox</v>
      </c>
      <c r="I579" s="11">
        <f>INDEX(Products!$D$2:$D$9,MATCH(D579,Products!$A$2:$A$9,0))</f>
        <v>10500</v>
      </c>
      <c r="J579" s="10">
        <f>IFERROR(INDEX(PlatformFees!$C$2:$C$5,MATCH(C579,PlatformFees!$A$2:$A$5,0)),0)</f>
        <v>0.13</v>
      </c>
      <c r="K579" s="11">
        <f t="shared" si="36"/>
        <v>21000</v>
      </c>
      <c r="L579" s="11">
        <f t="shared" si="37"/>
        <v>10140</v>
      </c>
      <c r="M579" s="11">
        <f t="shared" si="38"/>
        <v>46860</v>
      </c>
      <c r="N579" s="10">
        <f t="shared" si="39"/>
        <v>0.60076923076923072</v>
      </c>
    </row>
    <row r="580" spans="1:14" x14ac:dyDescent="0.3">
      <c r="A580" s="9" t="s">
        <v>661</v>
      </c>
      <c r="B580" s="9" t="s">
        <v>649</v>
      </c>
      <c r="C580" s="9" t="s">
        <v>40</v>
      </c>
      <c r="D580" s="9" t="s">
        <v>22</v>
      </c>
      <c r="E580" s="9">
        <v>1</v>
      </c>
      <c r="F580" s="11">
        <v>39100</v>
      </c>
      <c r="G580" s="9" t="str">
        <f>INDEX(Products!$B$2:$B$9,MATCH(D580,Products!$A$2:$A$9,0))</f>
        <v>Trà hoa cúc an thần</v>
      </c>
      <c r="H580" s="9" t="str">
        <f>INDEX(Products!$C$2:$C$9,MATCH(D580,Products!$A$2:$A$9,0))</f>
        <v>An thần</v>
      </c>
      <c r="I580" s="11">
        <f>INDEX(Products!$D$2:$D$9,MATCH(D580,Products!$A$2:$A$9,0))</f>
        <v>9500</v>
      </c>
      <c r="J580" s="10">
        <f>IFERROR(INDEX(PlatformFees!$C$2:$C$5,MATCH(C580,PlatformFees!$A$2:$A$5,0)),0)</f>
        <v>0</v>
      </c>
      <c r="K580" s="11">
        <f t="shared" si="36"/>
        <v>9500</v>
      </c>
      <c r="L580" s="11">
        <f t="shared" si="37"/>
        <v>0</v>
      </c>
      <c r="M580" s="11">
        <f t="shared" si="38"/>
        <v>29600</v>
      </c>
      <c r="N580" s="10">
        <f t="shared" si="39"/>
        <v>0.75703324808184147</v>
      </c>
    </row>
    <row r="581" spans="1:14" x14ac:dyDescent="0.3">
      <c r="A581" s="9" t="s">
        <v>662</v>
      </c>
      <c r="B581" s="9" t="s">
        <v>649</v>
      </c>
      <c r="C581" s="9" t="s">
        <v>36</v>
      </c>
      <c r="D581" s="9" t="s">
        <v>22</v>
      </c>
      <c r="E581" s="9">
        <v>1</v>
      </c>
      <c r="F581" s="11">
        <v>37700</v>
      </c>
      <c r="G581" s="9" t="str">
        <f>INDEX(Products!$B$2:$B$9,MATCH(D581,Products!$A$2:$A$9,0))</f>
        <v>Trà hoa cúc an thần</v>
      </c>
      <c r="H581" s="9" t="str">
        <f>INDEX(Products!$C$2:$C$9,MATCH(D581,Products!$A$2:$A$9,0))</f>
        <v>An thần</v>
      </c>
      <c r="I581" s="11">
        <f>INDEX(Products!$D$2:$D$9,MATCH(D581,Products!$A$2:$A$9,0))</f>
        <v>9500</v>
      </c>
      <c r="J581" s="10">
        <f>IFERROR(INDEX(PlatformFees!$C$2:$C$5,MATCH(C581,PlatformFees!$A$2:$A$5,0)),0)</f>
        <v>0.13</v>
      </c>
      <c r="K581" s="11">
        <f t="shared" si="36"/>
        <v>9500</v>
      </c>
      <c r="L581" s="11">
        <f t="shared" si="37"/>
        <v>4901</v>
      </c>
      <c r="M581" s="11">
        <f t="shared" si="38"/>
        <v>23299</v>
      </c>
      <c r="N581" s="10">
        <f t="shared" si="39"/>
        <v>0.61801061007957558</v>
      </c>
    </row>
    <row r="582" spans="1:14" x14ac:dyDescent="0.3">
      <c r="A582" s="9" t="s">
        <v>663</v>
      </c>
      <c r="B582" s="9" t="s">
        <v>649</v>
      </c>
      <c r="C582" s="9" t="s">
        <v>39</v>
      </c>
      <c r="D582" s="9" t="s">
        <v>27</v>
      </c>
      <c r="E582" s="9">
        <v>1</v>
      </c>
      <c r="F582" s="11">
        <v>38600</v>
      </c>
      <c r="G582" s="9" t="str">
        <f>INDEX(Products!$B$2:$B$9,MATCH(D582,Products!$A$2:$A$9,0))</f>
        <v>Trà gừng mật ong</v>
      </c>
      <c r="H582" s="9" t="str">
        <f>INDEX(Products!$C$2:$C$9,MATCH(D582,Products!$A$2:$A$9,0))</f>
        <v>Giữ ấm</v>
      </c>
      <c r="I582" s="11">
        <f>INDEX(Products!$D$2:$D$9,MATCH(D582,Products!$A$2:$A$9,0))</f>
        <v>11000</v>
      </c>
      <c r="J582" s="10">
        <f>IFERROR(INDEX(PlatformFees!$C$2:$C$5,MATCH(C582,PlatformFees!$A$2:$A$5,0)),0)</f>
        <v>0</v>
      </c>
      <c r="K582" s="11">
        <f t="shared" si="36"/>
        <v>11000</v>
      </c>
      <c r="L582" s="11">
        <f t="shared" si="37"/>
        <v>0</v>
      </c>
      <c r="M582" s="11">
        <f t="shared" si="38"/>
        <v>27600</v>
      </c>
      <c r="N582" s="10">
        <f t="shared" si="39"/>
        <v>0.71502590673575128</v>
      </c>
    </row>
    <row r="583" spans="1:14" x14ac:dyDescent="0.3">
      <c r="A583" s="9" t="s">
        <v>664</v>
      </c>
      <c r="B583" s="9" t="s">
        <v>649</v>
      </c>
      <c r="C583" s="9" t="s">
        <v>36</v>
      </c>
      <c r="D583" s="9" t="s">
        <v>20</v>
      </c>
      <c r="E583" s="9">
        <v>3</v>
      </c>
      <c r="F583" s="11">
        <v>152000</v>
      </c>
      <c r="G583" s="9" t="str">
        <f>INDEX(Products!$B$2:$B$9,MATCH(D583,Products!$A$2:$A$9,0))</f>
        <v>Trà cà leo gai giảm cân</v>
      </c>
      <c r="H583" s="9" t="str">
        <f>INDEX(Products!$C$2:$C$9,MATCH(D583,Products!$A$2:$A$9,0))</f>
        <v>Detox</v>
      </c>
      <c r="I583" s="11">
        <f>INDEX(Products!$D$2:$D$9,MATCH(D583,Products!$A$2:$A$9,0))</f>
        <v>15000</v>
      </c>
      <c r="J583" s="10">
        <f>IFERROR(INDEX(PlatformFees!$C$2:$C$5,MATCH(C583,PlatformFees!$A$2:$A$5,0)),0)</f>
        <v>0.13</v>
      </c>
      <c r="K583" s="11">
        <f t="shared" si="36"/>
        <v>45000</v>
      </c>
      <c r="L583" s="11">
        <f t="shared" si="37"/>
        <v>19760</v>
      </c>
      <c r="M583" s="11">
        <f t="shared" si="38"/>
        <v>87240</v>
      </c>
      <c r="N583" s="10">
        <f t="shared" si="39"/>
        <v>0.57394736842105265</v>
      </c>
    </row>
    <row r="584" spans="1:14" x14ac:dyDescent="0.3">
      <c r="A584" s="9" t="s">
        <v>665</v>
      </c>
      <c r="B584" s="9" t="s">
        <v>649</v>
      </c>
      <c r="C584" s="9" t="s">
        <v>36</v>
      </c>
      <c r="D584" s="9" t="s">
        <v>20</v>
      </c>
      <c r="E584" s="9">
        <v>2</v>
      </c>
      <c r="F584" s="11">
        <v>109000</v>
      </c>
      <c r="G584" s="9" t="str">
        <f>INDEX(Products!$B$2:$B$9,MATCH(D584,Products!$A$2:$A$9,0))</f>
        <v>Trà cà leo gai giảm cân</v>
      </c>
      <c r="H584" s="9" t="str">
        <f>INDEX(Products!$C$2:$C$9,MATCH(D584,Products!$A$2:$A$9,0))</f>
        <v>Detox</v>
      </c>
      <c r="I584" s="11">
        <f>INDEX(Products!$D$2:$D$9,MATCH(D584,Products!$A$2:$A$9,0))</f>
        <v>15000</v>
      </c>
      <c r="J584" s="10">
        <f>IFERROR(INDEX(PlatformFees!$C$2:$C$5,MATCH(C584,PlatformFees!$A$2:$A$5,0)),0)</f>
        <v>0.13</v>
      </c>
      <c r="K584" s="11">
        <f t="shared" si="36"/>
        <v>30000</v>
      </c>
      <c r="L584" s="11">
        <f t="shared" si="37"/>
        <v>14170</v>
      </c>
      <c r="M584" s="11">
        <f t="shared" si="38"/>
        <v>64830</v>
      </c>
      <c r="N584" s="10">
        <f t="shared" si="39"/>
        <v>0.59477064220183484</v>
      </c>
    </row>
    <row r="585" spans="1:14" x14ac:dyDescent="0.3">
      <c r="A585" s="9" t="s">
        <v>666</v>
      </c>
      <c r="B585" s="9" t="s">
        <v>667</v>
      </c>
      <c r="C585" s="9" t="s">
        <v>38</v>
      </c>
      <c r="D585" s="9" t="s">
        <v>27</v>
      </c>
      <c r="E585" s="9">
        <v>1</v>
      </c>
      <c r="F585" s="11">
        <v>40700</v>
      </c>
      <c r="G585" s="9" t="str">
        <f>INDEX(Products!$B$2:$B$9,MATCH(D585,Products!$A$2:$A$9,0))</f>
        <v>Trà gừng mật ong</v>
      </c>
      <c r="H585" s="9" t="str">
        <f>INDEX(Products!$C$2:$C$9,MATCH(D585,Products!$A$2:$A$9,0))</f>
        <v>Giữ ấm</v>
      </c>
      <c r="I585" s="11">
        <f>INDEX(Products!$D$2:$D$9,MATCH(D585,Products!$A$2:$A$9,0))</f>
        <v>11000</v>
      </c>
      <c r="J585" s="10">
        <f>IFERROR(INDEX(PlatformFees!$C$2:$C$5,MATCH(C585,PlatformFees!$A$2:$A$5,0)),0)</f>
        <v>0.16</v>
      </c>
      <c r="K585" s="11">
        <f t="shared" si="36"/>
        <v>11000</v>
      </c>
      <c r="L585" s="11">
        <f t="shared" si="37"/>
        <v>6512</v>
      </c>
      <c r="M585" s="11">
        <f t="shared" si="38"/>
        <v>23188</v>
      </c>
      <c r="N585" s="10">
        <f t="shared" si="39"/>
        <v>0.56972972972972968</v>
      </c>
    </row>
    <row r="586" spans="1:14" x14ac:dyDescent="0.3">
      <c r="A586" s="9" t="s">
        <v>668</v>
      </c>
      <c r="B586" s="9" t="s">
        <v>667</v>
      </c>
      <c r="C586" s="9" t="s">
        <v>40</v>
      </c>
      <c r="D586" s="9" t="s">
        <v>15</v>
      </c>
      <c r="E586" s="9">
        <v>3</v>
      </c>
      <c r="F586" s="11">
        <v>97700</v>
      </c>
      <c r="G586" s="9" t="str">
        <f>INDEX(Products!$B$2:$B$9,MATCH(D586,Products!$A$2:$A$9,0))</f>
        <v>Trà lá nam sen ổi</v>
      </c>
      <c r="H586" s="9" t="str">
        <f>INDEX(Products!$C$2:$C$9,MATCH(D586,Products!$A$2:$A$9,0))</f>
        <v>Thanh lọc</v>
      </c>
      <c r="I586" s="11">
        <f>INDEX(Products!$D$2:$D$9,MATCH(D586,Products!$A$2:$A$9,0))</f>
        <v>8500</v>
      </c>
      <c r="J586" s="10">
        <f>IFERROR(INDEX(PlatformFees!$C$2:$C$5,MATCH(C586,PlatformFees!$A$2:$A$5,0)),0)</f>
        <v>0</v>
      </c>
      <c r="K586" s="11">
        <f t="shared" si="36"/>
        <v>25500</v>
      </c>
      <c r="L586" s="11">
        <f t="shared" si="37"/>
        <v>0</v>
      </c>
      <c r="M586" s="11">
        <f t="shared" si="38"/>
        <v>72200</v>
      </c>
      <c r="N586" s="10">
        <f t="shared" si="39"/>
        <v>0.73899692937563977</v>
      </c>
    </row>
    <row r="587" spans="1:14" x14ac:dyDescent="0.3">
      <c r="A587" s="9" t="s">
        <v>669</v>
      </c>
      <c r="B587" s="9" t="s">
        <v>667</v>
      </c>
      <c r="C587" s="9" t="s">
        <v>38</v>
      </c>
      <c r="D587" s="9" t="s">
        <v>12</v>
      </c>
      <c r="E587" s="9">
        <v>1</v>
      </c>
      <c r="F587" s="11">
        <v>34800</v>
      </c>
      <c r="G587" s="9" t="str">
        <f>INDEX(Products!$B$2:$B$9,MATCH(D587,Products!$A$2:$A$9,0))</f>
        <v>Trà atiso thanh lọc</v>
      </c>
      <c r="H587" s="9" t="str">
        <f>INDEX(Products!$C$2:$C$9,MATCH(D587,Products!$A$2:$A$9,0))</f>
        <v>Thanh lọc</v>
      </c>
      <c r="I587" s="11">
        <f>INDEX(Products!$D$2:$D$9,MATCH(D587,Products!$A$2:$A$9,0))</f>
        <v>9000</v>
      </c>
      <c r="J587" s="10">
        <f>IFERROR(INDEX(PlatformFees!$C$2:$C$5,MATCH(C587,PlatformFees!$A$2:$A$5,0)),0)</f>
        <v>0.16</v>
      </c>
      <c r="K587" s="11">
        <f t="shared" si="36"/>
        <v>9000</v>
      </c>
      <c r="L587" s="11">
        <f t="shared" si="37"/>
        <v>5568</v>
      </c>
      <c r="M587" s="11">
        <f t="shared" si="38"/>
        <v>20232</v>
      </c>
      <c r="N587" s="10">
        <f t="shared" si="39"/>
        <v>0.58137931034482759</v>
      </c>
    </row>
    <row r="588" spans="1:14" x14ac:dyDescent="0.3">
      <c r="A588" s="9" t="s">
        <v>670</v>
      </c>
      <c r="B588" s="9" t="s">
        <v>667</v>
      </c>
      <c r="C588" s="9" t="s">
        <v>36</v>
      </c>
      <c r="D588" s="9" t="s">
        <v>20</v>
      </c>
      <c r="E588" s="9">
        <v>3</v>
      </c>
      <c r="F588" s="11">
        <v>152400</v>
      </c>
      <c r="G588" s="9" t="str">
        <f>INDEX(Products!$B$2:$B$9,MATCH(D588,Products!$A$2:$A$9,0))</f>
        <v>Trà cà leo gai giảm cân</v>
      </c>
      <c r="H588" s="9" t="str">
        <f>INDEX(Products!$C$2:$C$9,MATCH(D588,Products!$A$2:$A$9,0))</f>
        <v>Detox</v>
      </c>
      <c r="I588" s="11">
        <f>INDEX(Products!$D$2:$D$9,MATCH(D588,Products!$A$2:$A$9,0))</f>
        <v>15000</v>
      </c>
      <c r="J588" s="10">
        <f>IFERROR(INDEX(PlatformFees!$C$2:$C$5,MATCH(C588,PlatformFees!$A$2:$A$5,0)),0)</f>
        <v>0.13</v>
      </c>
      <c r="K588" s="11">
        <f t="shared" si="36"/>
        <v>45000</v>
      </c>
      <c r="L588" s="11">
        <f t="shared" si="37"/>
        <v>19812</v>
      </c>
      <c r="M588" s="11">
        <f t="shared" si="38"/>
        <v>87588</v>
      </c>
      <c r="N588" s="10">
        <f t="shared" si="39"/>
        <v>0.57472440944881886</v>
      </c>
    </row>
    <row r="589" spans="1:14" x14ac:dyDescent="0.3">
      <c r="A589" s="9" t="s">
        <v>671</v>
      </c>
      <c r="B589" s="9" t="s">
        <v>667</v>
      </c>
      <c r="C589" s="9" t="s">
        <v>40</v>
      </c>
      <c r="D589" s="9" t="s">
        <v>17</v>
      </c>
      <c r="E589" s="9">
        <v>1</v>
      </c>
      <c r="F589" s="11">
        <v>41400</v>
      </c>
      <c r="G589" s="9" t="str">
        <f>INDEX(Products!$B$2:$B$9,MATCH(D589,Products!$A$2:$A$9,0))</f>
        <v>Trà diếp cá rau má</v>
      </c>
      <c r="H589" s="9" t="str">
        <f>INDEX(Products!$C$2:$C$9,MATCH(D589,Products!$A$2:$A$9,0))</f>
        <v>Detox</v>
      </c>
      <c r="I589" s="11">
        <f>INDEX(Products!$D$2:$D$9,MATCH(D589,Products!$A$2:$A$9,0))</f>
        <v>10500</v>
      </c>
      <c r="J589" s="10">
        <f>IFERROR(INDEX(PlatformFees!$C$2:$C$5,MATCH(C589,PlatformFees!$A$2:$A$5,0)),0)</f>
        <v>0</v>
      </c>
      <c r="K589" s="11">
        <f t="shared" si="36"/>
        <v>10500</v>
      </c>
      <c r="L589" s="11">
        <f t="shared" si="37"/>
        <v>0</v>
      </c>
      <c r="M589" s="11">
        <f t="shared" si="38"/>
        <v>30900</v>
      </c>
      <c r="N589" s="10">
        <f t="shared" si="39"/>
        <v>0.74637681159420288</v>
      </c>
    </row>
    <row r="590" spans="1:14" x14ac:dyDescent="0.3">
      <c r="A590" s="9" t="s">
        <v>672</v>
      </c>
      <c r="B590" s="9" t="s">
        <v>667</v>
      </c>
      <c r="C590" s="9" t="s">
        <v>39</v>
      </c>
      <c r="D590" s="9" t="s">
        <v>25</v>
      </c>
      <c r="E590" s="9">
        <v>2</v>
      </c>
      <c r="F590" s="11">
        <v>69500</v>
      </c>
      <c r="G590" s="9" t="str">
        <f>INDEX(Products!$B$2:$B$9,MATCH(D590,Products!$A$2:$A$9,0))</f>
        <v>Trà hoa đậu biếc</v>
      </c>
      <c r="H590" s="9" t="str">
        <f>INDEX(Products!$C$2:$C$9,MATCH(D590,Products!$A$2:$A$9,0))</f>
        <v>An thần</v>
      </c>
      <c r="I590" s="11">
        <f>INDEX(Products!$D$2:$D$9,MATCH(D590,Products!$A$2:$A$9,0))</f>
        <v>8800</v>
      </c>
      <c r="J590" s="10">
        <f>IFERROR(INDEX(PlatformFees!$C$2:$C$5,MATCH(C590,PlatformFees!$A$2:$A$5,0)),0)</f>
        <v>0</v>
      </c>
      <c r="K590" s="11">
        <f t="shared" si="36"/>
        <v>17600</v>
      </c>
      <c r="L590" s="11">
        <f t="shared" si="37"/>
        <v>0</v>
      </c>
      <c r="M590" s="11">
        <f t="shared" si="38"/>
        <v>51900</v>
      </c>
      <c r="N590" s="10">
        <f t="shared" si="39"/>
        <v>0.74676258992805755</v>
      </c>
    </row>
    <row r="591" spans="1:14" x14ac:dyDescent="0.3">
      <c r="A591" s="9" t="s">
        <v>673</v>
      </c>
      <c r="B591" s="9" t="s">
        <v>667</v>
      </c>
      <c r="C591" s="9" t="s">
        <v>36</v>
      </c>
      <c r="D591" s="9" t="s">
        <v>20</v>
      </c>
      <c r="E591" s="9">
        <v>2</v>
      </c>
      <c r="F591" s="11">
        <v>111300</v>
      </c>
      <c r="G591" s="9" t="str">
        <f>INDEX(Products!$B$2:$B$9,MATCH(D591,Products!$A$2:$A$9,0))</f>
        <v>Trà cà leo gai giảm cân</v>
      </c>
      <c r="H591" s="9" t="str">
        <f>INDEX(Products!$C$2:$C$9,MATCH(D591,Products!$A$2:$A$9,0))</f>
        <v>Detox</v>
      </c>
      <c r="I591" s="11">
        <f>INDEX(Products!$D$2:$D$9,MATCH(D591,Products!$A$2:$A$9,0))</f>
        <v>15000</v>
      </c>
      <c r="J591" s="10">
        <f>IFERROR(INDEX(PlatformFees!$C$2:$C$5,MATCH(C591,PlatformFees!$A$2:$A$5,0)),0)</f>
        <v>0.13</v>
      </c>
      <c r="K591" s="11">
        <f t="shared" si="36"/>
        <v>30000</v>
      </c>
      <c r="L591" s="11">
        <f t="shared" si="37"/>
        <v>14469</v>
      </c>
      <c r="M591" s="11">
        <f t="shared" si="38"/>
        <v>66831</v>
      </c>
      <c r="N591" s="10">
        <f t="shared" si="39"/>
        <v>0.60045822102425872</v>
      </c>
    </row>
    <row r="592" spans="1:14" x14ac:dyDescent="0.3">
      <c r="A592" s="9" t="s">
        <v>674</v>
      </c>
      <c r="B592" s="9" t="s">
        <v>667</v>
      </c>
      <c r="C592" s="9" t="s">
        <v>36</v>
      </c>
      <c r="D592" s="9" t="s">
        <v>27</v>
      </c>
      <c r="E592" s="9">
        <v>1</v>
      </c>
      <c r="F592" s="11">
        <v>38500</v>
      </c>
      <c r="G592" s="9" t="str">
        <f>INDEX(Products!$B$2:$B$9,MATCH(D592,Products!$A$2:$A$9,0))</f>
        <v>Trà gừng mật ong</v>
      </c>
      <c r="H592" s="9" t="str">
        <f>INDEX(Products!$C$2:$C$9,MATCH(D592,Products!$A$2:$A$9,0))</f>
        <v>Giữ ấm</v>
      </c>
      <c r="I592" s="11">
        <f>INDEX(Products!$D$2:$D$9,MATCH(D592,Products!$A$2:$A$9,0))</f>
        <v>11000</v>
      </c>
      <c r="J592" s="10">
        <f>IFERROR(INDEX(PlatformFees!$C$2:$C$5,MATCH(C592,PlatformFees!$A$2:$A$5,0)),0)</f>
        <v>0.13</v>
      </c>
      <c r="K592" s="11">
        <f t="shared" si="36"/>
        <v>11000</v>
      </c>
      <c r="L592" s="11">
        <f t="shared" si="37"/>
        <v>5005</v>
      </c>
      <c r="M592" s="11">
        <f t="shared" si="38"/>
        <v>22495</v>
      </c>
      <c r="N592" s="10">
        <f t="shared" si="39"/>
        <v>0.5842857142857143</v>
      </c>
    </row>
    <row r="593" spans="1:14" x14ac:dyDescent="0.3">
      <c r="A593" s="9" t="s">
        <v>675</v>
      </c>
      <c r="B593" s="9" t="s">
        <v>667</v>
      </c>
      <c r="C593" s="9" t="s">
        <v>39</v>
      </c>
      <c r="D593" s="9" t="s">
        <v>27</v>
      </c>
      <c r="E593" s="9">
        <v>3</v>
      </c>
      <c r="F593" s="11">
        <v>120000</v>
      </c>
      <c r="G593" s="9" t="str">
        <f>INDEX(Products!$B$2:$B$9,MATCH(D593,Products!$A$2:$A$9,0))</f>
        <v>Trà gừng mật ong</v>
      </c>
      <c r="H593" s="9" t="str">
        <f>INDEX(Products!$C$2:$C$9,MATCH(D593,Products!$A$2:$A$9,0))</f>
        <v>Giữ ấm</v>
      </c>
      <c r="I593" s="11">
        <f>INDEX(Products!$D$2:$D$9,MATCH(D593,Products!$A$2:$A$9,0))</f>
        <v>11000</v>
      </c>
      <c r="J593" s="10">
        <f>IFERROR(INDEX(PlatformFees!$C$2:$C$5,MATCH(C593,PlatformFees!$A$2:$A$5,0)),0)</f>
        <v>0</v>
      </c>
      <c r="K593" s="11">
        <f t="shared" si="36"/>
        <v>33000</v>
      </c>
      <c r="L593" s="11">
        <f t="shared" si="37"/>
        <v>0</v>
      </c>
      <c r="M593" s="11">
        <f t="shared" si="38"/>
        <v>87000</v>
      </c>
      <c r="N593" s="10">
        <f t="shared" si="39"/>
        <v>0.72499999999999998</v>
      </c>
    </row>
    <row r="594" spans="1:14" x14ac:dyDescent="0.3">
      <c r="A594" s="9" t="s">
        <v>676</v>
      </c>
      <c r="B594" s="9" t="s">
        <v>667</v>
      </c>
      <c r="C594" s="9" t="s">
        <v>38</v>
      </c>
      <c r="D594" s="9" t="s">
        <v>30</v>
      </c>
      <c r="E594" s="9">
        <v>1</v>
      </c>
      <c r="F594" s="11">
        <v>33500</v>
      </c>
      <c r="G594" s="9" t="str">
        <f>INDEX(Products!$B$2:$B$9,MATCH(D594,Products!$A$2:$A$9,0))</f>
        <v>Trà mâm xôi vitamin</v>
      </c>
      <c r="H594" s="9" t="str">
        <f>INDEX(Products!$C$2:$C$9,MATCH(D594,Products!$A$2:$A$9,0))</f>
        <v>Bổ sung dưỡng chất</v>
      </c>
      <c r="I594" s="11">
        <f>INDEX(Products!$D$2:$D$9,MATCH(D594,Products!$A$2:$A$9,0))</f>
        <v>9800</v>
      </c>
      <c r="J594" s="10">
        <f>IFERROR(INDEX(PlatformFees!$C$2:$C$5,MATCH(C594,PlatformFees!$A$2:$A$5,0)),0)</f>
        <v>0.16</v>
      </c>
      <c r="K594" s="11">
        <f t="shared" si="36"/>
        <v>9800</v>
      </c>
      <c r="L594" s="11">
        <f t="shared" si="37"/>
        <v>5360</v>
      </c>
      <c r="M594" s="11">
        <f t="shared" si="38"/>
        <v>18340</v>
      </c>
      <c r="N594" s="10">
        <f t="shared" si="39"/>
        <v>0.54746268656716413</v>
      </c>
    </row>
    <row r="595" spans="1:14" x14ac:dyDescent="0.3">
      <c r="A595" s="9" t="s">
        <v>677</v>
      </c>
      <c r="B595" s="9" t="s">
        <v>667</v>
      </c>
      <c r="C595" s="9" t="s">
        <v>36</v>
      </c>
      <c r="D595" s="9" t="s">
        <v>12</v>
      </c>
      <c r="E595" s="9">
        <v>2</v>
      </c>
      <c r="F595" s="11">
        <v>70300</v>
      </c>
      <c r="G595" s="9" t="str">
        <f>INDEX(Products!$B$2:$B$9,MATCH(D595,Products!$A$2:$A$9,0))</f>
        <v>Trà atiso thanh lọc</v>
      </c>
      <c r="H595" s="9" t="str">
        <f>INDEX(Products!$C$2:$C$9,MATCH(D595,Products!$A$2:$A$9,0))</f>
        <v>Thanh lọc</v>
      </c>
      <c r="I595" s="11">
        <f>INDEX(Products!$D$2:$D$9,MATCH(D595,Products!$A$2:$A$9,0))</f>
        <v>9000</v>
      </c>
      <c r="J595" s="10">
        <f>IFERROR(INDEX(PlatformFees!$C$2:$C$5,MATCH(C595,PlatformFees!$A$2:$A$5,0)),0)</f>
        <v>0.13</v>
      </c>
      <c r="K595" s="11">
        <f t="shared" si="36"/>
        <v>18000</v>
      </c>
      <c r="L595" s="11">
        <f t="shared" si="37"/>
        <v>9139</v>
      </c>
      <c r="M595" s="11">
        <f t="shared" si="38"/>
        <v>43161</v>
      </c>
      <c r="N595" s="10">
        <f t="shared" si="39"/>
        <v>0.6139544807965861</v>
      </c>
    </row>
    <row r="596" spans="1:14" x14ac:dyDescent="0.3">
      <c r="A596" s="9" t="s">
        <v>678</v>
      </c>
      <c r="B596" s="9" t="s">
        <v>667</v>
      </c>
      <c r="C596" s="9" t="s">
        <v>40</v>
      </c>
      <c r="D596" s="9" t="s">
        <v>20</v>
      </c>
      <c r="E596" s="9">
        <v>1</v>
      </c>
      <c r="F596" s="11">
        <v>50800</v>
      </c>
      <c r="G596" s="9" t="str">
        <f>INDEX(Products!$B$2:$B$9,MATCH(D596,Products!$A$2:$A$9,0))</f>
        <v>Trà cà leo gai giảm cân</v>
      </c>
      <c r="H596" s="9" t="str">
        <f>INDEX(Products!$C$2:$C$9,MATCH(D596,Products!$A$2:$A$9,0))</f>
        <v>Detox</v>
      </c>
      <c r="I596" s="11">
        <f>INDEX(Products!$D$2:$D$9,MATCH(D596,Products!$A$2:$A$9,0))</f>
        <v>15000</v>
      </c>
      <c r="J596" s="10">
        <f>IFERROR(INDEX(PlatformFees!$C$2:$C$5,MATCH(C596,PlatformFees!$A$2:$A$5,0)),0)</f>
        <v>0</v>
      </c>
      <c r="K596" s="11">
        <f t="shared" si="36"/>
        <v>15000</v>
      </c>
      <c r="L596" s="11">
        <f t="shared" si="37"/>
        <v>0</v>
      </c>
      <c r="M596" s="11">
        <f t="shared" si="38"/>
        <v>35800</v>
      </c>
      <c r="N596" s="10">
        <f t="shared" si="39"/>
        <v>0.70472440944881887</v>
      </c>
    </row>
    <row r="597" spans="1:14" x14ac:dyDescent="0.3">
      <c r="A597" s="9" t="s">
        <v>679</v>
      </c>
      <c r="B597" s="9" t="s">
        <v>667</v>
      </c>
      <c r="C597" s="9" t="s">
        <v>36</v>
      </c>
      <c r="D597" s="9" t="s">
        <v>30</v>
      </c>
      <c r="E597" s="9">
        <v>2</v>
      </c>
      <c r="F597" s="11">
        <v>68000</v>
      </c>
      <c r="G597" s="9" t="str">
        <f>INDEX(Products!$B$2:$B$9,MATCH(D597,Products!$A$2:$A$9,0))</f>
        <v>Trà mâm xôi vitamin</v>
      </c>
      <c r="H597" s="9" t="str">
        <f>INDEX(Products!$C$2:$C$9,MATCH(D597,Products!$A$2:$A$9,0))</f>
        <v>Bổ sung dưỡng chất</v>
      </c>
      <c r="I597" s="11">
        <f>INDEX(Products!$D$2:$D$9,MATCH(D597,Products!$A$2:$A$9,0))</f>
        <v>9800</v>
      </c>
      <c r="J597" s="10">
        <f>IFERROR(INDEX(PlatformFees!$C$2:$C$5,MATCH(C597,PlatformFees!$A$2:$A$5,0)),0)</f>
        <v>0.13</v>
      </c>
      <c r="K597" s="11">
        <f t="shared" si="36"/>
        <v>19600</v>
      </c>
      <c r="L597" s="11">
        <f t="shared" si="37"/>
        <v>8840</v>
      </c>
      <c r="M597" s="11">
        <f t="shared" si="38"/>
        <v>39560</v>
      </c>
      <c r="N597" s="10">
        <f t="shared" si="39"/>
        <v>0.58176470588235296</v>
      </c>
    </row>
    <row r="598" spans="1:14" x14ac:dyDescent="0.3">
      <c r="A598" s="9" t="s">
        <v>680</v>
      </c>
      <c r="B598" s="9" t="s">
        <v>667</v>
      </c>
      <c r="C598" s="9" t="s">
        <v>38</v>
      </c>
      <c r="D598" s="9" t="s">
        <v>17</v>
      </c>
      <c r="E598" s="9">
        <v>1</v>
      </c>
      <c r="F598" s="11">
        <v>41800</v>
      </c>
      <c r="G598" s="9" t="str">
        <f>INDEX(Products!$B$2:$B$9,MATCH(D598,Products!$A$2:$A$9,0))</f>
        <v>Trà diếp cá rau má</v>
      </c>
      <c r="H598" s="9" t="str">
        <f>INDEX(Products!$C$2:$C$9,MATCH(D598,Products!$A$2:$A$9,0))</f>
        <v>Detox</v>
      </c>
      <c r="I598" s="11">
        <f>INDEX(Products!$D$2:$D$9,MATCH(D598,Products!$A$2:$A$9,0))</f>
        <v>10500</v>
      </c>
      <c r="J598" s="10">
        <f>IFERROR(INDEX(PlatformFees!$C$2:$C$5,MATCH(C598,PlatformFees!$A$2:$A$5,0)),0)</f>
        <v>0.16</v>
      </c>
      <c r="K598" s="11">
        <f t="shared" si="36"/>
        <v>10500</v>
      </c>
      <c r="L598" s="11">
        <f t="shared" si="37"/>
        <v>6688</v>
      </c>
      <c r="M598" s="11">
        <f t="shared" si="38"/>
        <v>24612</v>
      </c>
      <c r="N598" s="10">
        <f t="shared" si="39"/>
        <v>0.58880382775119622</v>
      </c>
    </row>
    <row r="599" spans="1:14" x14ac:dyDescent="0.3">
      <c r="A599" s="9" t="s">
        <v>681</v>
      </c>
      <c r="B599" s="9" t="s">
        <v>667</v>
      </c>
      <c r="C599" s="9" t="s">
        <v>38</v>
      </c>
      <c r="D599" s="9" t="s">
        <v>12</v>
      </c>
      <c r="E599" s="9">
        <v>2</v>
      </c>
      <c r="F599" s="11">
        <v>66700</v>
      </c>
      <c r="G599" s="9" t="str">
        <f>INDEX(Products!$B$2:$B$9,MATCH(D599,Products!$A$2:$A$9,0))</f>
        <v>Trà atiso thanh lọc</v>
      </c>
      <c r="H599" s="9" t="str">
        <f>INDEX(Products!$C$2:$C$9,MATCH(D599,Products!$A$2:$A$9,0))</f>
        <v>Thanh lọc</v>
      </c>
      <c r="I599" s="11">
        <f>INDEX(Products!$D$2:$D$9,MATCH(D599,Products!$A$2:$A$9,0))</f>
        <v>9000</v>
      </c>
      <c r="J599" s="10">
        <f>IFERROR(INDEX(PlatformFees!$C$2:$C$5,MATCH(C599,PlatformFees!$A$2:$A$5,0)),0)</f>
        <v>0.16</v>
      </c>
      <c r="K599" s="11">
        <f t="shared" si="36"/>
        <v>18000</v>
      </c>
      <c r="L599" s="11">
        <f t="shared" si="37"/>
        <v>10672</v>
      </c>
      <c r="M599" s="11">
        <f t="shared" si="38"/>
        <v>38028</v>
      </c>
      <c r="N599" s="10">
        <f t="shared" si="39"/>
        <v>0.57013493253373315</v>
      </c>
    </row>
    <row r="600" spans="1:14" x14ac:dyDescent="0.3">
      <c r="A600" s="9" t="s">
        <v>682</v>
      </c>
      <c r="B600" s="9" t="s">
        <v>667</v>
      </c>
      <c r="C600" s="9" t="s">
        <v>36</v>
      </c>
      <c r="D600" s="9" t="s">
        <v>12</v>
      </c>
      <c r="E600" s="9">
        <v>1</v>
      </c>
      <c r="F600" s="11">
        <v>32800</v>
      </c>
      <c r="G600" s="9" t="str">
        <f>INDEX(Products!$B$2:$B$9,MATCH(D600,Products!$A$2:$A$9,0))</f>
        <v>Trà atiso thanh lọc</v>
      </c>
      <c r="H600" s="9" t="str">
        <f>INDEX(Products!$C$2:$C$9,MATCH(D600,Products!$A$2:$A$9,0))</f>
        <v>Thanh lọc</v>
      </c>
      <c r="I600" s="11">
        <f>INDEX(Products!$D$2:$D$9,MATCH(D600,Products!$A$2:$A$9,0))</f>
        <v>9000</v>
      </c>
      <c r="J600" s="10">
        <f>IFERROR(INDEX(PlatformFees!$C$2:$C$5,MATCH(C600,PlatformFees!$A$2:$A$5,0)),0)</f>
        <v>0.13</v>
      </c>
      <c r="K600" s="11">
        <f t="shared" si="36"/>
        <v>9000</v>
      </c>
      <c r="L600" s="11">
        <f t="shared" si="37"/>
        <v>4264</v>
      </c>
      <c r="M600" s="11">
        <f t="shared" si="38"/>
        <v>19536</v>
      </c>
      <c r="N600" s="10">
        <f t="shared" si="39"/>
        <v>0.59560975609756095</v>
      </c>
    </row>
    <row r="601" spans="1:14" x14ac:dyDescent="0.3">
      <c r="A601" s="9" t="s">
        <v>683</v>
      </c>
      <c r="B601" s="9" t="s">
        <v>667</v>
      </c>
      <c r="C601" s="9" t="s">
        <v>39</v>
      </c>
      <c r="D601" s="9" t="s">
        <v>25</v>
      </c>
      <c r="E601" s="9">
        <v>3</v>
      </c>
      <c r="F601" s="11">
        <v>98200</v>
      </c>
      <c r="G601" s="9" t="str">
        <f>INDEX(Products!$B$2:$B$9,MATCH(D601,Products!$A$2:$A$9,0))</f>
        <v>Trà hoa đậu biếc</v>
      </c>
      <c r="H601" s="9" t="str">
        <f>INDEX(Products!$C$2:$C$9,MATCH(D601,Products!$A$2:$A$9,0))</f>
        <v>An thần</v>
      </c>
      <c r="I601" s="11">
        <f>INDEX(Products!$D$2:$D$9,MATCH(D601,Products!$A$2:$A$9,0))</f>
        <v>8800</v>
      </c>
      <c r="J601" s="10">
        <f>IFERROR(INDEX(PlatformFees!$C$2:$C$5,MATCH(C601,PlatformFees!$A$2:$A$5,0)),0)</f>
        <v>0</v>
      </c>
      <c r="K601" s="11">
        <f t="shared" si="36"/>
        <v>26400</v>
      </c>
      <c r="L601" s="11">
        <f t="shared" si="37"/>
        <v>0</v>
      </c>
      <c r="M601" s="11">
        <f t="shared" si="38"/>
        <v>71800</v>
      </c>
      <c r="N601" s="10">
        <f t="shared" si="39"/>
        <v>0.73116089613034618</v>
      </c>
    </row>
    <row r="602" spans="1:14" x14ac:dyDescent="0.3">
      <c r="A602" s="9" t="s">
        <v>684</v>
      </c>
      <c r="B602" s="9" t="s">
        <v>667</v>
      </c>
      <c r="C602" s="9" t="s">
        <v>36</v>
      </c>
      <c r="D602" s="9" t="s">
        <v>12</v>
      </c>
      <c r="E602" s="9">
        <v>1</v>
      </c>
      <c r="F602" s="11">
        <v>33900</v>
      </c>
      <c r="G602" s="9" t="str">
        <f>INDEX(Products!$B$2:$B$9,MATCH(D602,Products!$A$2:$A$9,0))</f>
        <v>Trà atiso thanh lọc</v>
      </c>
      <c r="H602" s="9" t="str">
        <f>INDEX(Products!$C$2:$C$9,MATCH(D602,Products!$A$2:$A$9,0))</f>
        <v>Thanh lọc</v>
      </c>
      <c r="I602" s="11">
        <f>INDEX(Products!$D$2:$D$9,MATCH(D602,Products!$A$2:$A$9,0))</f>
        <v>9000</v>
      </c>
      <c r="J602" s="10">
        <f>IFERROR(INDEX(PlatformFees!$C$2:$C$5,MATCH(C602,PlatformFees!$A$2:$A$5,0)),0)</f>
        <v>0.13</v>
      </c>
      <c r="K602" s="11">
        <f t="shared" si="36"/>
        <v>9000</v>
      </c>
      <c r="L602" s="11">
        <f t="shared" si="37"/>
        <v>4407</v>
      </c>
      <c r="M602" s="11">
        <f t="shared" si="38"/>
        <v>20493</v>
      </c>
      <c r="N602" s="10">
        <f t="shared" si="39"/>
        <v>0.60451327433628321</v>
      </c>
    </row>
    <row r="603" spans="1:14" x14ac:dyDescent="0.3">
      <c r="A603" s="9" t="s">
        <v>685</v>
      </c>
      <c r="B603" s="9" t="s">
        <v>667</v>
      </c>
      <c r="C603" s="9" t="s">
        <v>39</v>
      </c>
      <c r="D603" s="9" t="s">
        <v>12</v>
      </c>
      <c r="E603" s="9">
        <v>1</v>
      </c>
      <c r="F603" s="11">
        <v>32900</v>
      </c>
      <c r="G603" s="9" t="str">
        <f>INDEX(Products!$B$2:$B$9,MATCH(D603,Products!$A$2:$A$9,0))</f>
        <v>Trà atiso thanh lọc</v>
      </c>
      <c r="H603" s="9" t="str">
        <f>INDEX(Products!$C$2:$C$9,MATCH(D603,Products!$A$2:$A$9,0))</f>
        <v>Thanh lọc</v>
      </c>
      <c r="I603" s="11">
        <f>INDEX(Products!$D$2:$D$9,MATCH(D603,Products!$A$2:$A$9,0))</f>
        <v>9000</v>
      </c>
      <c r="J603" s="10">
        <f>IFERROR(INDEX(PlatformFees!$C$2:$C$5,MATCH(C603,PlatformFees!$A$2:$A$5,0)),0)</f>
        <v>0</v>
      </c>
      <c r="K603" s="11">
        <f t="shared" si="36"/>
        <v>9000</v>
      </c>
      <c r="L603" s="11">
        <f t="shared" si="37"/>
        <v>0</v>
      </c>
      <c r="M603" s="11">
        <f t="shared" si="38"/>
        <v>23900</v>
      </c>
      <c r="N603" s="10">
        <f t="shared" si="39"/>
        <v>0.7264437689969605</v>
      </c>
    </row>
    <row r="604" spans="1:14" x14ac:dyDescent="0.3">
      <c r="A604" s="9" t="s">
        <v>686</v>
      </c>
      <c r="B604" s="9" t="s">
        <v>667</v>
      </c>
      <c r="C604" s="9" t="s">
        <v>36</v>
      </c>
      <c r="D604" s="9" t="s">
        <v>20</v>
      </c>
      <c r="E604" s="9">
        <v>2</v>
      </c>
      <c r="F604" s="11">
        <v>102400</v>
      </c>
      <c r="G604" s="9" t="str">
        <f>INDEX(Products!$B$2:$B$9,MATCH(D604,Products!$A$2:$A$9,0))</f>
        <v>Trà cà leo gai giảm cân</v>
      </c>
      <c r="H604" s="9" t="str">
        <f>INDEX(Products!$C$2:$C$9,MATCH(D604,Products!$A$2:$A$9,0))</f>
        <v>Detox</v>
      </c>
      <c r="I604" s="11">
        <f>INDEX(Products!$D$2:$D$9,MATCH(D604,Products!$A$2:$A$9,0))</f>
        <v>15000</v>
      </c>
      <c r="J604" s="10">
        <f>IFERROR(INDEX(PlatformFees!$C$2:$C$5,MATCH(C604,PlatformFees!$A$2:$A$5,0)),0)</f>
        <v>0.13</v>
      </c>
      <c r="K604" s="11">
        <f t="shared" si="36"/>
        <v>30000</v>
      </c>
      <c r="L604" s="11">
        <f t="shared" si="37"/>
        <v>13312</v>
      </c>
      <c r="M604" s="11">
        <f t="shared" si="38"/>
        <v>59088</v>
      </c>
      <c r="N604" s="10">
        <f t="shared" si="39"/>
        <v>0.57703125</v>
      </c>
    </row>
    <row r="605" spans="1:14" x14ac:dyDescent="0.3">
      <c r="A605" s="9" t="s">
        <v>687</v>
      </c>
      <c r="B605" s="9" t="s">
        <v>688</v>
      </c>
      <c r="C605" s="9" t="s">
        <v>36</v>
      </c>
      <c r="D605" s="9" t="s">
        <v>12</v>
      </c>
      <c r="E605" s="9">
        <v>2</v>
      </c>
      <c r="F605" s="11">
        <v>70400</v>
      </c>
      <c r="G605" s="9" t="str">
        <f>INDEX(Products!$B$2:$B$9,MATCH(D605,Products!$A$2:$A$9,0))</f>
        <v>Trà atiso thanh lọc</v>
      </c>
      <c r="H605" s="9" t="str">
        <f>INDEX(Products!$C$2:$C$9,MATCH(D605,Products!$A$2:$A$9,0))</f>
        <v>Thanh lọc</v>
      </c>
      <c r="I605" s="11">
        <f>INDEX(Products!$D$2:$D$9,MATCH(D605,Products!$A$2:$A$9,0))</f>
        <v>9000</v>
      </c>
      <c r="J605" s="10">
        <f>IFERROR(INDEX(PlatformFees!$C$2:$C$5,MATCH(C605,PlatformFees!$A$2:$A$5,0)),0)</f>
        <v>0.13</v>
      </c>
      <c r="K605" s="11">
        <f t="shared" si="36"/>
        <v>18000</v>
      </c>
      <c r="L605" s="11">
        <f t="shared" si="37"/>
        <v>9152</v>
      </c>
      <c r="M605" s="11">
        <f t="shared" si="38"/>
        <v>43248</v>
      </c>
      <c r="N605" s="10">
        <f t="shared" si="39"/>
        <v>0.61431818181818176</v>
      </c>
    </row>
    <row r="606" spans="1:14" x14ac:dyDescent="0.3">
      <c r="A606" s="9" t="s">
        <v>689</v>
      </c>
      <c r="B606" s="9" t="s">
        <v>688</v>
      </c>
      <c r="C606" s="9" t="s">
        <v>39</v>
      </c>
      <c r="D606" s="9" t="s">
        <v>12</v>
      </c>
      <c r="E606" s="9">
        <v>2</v>
      </c>
      <c r="F606" s="11">
        <v>67400</v>
      </c>
      <c r="G606" s="9" t="str">
        <f>INDEX(Products!$B$2:$B$9,MATCH(D606,Products!$A$2:$A$9,0))</f>
        <v>Trà atiso thanh lọc</v>
      </c>
      <c r="H606" s="9" t="str">
        <f>INDEX(Products!$C$2:$C$9,MATCH(D606,Products!$A$2:$A$9,0))</f>
        <v>Thanh lọc</v>
      </c>
      <c r="I606" s="11">
        <f>INDEX(Products!$D$2:$D$9,MATCH(D606,Products!$A$2:$A$9,0))</f>
        <v>9000</v>
      </c>
      <c r="J606" s="10">
        <f>IFERROR(INDEX(PlatformFees!$C$2:$C$5,MATCH(C606,PlatformFees!$A$2:$A$5,0)),0)</f>
        <v>0</v>
      </c>
      <c r="K606" s="11">
        <f t="shared" si="36"/>
        <v>18000</v>
      </c>
      <c r="L606" s="11">
        <f t="shared" si="37"/>
        <v>0</v>
      </c>
      <c r="M606" s="11">
        <f t="shared" si="38"/>
        <v>49400</v>
      </c>
      <c r="N606" s="10">
        <f t="shared" si="39"/>
        <v>0.73293768545994065</v>
      </c>
    </row>
    <row r="607" spans="1:14" x14ac:dyDescent="0.3">
      <c r="A607" s="9" t="s">
        <v>690</v>
      </c>
      <c r="B607" s="9" t="s">
        <v>688</v>
      </c>
      <c r="C607" s="9" t="s">
        <v>36</v>
      </c>
      <c r="D607" s="9" t="s">
        <v>30</v>
      </c>
      <c r="E607" s="9">
        <v>1</v>
      </c>
      <c r="F607" s="11">
        <v>35400</v>
      </c>
      <c r="G607" s="9" t="str">
        <f>INDEX(Products!$B$2:$B$9,MATCH(D607,Products!$A$2:$A$9,0))</f>
        <v>Trà mâm xôi vitamin</v>
      </c>
      <c r="H607" s="9" t="str">
        <f>INDEX(Products!$C$2:$C$9,MATCH(D607,Products!$A$2:$A$9,0))</f>
        <v>Bổ sung dưỡng chất</v>
      </c>
      <c r="I607" s="11">
        <f>INDEX(Products!$D$2:$D$9,MATCH(D607,Products!$A$2:$A$9,0))</f>
        <v>9800</v>
      </c>
      <c r="J607" s="10">
        <f>IFERROR(INDEX(PlatformFees!$C$2:$C$5,MATCH(C607,PlatformFees!$A$2:$A$5,0)),0)</f>
        <v>0.13</v>
      </c>
      <c r="K607" s="11">
        <f t="shared" si="36"/>
        <v>9800</v>
      </c>
      <c r="L607" s="11">
        <f t="shared" si="37"/>
        <v>4602</v>
      </c>
      <c r="M607" s="11">
        <f t="shared" si="38"/>
        <v>20998</v>
      </c>
      <c r="N607" s="10">
        <f t="shared" si="39"/>
        <v>0.5931638418079096</v>
      </c>
    </row>
    <row r="608" spans="1:14" x14ac:dyDescent="0.3">
      <c r="A608" s="9" t="s">
        <v>691</v>
      </c>
      <c r="B608" s="9" t="s">
        <v>688</v>
      </c>
      <c r="C608" s="9" t="s">
        <v>36</v>
      </c>
      <c r="D608" s="9" t="s">
        <v>17</v>
      </c>
      <c r="E608" s="9">
        <v>1</v>
      </c>
      <c r="F608" s="11">
        <v>39900</v>
      </c>
      <c r="G608" s="9" t="str">
        <f>INDEX(Products!$B$2:$B$9,MATCH(D608,Products!$A$2:$A$9,0))</f>
        <v>Trà diếp cá rau má</v>
      </c>
      <c r="H608" s="9" t="str">
        <f>INDEX(Products!$C$2:$C$9,MATCH(D608,Products!$A$2:$A$9,0))</f>
        <v>Detox</v>
      </c>
      <c r="I608" s="11">
        <f>INDEX(Products!$D$2:$D$9,MATCH(D608,Products!$A$2:$A$9,0))</f>
        <v>10500</v>
      </c>
      <c r="J608" s="10">
        <f>IFERROR(INDEX(PlatformFees!$C$2:$C$5,MATCH(C608,PlatformFees!$A$2:$A$5,0)),0)</f>
        <v>0.13</v>
      </c>
      <c r="K608" s="11">
        <f t="shared" si="36"/>
        <v>10500</v>
      </c>
      <c r="L608" s="11">
        <f t="shared" si="37"/>
        <v>5187</v>
      </c>
      <c r="M608" s="11">
        <f t="shared" si="38"/>
        <v>24213</v>
      </c>
      <c r="N608" s="10">
        <f t="shared" si="39"/>
        <v>0.60684210526315785</v>
      </c>
    </row>
    <row r="609" spans="1:14" x14ac:dyDescent="0.3">
      <c r="A609" s="9" t="s">
        <v>692</v>
      </c>
      <c r="B609" s="9" t="s">
        <v>688</v>
      </c>
      <c r="C609" s="9" t="s">
        <v>36</v>
      </c>
      <c r="D609" s="9" t="s">
        <v>15</v>
      </c>
      <c r="E609" s="9">
        <v>1</v>
      </c>
      <c r="F609" s="11">
        <v>31000</v>
      </c>
      <c r="G609" s="9" t="str">
        <f>INDEX(Products!$B$2:$B$9,MATCH(D609,Products!$A$2:$A$9,0))</f>
        <v>Trà lá nam sen ổi</v>
      </c>
      <c r="H609" s="9" t="str">
        <f>INDEX(Products!$C$2:$C$9,MATCH(D609,Products!$A$2:$A$9,0))</f>
        <v>Thanh lọc</v>
      </c>
      <c r="I609" s="11">
        <f>INDEX(Products!$D$2:$D$9,MATCH(D609,Products!$A$2:$A$9,0))</f>
        <v>8500</v>
      </c>
      <c r="J609" s="10">
        <f>IFERROR(INDEX(PlatformFees!$C$2:$C$5,MATCH(C609,PlatformFees!$A$2:$A$5,0)),0)</f>
        <v>0.13</v>
      </c>
      <c r="K609" s="11">
        <f t="shared" si="36"/>
        <v>8500</v>
      </c>
      <c r="L609" s="11">
        <f t="shared" si="37"/>
        <v>4030</v>
      </c>
      <c r="M609" s="11">
        <f t="shared" si="38"/>
        <v>18470</v>
      </c>
      <c r="N609" s="10">
        <f t="shared" si="39"/>
        <v>0.59580645161290324</v>
      </c>
    </row>
    <row r="610" spans="1:14" x14ac:dyDescent="0.3">
      <c r="A610" s="9" t="s">
        <v>693</v>
      </c>
      <c r="B610" s="9" t="s">
        <v>688</v>
      </c>
      <c r="C610" s="9" t="s">
        <v>36</v>
      </c>
      <c r="D610" s="9" t="s">
        <v>20</v>
      </c>
      <c r="E610" s="9">
        <v>1</v>
      </c>
      <c r="F610" s="11">
        <v>52800</v>
      </c>
      <c r="G610" s="9" t="str">
        <f>INDEX(Products!$B$2:$B$9,MATCH(D610,Products!$A$2:$A$9,0))</f>
        <v>Trà cà leo gai giảm cân</v>
      </c>
      <c r="H610" s="9" t="str">
        <f>INDEX(Products!$C$2:$C$9,MATCH(D610,Products!$A$2:$A$9,0))</f>
        <v>Detox</v>
      </c>
      <c r="I610" s="11">
        <f>INDEX(Products!$D$2:$D$9,MATCH(D610,Products!$A$2:$A$9,0))</f>
        <v>15000</v>
      </c>
      <c r="J610" s="10">
        <f>IFERROR(INDEX(PlatformFees!$C$2:$C$5,MATCH(C610,PlatformFees!$A$2:$A$5,0)),0)</f>
        <v>0.13</v>
      </c>
      <c r="K610" s="11">
        <f t="shared" si="36"/>
        <v>15000</v>
      </c>
      <c r="L610" s="11">
        <f t="shared" si="37"/>
        <v>6864</v>
      </c>
      <c r="M610" s="11">
        <f t="shared" si="38"/>
        <v>30936</v>
      </c>
      <c r="N610" s="10">
        <f t="shared" si="39"/>
        <v>0.58590909090909093</v>
      </c>
    </row>
    <row r="611" spans="1:14" x14ac:dyDescent="0.3">
      <c r="A611" s="9" t="s">
        <v>694</v>
      </c>
      <c r="B611" s="9" t="s">
        <v>688</v>
      </c>
      <c r="C611" s="9" t="s">
        <v>40</v>
      </c>
      <c r="D611" s="9" t="s">
        <v>27</v>
      </c>
      <c r="E611" s="9">
        <v>2</v>
      </c>
      <c r="F611" s="11">
        <v>78800</v>
      </c>
      <c r="G611" s="9" t="str">
        <f>INDEX(Products!$B$2:$B$9,MATCH(D611,Products!$A$2:$A$9,0))</f>
        <v>Trà gừng mật ong</v>
      </c>
      <c r="H611" s="9" t="str">
        <f>INDEX(Products!$C$2:$C$9,MATCH(D611,Products!$A$2:$A$9,0))</f>
        <v>Giữ ấm</v>
      </c>
      <c r="I611" s="11">
        <f>INDEX(Products!$D$2:$D$9,MATCH(D611,Products!$A$2:$A$9,0))</f>
        <v>11000</v>
      </c>
      <c r="J611" s="10">
        <f>IFERROR(INDEX(PlatformFees!$C$2:$C$5,MATCH(C611,PlatformFees!$A$2:$A$5,0)),0)</f>
        <v>0</v>
      </c>
      <c r="K611" s="11">
        <f t="shared" si="36"/>
        <v>22000</v>
      </c>
      <c r="L611" s="11">
        <f t="shared" si="37"/>
        <v>0</v>
      </c>
      <c r="M611" s="11">
        <f t="shared" si="38"/>
        <v>56800</v>
      </c>
      <c r="N611" s="10">
        <f t="shared" si="39"/>
        <v>0.7208121827411168</v>
      </c>
    </row>
    <row r="612" spans="1:14" x14ac:dyDescent="0.3">
      <c r="A612" s="9" t="s">
        <v>695</v>
      </c>
      <c r="B612" s="9" t="s">
        <v>688</v>
      </c>
      <c r="C612" s="9" t="s">
        <v>36</v>
      </c>
      <c r="D612" s="9" t="s">
        <v>15</v>
      </c>
      <c r="E612" s="9">
        <v>1</v>
      </c>
      <c r="F612" s="11">
        <v>29500</v>
      </c>
      <c r="G612" s="9" t="str">
        <f>INDEX(Products!$B$2:$B$9,MATCH(D612,Products!$A$2:$A$9,0))</f>
        <v>Trà lá nam sen ổi</v>
      </c>
      <c r="H612" s="9" t="str">
        <f>INDEX(Products!$C$2:$C$9,MATCH(D612,Products!$A$2:$A$9,0))</f>
        <v>Thanh lọc</v>
      </c>
      <c r="I612" s="11">
        <f>INDEX(Products!$D$2:$D$9,MATCH(D612,Products!$A$2:$A$9,0))</f>
        <v>8500</v>
      </c>
      <c r="J612" s="10">
        <f>IFERROR(INDEX(PlatformFees!$C$2:$C$5,MATCH(C612,PlatformFees!$A$2:$A$5,0)),0)</f>
        <v>0.13</v>
      </c>
      <c r="K612" s="11">
        <f t="shared" si="36"/>
        <v>8500</v>
      </c>
      <c r="L612" s="11">
        <f t="shared" si="37"/>
        <v>3835</v>
      </c>
      <c r="M612" s="11">
        <f t="shared" si="38"/>
        <v>17165</v>
      </c>
      <c r="N612" s="10">
        <f t="shared" si="39"/>
        <v>0.581864406779661</v>
      </c>
    </row>
    <row r="613" spans="1:14" x14ac:dyDescent="0.3">
      <c r="A613" s="9" t="s">
        <v>696</v>
      </c>
      <c r="B613" s="9" t="s">
        <v>688</v>
      </c>
      <c r="C613" s="9" t="s">
        <v>36</v>
      </c>
      <c r="D613" s="9" t="s">
        <v>27</v>
      </c>
      <c r="E613" s="9">
        <v>2</v>
      </c>
      <c r="F613" s="11">
        <v>80700</v>
      </c>
      <c r="G613" s="9" t="str">
        <f>INDEX(Products!$B$2:$B$9,MATCH(D613,Products!$A$2:$A$9,0))</f>
        <v>Trà gừng mật ong</v>
      </c>
      <c r="H613" s="9" t="str">
        <f>INDEX(Products!$C$2:$C$9,MATCH(D613,Products!$A$2:$A$9,0))</f>
        <v>Giữ ấm</v>
      </c>
      <c r="I613" s="11">
        <f>INDEX(Products!$D$2:$D$9,MATCH(D613,Products!$A$2:$A$9,0))</f>
        <v>11000</v>
      </c>
      <c r="J613" s="10">
        <f>IFERROR(INDEX(PlatformFees!$C$2:$C$5,MATCH(C613,PlatformFees!$A$2:$A$5,0)),0)</f>
        <v>0.13</v>
      </c>
      <c r="K613" s="11">
        <f t="shared" si="36"/>
        <v>22000</v>
      </c>
      <c r="L613" s="11">
        <f t="shared" si="37"/>
        <v>10491</v>
      </c>
      <c r="M613" s="11">
        <f t="shared" si="38"/>
        <v>48209</v>
      </c>
      <c r="N613" s="10">
        <f t="shared" si="39"/>
        <v>0.59738537794299873</v>
      </c>
    </row>
    <row r="614" spans="1:14" x14ac:dyDescent="0.3">
      <c r="A614" s="9" t="s">
        <v>697</v>
      </c>
      <c r="B614" s="9" t="s">
        <v>688</v>
      </c>
      <c r="C614" s="9" t="s">
        <v>36</v>
      </c>
      <c r="D614" s="9" t="s">
        <v>17</v>
      </c>
      <c r="E614" s="9">
        <v>3</v>
      </c>
      <c r="F614" s="11">
        <v>129400</v>
      </c>
      <c r="G614" s="9" t="str">
        <f>INDEX(Products!$B$2:$B$9,MATCH(D614,Products!$A$2:$A$9,0))</f>
        <v>Trà diếp cá rau má</v>
      </c>
      <c r="H614" s="9" t="str">
        <f>INDEX(Products!$C$2:$C$9,MATCH(D614,Products!$A$2:$A$9,0))</f>
        <v>Detox</v>
      </c>
      <c r="I614" s="11">
        <f>INDEX(Products!$D$2:$D$9,MATCH(D614,Products!$A$2:$A$9,0))</f>
        <v>10500</v>
      </c>
      <c r="J614" s="10">
        <f>IFERROR(INDEX(PlatformFees!$C$2:$C$5,MATCH(C614,PlatformFees!$A$2:$A$5,0)),0)</f>
        <v>0.13</v>
      </c>
      <c r="K614" s="11">
        <f t="shared" si="36"/>
        <v>31500</v>
      </c>
      <c r="L614" s="11">
        <f t="shared" si="37"/>
        <v>16822</v>
      </c>
      <c r="M614" s="11">
        <f t="shared" si="38"/>
        <v>81078</v>
      </c>
      <c r="N614" s="10">
        <f t="shared" si="39"/>
        <v>0.62656877897990726</v>
      </c>
    </row>
    <row r="615" spans="1:14" x14ac:dyDescent="0.3">
      <c r="A615" s="9" t="s">
        <v>698</v>
      </c>
      <c r="B615" s="9" t="s">
        <v>688</v>
      </c>
      <c r="C615" s="9" t="s">
        <v>36</v>
      </c>
      <c r="D615" s="9" t="s">
        <v>17</v>
      </c>
      <c r="E615" s="9">
        <v>3</v>
      </c>
      <c r="F615" s="11">
        <v>118700</v>
      </c>
      <c r="G615" s="9" t="str">
        <f>INDEX(Products!$B$2:$B$9,MATCH(D615,Products!$A$2:$A$9,0))</f>
        <v>Trà diếp cá rau má</v>
      </c>
      <c r="H615" s="9" t="str">
        <f>INDEX(Products!$C$2:$C$9,MATCH(D615,Products!$A$2:$A$9,0))</f>
        <v>Detox</v>
      </c>
      <c r="I615" s="11">
        <f>INDEX(Products!$D$2:$D$9,MATCH(D615,Products!$A$2:$A$9,0))</f>
        <v>10500</v>
      </c>
      <c r="J615" s="10">
        <f>IFERROR(INDEX(PlatformFees!$C$2:$C$5,MATCH(C615,PlatformFees!$A$2:$A$5,0)),0)</f>
        <v>0.13</v>
      </c>
      <c r="K615" s="11">
        <f t="shared" si="36"/>
        <v>31500</v>
      </c>
      <c r="L615" s="11">
        <f t="shared" si="37"/>
        <v>15431</v>
      </c>
      <c r="M615" s="11">
        <f t="shared" si="38"/>
        <v>71769</v>
      </c>
      <c r="N615" s="10">
        <f t="shared" si="39"/>
        <v>0.60462510530749791</v>
      </c>
    </row>
    <row r="616" spans="1:14" x14ac:dyDescent="0.3">
      <c r="A616" s="9" t="s">
        <v>699</v>
      </c>
      <c r="B616" s="9" t="s">
        <v>700</v>
      </c>
      <c r="C616" s="9" t="s">
        <v>36</v>
      </c>
      <c r="D616" s="9" t="s">
        <v>17</v>
      </c>
      <c r="E616" s="9">
        <v>1</v>
      </c>
      <c r="F616" s="11">
        <v>40000</v>
      </c>
      <c r="G616" s="9" t="str">
        <f>INDEX(Products!$B$2:$B$9,MATCH(D616,Products!$A$2:$A$9,0))</f>
        <v>Trà diếp cá rau má</v>
      </c>
      <c r="H616" s="9" t="str">
        <f>INDEX(Products!$C$2:$C$9,MATCH(D616,Products!$A$2:$A$9,0))</f>
        <v>Detox</v>
      </c>
      <c r="I616" s="11">
        <f>INDEX(Products!$D$2:$D$9,MATCH(D616,Products!$A$2:$A$9,0))</f>
        <v>10500</v>
      </c>
      <c r="J616" s="10">
        <f>IFERROR(INDEX(PlatformFees!$C$2:$C$5,MATCH(C616,PlatformFees!$A$2:$A$5,0)),0)</f>
        <v>0.13</v>
      </c>
      <c r="K616" s="11">
        <f t="shared" si="36"/>
        <v>10500</v>
      </c>
      <c r="L616" s="11">
        <f t="shared" si="37"/>
        <v>5200</v>
      </c>
      <c r="M616" s="11">
        <f t="shared" si="38"/>
        <v>24300</v>
      </c>
      <c r="N616" s="10">
        <f t="shared" si="39"/>
        <v>0.60750000000000004</v>
      </c>
    </row>
    <row r="617" spans="1:14" x14ac:dyDescent="0.3">
      <c r="A617" s="9" t="s">
        <v>701</v>
      </c>
      <c r="B617" s="9" t="s">
        <v>700</v>
      </c>
      <c r="C617" s="9" t="s">
        <v>38</v>
      </c>
      <c r="D617" s="9" t="s">
        <v>20</v>
      </c>
      <c r="E617" s="9">
        <v>2</v>
      </c>
      <c r="F617" s="11">
        <v>110700</v>
      </c>
      <c r="G617" s="9" t="str">
        <f>INDEX(Products!$B$2:$B$9,MATCH(D617,Products!$A$2:$A$9,0))</f>
        <v>Trà cà leo gai giảm cân</v>
      </c>
      <c r="H617" s="9" t="str">
        <f>INDEX(Products!$C$2:$C$9,MATCH(D617,Products!$A$2:$A$9,0))</f>
        <v>Detox</v>
      </c>
      <c r="I617" s="11">
        <f>INDEX(Products!$D$2:$D$9,MATCH(D617,Products!$A$2:$A$9,0))</f>
        <v>15000</v>
      </c>
      <c r="J617" s="10">
        <f>IFERROR(INDEX(PlatformFees!$C$2:$C$5,MATCH(C617,PlatformFees!$A$2:$A$5,0)),0)</f>
        <v>0.16</v>
      </c>
      <c r="K617" s="11">
        <f t="shared" si="36"/>
        <v>30000</v>
      </c>
      <c r="L617" s="11">
        <f t="shared" si="37"/>
        <v>17712</v>
      </c>
      <c r="M617" s="11">
        <f t="shared" si="38"/>
        <v>62988</v>
      </c>
      <c r="N617" s="10">
        <f t="shared" si="39"/>
        <v>0.56899728997289978</v>
      </c>
    </row>
    <row r="618" spans="1:14" x14ac:dyDescent="0.3">
      <c r="A618" s="9" t="s">
        <v>702</v>
      </c>
      <c r="B618" s="9" t="s">
        <v>700</v>
      </c>
      <c r="C618" s="9" t="s">
        <v>36</v>
      </c>
      <c r="D618" s="9" t="s">
        <v>17</v>
      </c>
      <c r="E618" s="9">
        <v>2</v>
      </c>
      <c r="F618" s="11">
        <v>80700</v>
      </c>
      <c r="G618" s="9" t="str">
        <f>INDEX(Products!$B$2:$B$9,MATCH(D618,Products!$A$2:$A$9,0))</f>
        <v>Trà diếp cá rau má</v>
      </c>
      <c r="H618" s="9" t="str">
        <f>INDEX(Products!$C$2:$C$9,MATCH(D618,Products!$A$2:$A$9,0))</f>
        <v>Detox</v>
      </c>
      <c r="I618" s="11">
        <f>INDEX(Products!$D$2:$D$9,MATCH(D618,Products!$A$2:$A$9,0))</f>
        <v>10500</v>
      </c>
      <c r="J618" s="10">
        <f>IFERROR(INDEX(PlatformFees!$C$2:$C$5,MATCH(C618,PlatformFees!$A$2:$A$5,0)),0)</f>
        <v>0.13</v>
      </c>
      <c r="K618" s="11">
        <f t="shared" si="36"/>
        <v>21000</v>
      </c>
      <c r="L618" s="11">
        <f t="shared" si="37"/>
        <v>10491</v>
      </c>
      <c r="M618" s="11">
        <f t="shared" si="38"/>
        <v>49209</v>
      </c>
      <c r="N618" s="10">
        <f t="shared" si="39"/>
        <v>0.6097769516728625</v>
      </c>
    </row>
    <row r="619" spans="1:14" x14ac:dyDescent="0.3">
      <c r="A619" s="9" t="s">
        <v>703</v>
      </c>
      <c r="B619" s="9" t="s">
        <v>700</v>
      </c>
      <c r="C619" s="9" t="s">
        <v>40</v>
      </c>
      <c r="D619" s="9" t="s">
        <v>15</v>
      </c>
      <c r="E619" s="9">
        <v>2</v>
      </c>
      <c r="F619" s="11">
        <v>60100</v>
      </c>
      <c r="G619" s="9" t="str">
        <f>INDEX(Products!$B$2:$B$9,MATCH(D619,Products!$A$2:$A$9,0))</f>
        <v>Trà lá nam sen ổi</v>
      </c>
      <c r="H619" s="9" t="str">
        <f>INDEX(Products!$C$2:$C$9,MATCH(D619,Products!$A$2:$A$9,0))</f>
        <v>Thanh lọc</v>
      </c>
      <c r="I619" s="11">
        <f>INDEX(Products!$D$2:$D$9,MATCH(D619,Products!$A$2:$A$9,0))</f>
        <v>8500</v>
      </c>
      <c r="J619" s="10">
        <f>IFERROR(INDEX(PlatformFees!$C$2:$C$5,MATCH(C619,PlatformFees!$A$2:$A$5,0)),0)</f>
        <v>0</v>
      </c>
      <c r="K619" s="11">
        <f t="shared" si="36"/>
        <v>17000</v>
      </c>
      <c r="L619" s="11">
        <f t="shared" si="37"/>
        <v>0</v>
      </c>
      <c r="M619" s="11">
        <f t="shared" si="38"/>
        <v>43100</v>
      </c>
      <c r="N619" s="10">
        <f t="shared" si="39"/>
        <v>0.7171381031613977</v>
      </c>
    </row>
    <row r="620" spans="1:14" x14ac:dyDescent="0.3">
      <c r="A620" s="9" t="s">
        <v>704</v>
      </c>
      <c r="B620" s="9" t="s">
        <v>700</v>
      </c>
      <c r="C620" s="9" t="s">
        <v>39</v>
      </c>
      <c r="D620" s="9" t="s">
        <v>12</v>
      </c>
      <c r="E620" s="9">
        <v>3</v>
      </c>
      <c r="F620" s="11">
        <v>101900</v>
      </c>
      <c r="G620" s="9" t="str">
        <f>INDEX(Products!$B$2:$B$9,MATCH(D620,Products!$A$2:$A$9,0))</f>
        <v>Trà atiso thanh lọc</v>
      </c>
      <c r="H620" s="9" t="str">
        <f>INDEX(Products!$C$2:$C$9,MATCH(D620,Products!$A$2:$A$9,0))</f>
        <v>Thanh lọc</v>
      </c>
      <c r="I620" s="11">
        <f>INDEX(Products!$D$2:$D$9,MATCH(D620,Products!$A$2:$A$9,0))</f>
        <v>9000</v>
      </c>
      <c r="J620" s="10">
        <f>IFERROR(INDEX(PlatformFees!$C$2:$C$5,MATCH(C620,PlatformFees!$A$2:$A$5,0)),0)</f>
        <v>0</v>
      </c>
      <c r="K620" s="11">
        <f t="shared" si="36"/>
        <v>27000</v>
      </c>
      <c r="L620" s="11">
        <f t="shared" si="37"/>
        <v>0</v>
      </c>
      <c r="M620" s="11">
        <f t="shared" si="38"/>
        <v>74900</v>
      </c>
      <c r="N620" s="10">
        <f t="shared" si="39"/>
        <v>0.7350343473994112</v>
      </c>
    </row>
    <row r="621" spans="1:14" x14ac:dyDescent="0.3">
      <c r="A621" s="9" t="s">
        <v>705</v>
      </c>
      <c r="B621" s="9" t="s">
        <v>700</v>
      </c>
      <c r="C621" s="9" t="s">
        <v>39</v>
      </c>
      <c r="D621" s="9" t="s">
        <v>22</v>
      </c>
      <c r="E621" s="9">
        <v>1</v>
      </c>
      <c r="F621" s="11">
        <v>38400</v>
      </c>
      <c r="G621" s="9" t="str">
        <f>INDEX(Products!$B$2:$B$9,MATCH(D621,Products!$A$2:$A$9,0))</f>
        <v>Trà hoa cúc an thần</v>
      </c>
      <c r="H621" s="9" t="str">
        <f>INDEX(Products!$C$2:$C$9,MATCH(D621,Products!$A$2:$A$9,0))</f>
        <v>An thần</v>
      </c>
      <c r="I621" s="11">
        <f>INDEX(Products!$D$2:$D$9,MATCH(D621,Products!$A$2:$A$9,0))</f>
        <v>9500</v>
      </c>
      <c r="J621" s="10">
        <f>IFERROR(INDEX(PlatformFees!$C$2:$C$5,MATCH(C621,PlatformFees!$A$2:$A$5,0)),0)</f>
        <v>0</v>
      </c>
      <c r="K621" s="11">
        <f t="shared" si="36"/>
        <v>9500</v>
      </c>
      <c r="L621" s="11">
        <f t="shared" si="37"/>
        <v>0</v>
      </c>
      <c r="M621" s="11">
        <f t="shared" si="38"/>
        <v>28900</v>
      </c>
      <c r="N621" s="10">
        <f t="shared" si="39"/>
        <v>0.75260416666666663</v>
      </c>
    </row>
    <row r="622" spans="1:14" x14ac:dyDescent="0.3">
      <c r="A622" s="9" t="s">
        <v>706</v>
      </c>
      <c r="B622" s="9" t="s">
        <v>700</v>
      </c>
      <c r="C622" s="9" t="s">
        <v>36</v>
      </c>
      <c r="D622" s="9" t="s">
        <v>27</v>
      </c>
      <c r="E622" s="9">
        <v>2</v>
      </c>
      <c r="F622" s="11">
        <v>79500</v>
      </c>
      <c r="G622" s="9" t="str">
        <f>INDEX(Products!$B$2:$B$9,MATCH(D622,Products!$A$2:$A$9,0))</f>
        <v>Trà gừng mật ong</v>
      </c>
      <c r="H622" s="9" t="str">
        <f>INDEX(Products!$C$2:$C$9,MATCH(D622,Products!$A$2:$A$9,0))</f>
        <v>Giữ ấm</v>
      </c>
      <c r="I622" s="11">
        <f>INDEX(Products!$D$2:$D$9,MATCH(D622,Products!$A$2:$A$9,0))</f>
        <v>11000</v>
      </c>
      <c r="J622" s="10">
        <f>IFERROR(INDEX(PlatformFees!$C$2:$C$5,MATCH(C622,PlatformFees!$A$2:$A$5,0)),0)</f>
        <v>0.13</v>
      </c>
      <c r="K622" s="11">
        <f t="shared" si="36"/>
        <v>22000</v>
      </c>
      <c r="L622" s="11">
        <f t="shared" si="37"/>
        <v>10335</v>
      </c>
      <c r="M622" s="11">
        <f t="shared" si="38"/>
        <v>47165</v>
      </c>
      <c r="N622" s="10">
        <f t="shared" si="39"/>
        <v>0.59327044025157227</v>
      </c>
    </row>
    <row r="623" spans="1:14" x14ac:dyDescent="0.3">
      <c r="A623" s="9" t="s">
        <v>707</v>
      </c>
      <c r="B623" s="9" t="s">
        <v>700</v>
      </c>
      <c r="C623" s="9" t="s">
        <v>36</v>
      </c>
      <c r="D623" s="9" t="s">
        <v>17</v>
      </c>
      <c r="E623" s="9">
        <v>1</v>
      </c>
      <c r="F623" s="11">
        <v>41700</v>
      </c>
      <c r="G623" s="9" t="str">
        <f>INDEX(Products!$B$2:$B$9,MATCH(D623,Products!$A$2:$A$9,0))</f>
        <v>Trà diếp cá rau má</v>
      </c>
      <c r="H623" s="9" t="str">
        <f>INDEX(Products!$C$2:$C$9,MATCH(D623,Products!$A$2:$A$9,0))</f>
        <v>Detox</v>
      </c>
      <c r="I623" s="11">
        <f>INDEX(Products!$D$2:$D$9,MATCH(D623,Products!$A$2:$A$9,0))</f>
        <v>10500</v>
      </c>
      <c r="J623" s="10">
        <f>IFERROR(INDEX(PlatformFees!$C$2:$C$5,MATCH(C623,PlatformFees!$A$2:$A$5,0)),0)</f>
        <v>0.13</v>
      </c>
      <c r="K623" s="11">
        <f t="shared" si="36"/>
        <v>10500</v>
      </c>
      <c r="L623" s="11">
        <f t="shared" si="37"/>
        <v>5421</v>
      </c>
      <c r="M623" s="11">
        <f t="shared" si="38"/>
        <v>25779</v>
      </c>
      <c r="N623" s="10">
        <f t="shared" si="39"/>
        <v>0.61820143884892087</v>
      </c>
    </row>
    <row r="624" spans="1:14" x14ac:dyDescent="0.3">
      <c r="A624" s="9" t="s">
        <v>708</v>
      </c>
      <c r="B624" s="9" t="s">
        <v>700</v>
      </c>
      <c r="C624" s="9" t="s">
        <v>39</v>
      </c>
      <c r="D624" s="9" t="s">
        <v>27</v>
      </c>
      <c r="E624" s="9">
        <v>1</v>
      </c>
      <c r="F624" s="11">
        <v>38800</v>
      </c>
      <c r="G624" s="9" t="str">
        <f>INDEX(Products!$B$2:$B$9,MATCH(D624,Products!$A$2:$A$9,0))</f>
        <v>Trà gừng mật ong</v>
      </c>
      <c r="H624" s="9" t="str">
        <f>INDEX(Products!$C$2:$C$9,MATCH(D624,Products!$A$2:$A$9,0))</f>
        <v>Giữ ấm</v>
      </c>
      <c r="I624" s="11">
        <f>INDEX(Products!$D$2:$D$9,MATCH(D624,Products!$A$2:$A$9,0))</f>
        <v>11000</v>
      </c>
      <c r="J624" s="10">
        <f>IFERROR(INDEX(PlatformFees!$C$2:$C$5,MATCH(C624,PlatformFees!$A$2:$A$5,0)),0)</f>
        <v>0</v>
      </c>
      <c r="K624" s="11">
        <f t="shared" si="36"/>
        <v>11000</v>
      </c>
      <c r="L624" s="11">
        <f t="shared" si="37"/>
        <v>0</v>
      </c>
      <c r="M624" s="11">
        <f t="shared" si="38"/>
        <v>27800</v>
      </c>
      <c r="N624" s="10">
        <f t="shared" si="39"/>
        <v>0.71649484536082475</v>
      </c>
    </row>
    <row r="625" spans="1:14" x14ac:dyDescent="0.3">
      <c r="A625" s="9" t="s">
        <v>709</v>
      </c>
      <c r="B625" s="9" t="s">
        <v>700</v>
      </c>
      <c r="C625" s="9" t="s">
        <v>38</v>
      </c>
      <c r="D625" s="9" t="s">
        <v>20</v>
      </c>
      <c r="E625" s="9">
        <v>2</v>
      </c>
      <c r="F625" s="11">
        <v>107300</v>
      </c>
      <c r="G625" s="9" t="str">
        <f>INDEX(Products!$B$2:$B$9,MATCH(D625,Products!$A$2:$A$9,0))</f>
        <v>Trà cà leo gai giảm cân</v>
      </c>
      <c r="H625" s="9" t="str">
        <f>INDEX(Products!$C$2:$C$9,MATCH(D625,Products!$A$2:$A$9,0))</f>
        <v>Detox</v>
      </c>
      <c r="I625" s="11">
        <f>INDEX(Products!$D$2:$D$9,MATCH(D625,Products!$A$2:$A$9,0))</f>
        <v>15000</v>
      </c>
      <c r="J625" s="10">
        <f>IFERROR(INDEX(PlatformFees!$C$2:$C$5,MATCH(C625,PlatformFees!$A$2:$A$5,0)),0)</f>
        <v>0.16</v>
      </c>
      <c r="K625" s="11">
        <f t="shared" si="36"/>
        <v>30000</v>
      </c>
      <c r="L625" s="11">
        <f t="shared" si="37"/>
        <v>17168</v>
      </c>
      <c r="M625" s="11">
        <f t="shared" si="38"/>
        <v>60132</v>
      </c>
      <c r="N625" s="10">
        <f t="shared" si="39"/>
        <v>0.56041006523765147</v>
      </c>
    </row>
    <row r="626" spans="1:14" x14ac:dyDescent="0.3">
      <c r="A626" s="9" t="s">
        <v>710</v>
      </c>
      <c r="B626" s="9" t="s">
        <v>700</v>
      </c>
      <c r="C626" s="9" t="s">
        <v>40</v>
      </c>
      <c r="D626" s="9" t="s">
        <v>25</v>
      </c>
      <c r="E626" s="9">
        <v>2</v>
      </c>
      <c r="F626" s="11">
        <v>62800</v>
      </c>
      <c r="G626" s="9" t="str">
        <f>INDEX(Products!$B$2:$B$9,MATCH(D626,Products!$A$2:$A$9,0))</f>
        <v>Trà hoa đậu biếc</v>
      </c>
      <c r="H626" s="9" t="str">
        <f>INDEX(Products!$C$2:$C$9,MATCH(D626,Products!$A$2:$A$9,0))</f>
        <v>An thần</v>
      </c>
      <c r="I626" s="11">
        <f>INDEX(Products!$D$2:$D$9,MATCH(D626,Products!$A$2:$A$9,0))</f>
        <v>8800</v>
      </c>
      <c r="J626" s="10">
        <f>IFERROR(INDEX(PlatformFees!$C$2:$C$5,MATCH(C626,PlatformFees!$A$2:$A$5,0)),0)</f>
        <v>0</v>
      </c>
      <c r="K626" s="11">
        <f t="shared" si="36"/>
        <v>17600</v>
      </c>
      <c r="L626" s="11">
        <f t="shared" si="37"/>
        <v>0</v>
      </c>
      <c r="M626" s="11">
        <f t="shared" si="38"/>
        <v>45200</v>
      </c>
      <c r="N626" s="10">
        <f t="shared" si="39"/>
        <v>0.71974522292993626</v>
      </c>
    </row>
    <row r="627" spans="1:14" x14ac:dyDescent="0.3">
      <c r="A627" s="9" t="s">
        <v>711</v>
      </c>
      <c r="B627" s="9" t="s">
        <v>700</v>
      </c>
      <c r="C627" s="9" t="s">
        <v>40</v>
      </c>
      <c r="D627" s="9" t="s">
        <v>25</v>
      </c>
      <c r="E627" s="9">
        <v>2</v>
      </c>
      <c r="F627" s="11">
        <v>67000</v>
      </c>
      <c r="G627" s="9" t="str">
        <f>INDEX(Products!$B$2:$B$9,MATCH(D627,Products!$A$2:$A$9,0))</f>
        <v>Trà hoa đậu biếc</v>
      </c>
      <c r="H627" s="9" t="str">
        <f>INDEX(Products!$C$2:$C$9,MATCH(D627,Products!$A$2:$A$9,0))</f>
        <v>An thần</v>
      </c>
      <c r="I627" s="11">
        <f>INDEX(Products!$D$2:$D$9,MATCH(D627,Products!$A$2:$A$9,0))</f>
        <v>8800</v>
      </c>
      <c r="J627" s="10">
        <f>IFERROR(INDEX(PlatformFees!$C$2:$C$5,MATCH(C627,PlatformFees!$A$2:$A$5,0)),0)</f>
        <v>0</v>
      </c>
      <c r="K627" s="11">
        <f t="shared" si="36"/>
        <v>17600</v>
      </c>
      <c r="L627" s="11">
        <f t="shared" si="37"/>
        <v>0</v>
      </c>
      <c r="M627" s="11">
        <f t="shared" si="38"/>
        <v>49400</v>
      </c>
      <c r="N627" s="10">
        <f t="shared" si="39"/>
        <v>0.73731343283582085</v>
      </c>
    </row>
    <row r="628" spans="1:14" x14ac:dyDescent="0.3">
      <c r="A628" s="9" t="s">
        <v>712</v>
      </c>
      <c r="B628" s="9" t="s">
        <v>700</v>
      </c>
      <c r="C628" s="9" t="s">
        <v>40</v>
      </c>
      <c r="D628" s="9" t="s">
        <v>12</v>
      </c>
      <c r="E628" s="9">
        <v>1</v>
      </c>
      <c r="F628" s="11">
        <v>34700</v>
      </c>
      <c r="G628" s="9" t="str">
        <f>INDEX(Products!$B$2:$B$9,MATCH(D628,Products!$A$2:$A$9,0))</f>
        <v>Trà atiso thanh lọc</v>
      </c>
      <c r="H628" s="9" t="str">
        <f>INDEX(Products!$C$2:$C$9,MATCH(D628,Products!$A$2:$A$9,0))</f>
        <v>Thanh lọc</v>
      </c>
      <c r="I628" s="11">
        <f>INDEX(Products!$D$2:$D$9,MATCH(D628,Products!$A$2:$A$9,0))</f>
        <v>9000</v>
      </c>
      <c r="J628" s="10">
        <f>IFERROR(INDEX(PlatformFees!$C$2:$C$5,MATCH(C628,PlatformFees!$A$2:$A$5,0)),0)</f>
        <v>0</v>
      </c>
      <c r="K628" s="11">
        <f t="shared" si="36"/>
        <v>9000</v>
      </c>
      <c r="L628" s="11">
        <f t="shared" si="37"/>
        <v>0</v>
      </c>
      <c r="M628" s="11">
        <f t="shared" si="38"/>
        <v>25700</v>
      </c>
      <c r="N628" s="10">
        <f t="shared" si="39"/>
        <v>0.74063400576368876</v>
      </c>
    </row>
    <row r="629" spans="1:14" x14ac:dyDescent="0.3">
      <c r="A629" s="9" t="s">
        <v>713</v>
      </c>
      <c r="B629" s="9" t="s">
        <v>700</v>
      </c>
      <c r="C629" s="9" t="s">
        <v>36</v>
      </c>
      <c r="D629" s="9" t="s">
        <v>22</v>
      </c>
      <c r="E629" s="9">
        <v>1</v>
      </c>
      <c r="F629" s="11">
        <v>37300</v>
      </c>
      <c r="G629" s="9" t="str">
        <f>INDEX(Products!$B$2:$B$9,MATCH(D629,Products!$A$2:$A$9,0))</f>
        <v>Trà hoa cúc an thần</v>
      </c>
      <c r="H629" s="9" t="str">
        <f>INDEX(Products!$C$2:$C$9,MATCH(D629,Products!$A$2:$A$9,0))</f>
        <v>An thần</v>
      </c>
      <c r="I629" s="11">
        <f>INDEX(Products!$D$2:$D$9,MATCH(D629,Products!$A$2:$A$9,0))</f>
        <v>9500</v>
      </c>
      <c r="J629" s="10">
        <f>IFERROR(INDEX(PlatformFees!$C$2:$C$5,MATCH(C629,PlatformFees!$A$2:$A$5,0)),0)</f>
        <v>0.13</v>
      </c>
      <c r="K629" s="11">
        <f t="shared" si="36"/>
        <v>9500</v>
      </c>
      <c r="L629" s="11">
        <f t="shared" si="37"/>
        <v>4849</v>
      </c>
      <c r="M629" s="11">
        <f t="shared" si="38"/>
        <v>22951</v>
      </c>
      <c r="N629" s="10">
        <f t="shared" si="39"/>
        <v>0.61530831099195715</v>
      </c>
    </row>
    <row r="630" spans="1:14" x14ac:dyDescent="0.3">
      <c r="A630" s="9" t="s">
        <v>714</v>
      </c>
      <c r="B630" s="9" t="s">
        <v>700</v>
      </c>
      <c r="C630" s="9" t="s">
        <v>38</v>
      </c>
      <c r="D630" s="9" t="s">
        <v>22</v>
      </c>
      <c r="E630" s="9">
        <v>1</v>
      </c>
      <c r="F630" s="11">
        <v>39000</v>
      </c>
      <c r="G630" s="9" t="str">
        <f>INDEX(Products!$B$2:$B$9,MATCH(D630,Products!$A$2:$A$9,0))</f>
        <v>Trà hoa cúc an thần</v>
      </c>
      <c r="H630" s="9" t="str">
        <f>INDEX(Products!$C$2:$C$9,MATCH(D630,Products!$A$2:$A$9,0))</f>
        <v>An thần</v>
      </c>
      <c r="I630" s="11">
        <f>INDEX(Products!$D$2:$D$9,MATCH(D630,Products!$A$2:$A$9,0))</f>
        <v>9500</v>
      </c>
      <c r="J630" s="10">
        <f>IFERROR(INDEX(PlatformFees!$C$2:$C$5,MATCH(C630,PlatformFees!$A$2:$A$5,0)),0)</f>
        <v>0.16</v>
      </c>
      <c r="K630" s="11">
        <f t="shared" si="36"/>
        <v>9500</v>
      </c>
      <c r="L630" s="11">
        <f t="shared" si="37"/>
        <v>6240</v>
      </c>
      <c r="M630" s="11">
        <f t="shared" si="38"/>
        <v>23260</v>
      </c>
      <c r="N630" s="10">
        <f t="shared" si="39"/>
        <v>0.59641025641025636</v>
      </c>
    </row>
    <row r="631" spans="1:14" x14ac:dyDescent="0.3">
      <c r="A631" s="9" t="s">
        <v>715</v>
      </c>
      <c r="B631" s="9" t="s">
        <v>716</v>
      </c>
      <c r="C631" s="9" t="s">
        <v>36</v>
      </c>
      <c r="D631" s="9" t="s">
        <v>12</v>
      </c>
      <c r="E631" s="9">
        <v>1</v>
      </c>
      <c r="F631" s="11">
        <v>34200</v>
      </c>
      <c r="G631" s="9" t="str">
        <f>INDEX(Products!$B$2:$B$9,MATCH(D631,Products!$A$2:$A$9,0))</f>
        <v>Trà atiso thanh lọc</v>
      </c>
      <c r="H631" s="9" t="str">
        <f>INDEX(Products!$C$2:$C$9,MATCH(D631,Products!$A$2:$A$9,0))</f>
        <v>Thanh lọc</v>
      </c>
      <c r="I631" s="11">
        <f>INDEX(Products!$D$2:$D$9,MATCH(D631,Products!$A$2:$A$9,0))</f>
        <v>9000</v>
      </c>
      <c r="J631" s="10">
        <f>IFERROR(INDEX(PlatformFees!$C$2:$C$5,MATCH(C631,PlatformFees!$A$2:$A$5,0)),0)</f>
        <v>0.13</v>
      </c>
      <c r="K631" s="11">
        <f t="shared" si="36"/>
        <v>9000</v>
      </c>
      <c r="L631" s="11">
        <f t="shared" si="37"/>
        <v>4446</v>
      </c>
      <c r="M631" s="11">
        <f t="shared" si="38"/>
        <v>20754</v>
      </c>
      <c r="N631" s="10">
        <f t="shared" si="39"/>
        <v>0.60684210526315785</v>
      </c>
    </row>
    <row r="632" spans="1:14" x14ac:dyDescent="0.3">
      <c r="A632" s="9" t="s">
        <v>717</v>
      </c>
      <c r="B632" s="9" t="s">
        <v>716</v>
      </c>
      <c r="C632" s="9" t="s">
        <v>38</v>
      </c>
      <c r="D632" s="9" t="s">
        <v>20</v>
      </c>
      <c r="E632" s="9">
        <v>2</v>
      </c>
      <c r="F632" s="11">
        <v>103900</v>
      </c>
      <c r="G632" s="9" t="str">
        <f>INDEX(Products!$B$2:$B$9,MATCH(D632,Products!$A$2:$A$9,0))</f>
        <v>Trà cà leo gai giảm cân</v>
      </c>
      <c r="H632" s="9" t="str">
        <f>INDEX(Products!$C$2:$C$9,MATCH(D632,Products!$A$2:$A$9,0))</f>
        <v>Detox</v>
      </c>
      <c r="I632" s="11">
        <f>INDEX(Products!$D$2:$D$9,MATCH(D632,Products!$A$2:$A$9,0))</f>
        <v>15000</v>
      </c>
      <c r="J632" s="10">
        <f>IFERROR(INDEX(PlatformFees!$C$2:$C$5,MATCH(C632,PlatformFees!$A$2:$A$5,0)),0)</f>
        <v>0.16</v>
      </c>
      <c r="K632" s="11">
        <f t="shared" si="36"/>
        <v>30000</v>
      </c>
      <c r="L632" s="11">
        <f t="shared" si="37"/>
        <v>16624</v>
      </c>
      <c r="M632" s="11">
        <f t="shared" si="38"/>
        <v>57276</v>
      </c>
      <c r="N632" s="10">
        <f t="shared" si="39"/>
        <v>0.55126082771896057</v>
      </c>
    </row>
    <row r="633" spans="1:14" x14ac:dyDescent="0.3">
      <c r="A633" s="9" t="s">
        <v>718</v>
      </c>
      <c r="B633" s="9" t="s">
        <v>716</v>
      </c>
      <c r="C633" s="9" t="s">
        <v>36</v>
      </c>
      <c r="D633" s="9" t="s">
        <v>20</v>
      </c>
      <c r="E633" s="9">
        <v>3</v>
      </c>
      <c r="F633" s="11">
        <v>162500</v>
      </c>
      <c r="G633" s="9" t="str">
        <f>INDEX(Products!$B$2:$B$9,MATCH(D633,Products!$A$2:$A$9,0))</f>
        <v>Trà cà leo gai giảm cân</v>
      </c>
      <c r="H633" s="9" t="str">
        <f>INDEX(Products!$C$2:$C$9,MATCH(D633,Products!$A$2:$A$9,0))</f>
        <v>Detox</v>
      </c>
      <c r="I633" s="11">
        <f>INDEX(Products!$D$2:$D$9,MATCH(D633,Products!$A$2:$A$9,0))</f>
        <v>15000</v>
      </c>
      <c r="J633" s="10">
        <f>IFERROR(INDEX(PlatformFees!$C$2:$C$5,MATCH(C633,PlatformFees!$A$2:$A$5,0)),0)</f>
        <v>0.13</v>
      </c>
      <c r="K633" s="11">
        <f t="shared" si="36"/>
        <v>45000</v>
      </c>
      <c r="L633" s="11">
        <f t="shared" si="37"/>
        <v>21125</v>
      </c>
      <c r="M633" s="11">
        <f t="shared" si="38"/>
        <v>96375</v>
      </c>
      <c r="N633" s="10">
        <f t="shared" si="39"/>
        <v>0.59307692307692306</v>
      </c>
    </row>
    <row r="634" spans="1:14" x14ac:dyDescent="0.3">
      <c r="A634" s="9" t="s">
        <v>719</v>
      </c>
      <c r="B634" s="9" t="s">
        <v>716</v>
      </c>
      <c r="C634" s="9" t="s">
        <v>38</v>
      </c>
      <c r="D634" s="9" t="s">
        <v>17</v>
      </c>
      <c r="E634" s="9">
        <v>1</v>
      </c>
      <c r="F634" s="11">
        <v>40900</v>
      </c>
      <c r="G634" s="9" t="str">
        <f>INDEX(Products!$B$2:$B$9,MATCH(D634,Products!$A$2:$A$9,0))</f>
        <v>Trà diếp cá rau má</v>
      </c>
      <c r="H634" s="9" t="str">
        <f>INDEX(Products!$C$2:$C$9,MATCH(D634,Products!$A$2:$A$9,0))</f>
        <v>Detox</v>
      </c>
      <c r="I634" s="11">
        <f>INDEX(Products!$D$2:$D$9,MATCH(D634,Products!$A$2:$A$9,0))</f>
        <v>10500</v>
      </c>
      <c r="J634" s="10">
        <f>IFERROR(INDEX(PlatformFees!$C$2:$C$5,MATCH(C634,PlatformFees!$A$2:$A$5,0)),0)</f>
        <v>0.16</v>
      </c>
      <c r="K634" s="11">
        <f t="shared" si="36"/>
        <v>10500</v>
      </c>
      <c r="L634" s="11">
        <f t="shared" si="37"/>
        <v>6544</v>
      </c>
      <c r="M634" s="11">
        <f t="shared" si="38"/>
        <v>23856</v>
      </c>
      <c r="N634" s="10">
        <f t="shared" si="39"/>
        <v>0.58327628361858186</v>
      </c>
    </row>
    <row r="635" spans="1:14" x14ac:dyDescent="0.3">
      <c r="A635" s="9" t="s">
        <v>720</v>
      </c>
      <c r="B635" s="9" t="s">
        <v>716</v>
      </c>
      <c r="C635" s="9" t="s">
        <v>36</v>
      </c>
      <c r="D635" s="9" t="s">
        <v>30</v>
      </c>
      <c r="E635" s="9">
        <v>1</v>
      </c>
      <c r="F635" s="11">
        <v>33600</v>
      </c>
      <c r="G635" s="9" t="str">
        <f>INDEX(Products!$B$2:$B$9,MATCH(D635,Products!$A$2:$A$9,0))</f>
        <v>Trà mâm xôi vitamin</v>
      </c>
      <c r="H635" s="9" t="str">
        <f>INDEX(Products!$C$2:$C$9,MATCH(D635,Products!$A$2:$A$9,0))</f>
        <v>Bổ sung dưỡng chất</v>
      </c>
      <c r="I635" s="11">
        <f>INDEX(Products!$D$2:$D$9,MATCH(D635,Products!$A$2:$A$9,0))</f>
        <v>9800</v>
      </c>
      <c r="J635" s="10">
        <f>IFERROR(INDEX(PlatformFees!$C$2:$C$5,MATCH(C635,PlatformFees!$A$2:$A$5,0)),0)</f>
        <v>0.13</v>
      </c>
      <c r="K635" s="11">
        <f t="shared" si="36"/>
        <v>9800</v>
      </c>
      <c r="L635" s="11">
        <f t="shared" si="37"/>
        <v>4368</v>
      </c>
      <c r="M635" s="11">
        <f t="shared" si="38"/>
        <v>19432</v>
      </c>
      <c r="N635" s="10">
        <f t="shared" si="39"/>
        <v>0.57833333333333337</v>
      </c>
    </row>
    <row r="636" spans="1:14" x14ac:dyDescent="0.3">
      <c r="A636" s="9" t="s">
        <v>721</v>
      </c>
      <c r="B636" s="9" t="s">
        <v>716</v>
      </c>
      <c r="C636" s="9" t="s">
        <v>40</v>
      </c>
      <c r="D636" s="9" t="s">
        <v>12</v>
      </c>
      <c r="E636" s="9">
        <v>1</v>
      </c>
      <c r="F636" s="11">
        <v>33500</v>
      </c>
      <c r="G636" s="9" t="str">
        <f>INDEX(Products!$B$2:$B$9,MATCH(D636,Products!$A$2:$A$9,0))</f>
        <v>Trà atiso thanh lọc</v>
      </c>
      <c r="H636" s="9" t="str">
        <f>INDEX(Products!$C$2:$C$9,MATCH(D636,Products!$A$2:$A$9,0))</f>
        <v>Thanh lọc</v>
      </c>
      <c r="I636" s="11">
        <f>INDEX(Products!$D$2:$D$9,MATCH(D636,Products!$A$2:$A$9,0))</f>
        <v>9000</v>
      </c>
      <c r="J636" s="10">
        <f>IFERROR(INDEX(PlatformFees!$C$2:$C$5,MATCH(C636,PlatformFees!$A$2:$A$5,0)),0)</f>
        <v>0</v>
      </c>
      <c r="K636" s="11">
        <f t="shared" si="36"/>
        <v>9000</v>
      </c>
      <c r="L636" s="11">
        <f t="shared" si="37"/>
        <v>0</v>
      </c>
      <c r="M636" s="11">
        <f t="shared" si="38"/>
        <v>24500</v>
      </c>
      <c r="N636" s="10">
        <f t="shared" si="39"/>
        <v>0.73134328358208955</v>
      </c>
    </row>
    <row r="637" spans="1:14" x14ac:dyDescent="0.3">
      <c r="A637" s="9" t="s">
        <v>722</v>
      </c>
      <c r="B637" s="9" t="s">
        <v>716</v>
      </c>
      <c r="C637" s="9" t="s">
        <v>39</v>
      </c>
      <c r="D637" s="9" t="s">
        <v>22</v>
      </c>
      <c r="E637" s="9">
        <v>1</v>
      </c>
      <c r="F637" s="11">
        <v>37000</v>
      </c>
      <c r="G637" s="9" t="str">
        <f>INDEX(Products!$B$2:$B$9,MATCH(D637,Products!$A$2:$A$9,0))</f>
        <v>Trà hoa cúc an thần</v>
      </c>
      <c r="H637" s="9" t="str">
        <f>INDEX(Products!$C$2:$C$9,MATCH(D637,Products!$A$2:$A$9,0))</f>
        <v>An thần</v>
      </c>
      <c r="I637" s="11">
        <f>INDEX(Products!$D$2:$D$9,MATCH(D637,Products!$A$2:$A$9,0))</f>
        <v>9500</v>
      </c>
      <c r="J637" s="10">
        <f>IFERROR(INDEX(PlatformFees!$C$2:$C$5,MATCH(C637,PlatformFees!$A$2:$A$5,0)),0)</f>
        <v>0</v>
      </c>
      <c r="K637" s="11">
        <f t="shared" si="36"/>
        <v>9500</v>
      </c>
      <c r="L637" s="11">
        <f t="shared" si="37"/>
        <v>0</v>
      </c>
      <c r="M637" s="11">
        <f t="shared" si="38"/>
        <v>27500</v>
      </c>
      <c r="N637" s="10">
        <f t="shared" si="39"/>
        <v>0.7432432432432432</v>
      </c>
    </row>
    <row r="638" spans="1:14" x14ac:dyDescent="0.3">
      <c r="A638" s="9" t="s">
        <v>723</v>
      </c>
      <c r="B638" s="9" t="s">
        <v>716</v>
      </c>
      <c r="C638" s="9" t="s">
        <v>36</v>
      </c>
      <c r="D638" s="9" t="s">
        <v>22</v>
      </c>
      <c r="E638" s="9">
        <v>1</v>
      </c>
      <c r="F638" s="11">
        <v>35200</v>
      </c>
      <c r="G638" s="9" t="str">
        <f>INDEX(Products!$B$2:$B$9,MATCH(D638,Products!$A$2:$A$9,0))</f>
        <v>Trà hoa cúc an thần</v>
      </c>
      <c r="H638" s="9" t="str">
        <f>INDEX(Products!$C$2:$C$9,MATCH(D638,Products!$A$2:$A$9,0))</f>
        <v>An thần</v>
      </c>
      <c r="I638" s="11">
        <f>INDEX(Products!$D$2:$D$9,MATCH(D638,Products!$A$2:$A$9,0))</f>
        <v>9500</v>
      </c>
      <c r="J638" s="10">
        <f>IFERROR(INDEX(PlatformFees!$C$2:$C$5,MATCH(C638,PlatformFees!$A$2:$A$5,0)),0)</f>
        <v>0.13</v>
      </c>
      <c r="K638" s="11">
        <f t="shared" si="36"/>
        <v>9500</v>
      </c>
      <c r="L638" s="11">
        <f t="shared" si="37"/>
        <v>4576</v>
      </c>
      <c r="M638" s="11">
        <f t="shared" si="38"/>
        <v>21124</v>
      </c>
      <c r="N638" s="10">
        <f t="shared" si="39"/>
        <v>0.60011363636363635</v>
      </c>
    </row>
    <row r="639" spans="1:14" x14ac:dyDescent="0.3">
      <c r="A639" s="9" t="s">
        <v>724</v>
      </c>
      <c r="B639" s="9" t="s">
        <v>716</v>
      </c>
      <c r="C639" s="9" t="s">
        <v>36</v>
      </c>
      <c r="D639" s="9" t="s">
        <v>25</v>
      </c>
      <c r="E639" s="9">
        <v>1</v>
      </c>
      <c r="F639" s="11">
        <v>34500</v>
      </c>
      <c r="G639" s="9" t="str">
        <f>INDEX(Products!$B$2:$B$9,MATCH(D639,Products!$A$2:$A$9,0))</f>
        <v>Trà hoa đậu biếc</v>
      </c>
      <c r="H639" s="9" t="str">
        <f>INDEX(Products!$C$2:$C$9,MATCH(D639,Products!$A$2:$A$9,0))</f>
        <v>An thần</v>
      </c>
      <c r="I639" s="11">
        <f>INDEX(Products!$D$2:$D$9,MATCH(D639,Products!$A$2:$A$9,0))</f>
        <v>8800</v>
      </c>
      <c r="J639" s="10">
        <f>IFERROR(INDEX(PlatformFees!$C$2:$C$5,MATCH(C639,PlatformFees!$A$2:$A$5,0)),0)</f>
        <v>0.13</v>
      </c>
      <c r="K639" s="11">
        <f t="shared" si="36"/>
        <v>8800</v>
      </c>
      <c r="L639" s="11">
        <f t="shared" si="37"/>
        <v>4485</v>
      </c>
      <c r="M639" s="11">
        <f t="shared" si="38"/>
        <v>21215</v>
      </c>
      <c r="N639" s="10">
        <f t="shared" si="39"/>
        <v>0.61492753623188401</v>
      </c>
    </row>
    <row r="640" spans="1:14" x14ac:dyDescent="0.3">
      <c r="A640" s="9" t="s">
        <v>725</v>
      </c>
      <c r="B640" s="9" t="s">
        <v>716</v>
      </c>
      <c r="C640" s="9" t="s">
        <v>38</v>
      </c>
      <c r="D640" s="9" t="s">
        <v>22</v>
      </c>
      <c r="E640" s="9">
        <v>1</v>
      </c>
      <c r="F640" s="11">
        <v>38800</v>
      </c>
      <c r="G640" s="9" t="str">
        <f>INDEX(Products!$B$2:$B$9,MATCH(D640,Products!$A$2:$A$9,0))</f>
        <v>Trà hoa cúc an thần</v>
      </c>
      <c r="H640" s="9" t="str">
        <f>INDEX(Products!$C$2:$C$9,MATCH(D640,Products!$A$2:$A$9,0))</f>
        <v>An thần</v>
      </c>
      <c r="I640" s="11">
        <f>INDEX(Products!$D$2:$D$9,MATCH(D640,Products!$A$2:$A$9,0))</f>
        <v>9500</v>
      </c>
      <c r="J640" s="10">
        <f>IFERROR(INDEX(PlatformFees!$C$2:$C$5,MATCH(C640,PlatformFees!$A$2:$A$5,0)),0)</f>
        <v>0.16</v>
      </c>
      <c r="K640" s="11">
        <f t="shared" si="36"/>
        <v>9500</v>
      </c>
      <c r="L640" s="11">
        <f t="shared" si="37"/>
        <v>6208</v>
      </c>
      <c r="M640" s="11">
        <f t="shared" si="38"/>
        <v>23092</v>
      </c>
      <c r="N640" s="10">
        <f t="shared" si="39"/>
        <v>0.59515463917525768</v>
      </c>
    </row>
    <row r="641" spans="1:14" x14ac:dyDescent="0.3">
      <c r="A641" s="9" t="s">
        <v>726</v>
      </c>
      <c r="B641" s="9" t="s">
        <v>716</v>
      </c>
      <c r="C641" s="9" t="s">
        <v>39</v>
      </c>
      <c r="D641" s="9" t="s">
        <v>22</v>
      </c>
      <c r="E641" s="9">
        <v>2</v>
      </c>
      <c r="F641" s="11">
        <v>71300</v>
      </c>
      <c r="G641" s="9" t="str">
        <f>INDEX(Products!$B$2:$B$9,MATCH(D641,Products!$A$2:$A$9,0))</f>
        <v>Trà hoa cúc an thần</v>
      </c>
      <c r="H641" s="9" t="str">
        <f>INDEX(Products!$C$2:$C$9,MATCH(D641,Products!$A$2:$A$9,0))</f>
        <v>An thần</v>
      </c>
      <c r="I641" s="11">
        <f>INDEX(Products!$D$2:$D$9,MATCH(D641,Products!$A$2:$A$9,0))</f>
        <v>9500</v>
      </c>
      <c r="J641" s="10">
        <f>IFERROR(INDEX(PlatformFees!$C$2:$C$5,MATCH(C641,PlatformFees!$A$2:$A$5,0)),0)</f>
        <v>0</v>
      </c>
      <c r="K641" s="11">
        <f t="shared" si="36"/>
        <v>19000</v>
      </c>
      <c r="L641" s="11">
        <f t="shared" si="37"/>
        <v>0</v>
      </c>
      <c r="M641" s="11">
        <f t="shared" si="38"/>
        <v>52300</v>
      </c>
      <c r="N641" s="10">
        <f t="shared" si="39"/>
        <v>0.73352033660589055</v>
      </c>
    </row>
    <row r="642" spans="1:14" x14ac:dyDescent="0.3">
      <c r="A642" s="9" t="s">
        <v>727</v>
      </c>
      <c r="B642" s="9" t="s">
        <v>716</v>
      </c>
      <c r="C642" s="9" t="s">
        <v>38</v>
      </c>
      <c r="D642" s="9" t="s">
        <v>30</v>
      </c>
      <c r="E642" s="9">
        <v>1</v>
      </c>
      <c r="F642" s="11">
        <v>36300</v>
      </c>
      <c r="G642" s="9" t="str">
        <f>INDEX(Products!$B$2:$B$9,MATCH(D642,Products!$A$2:$A$9,0))</f>
        <v>Trà mâm xôi vitamin</v>
      </c>
      <c r="H642" s="9" t="str">
        <f>INDEX(Products!$C$2:$C$9,MATCH(D642,Products!$A$2:$A$9,0))</f>
        <v>Bổ sung dưỡng chất</v>
      </c>
      <c r="I642" s="11">
        <f>INDEX(Products!$D$2:$D$9,MATCH(D642,Products!$A$2:$A$9,0))</f>
        <v>9800</v>
      </c>
      <c r="J642" s="10">
        <f>IFERROR(INDEX(PlatformFees!$C$2:$C$5,MATCH(C642,PlatformFees!$A$2:$A$5,0)),0)</f>
        <v>0.16</v>
      </c>
      <c r="K642" s="11">
        <f t="shared" ref="K642:K705" si="40">E642*I642</f>
        <v>9800</v>
      </c>
      <c r="L642" s="11">
        <f t="shared" ref="L642:L705" si="41">F642*J642</f>
        <v>5808</v>
      </c>
      <c r="M642" s="11">
        <f t="shared" ref="M642:M705" si="42">F642-L642-K642</f>
        <v>20692</v>
      </c>
      <c r="N642" s="10">
        <f t="shared" ref="N642:N705" si="43">IFERROR(M642/F642,0)</f>
        <v>0.57002754820936641</v>
      </c>
    </row>
    <row r="643" spans="1:14" x14ac:dyDescent="0.3">
      <c r="A643" s="9" t="s">
        <v>728</v>
      </c>
      <c r="B643" s="9" t="s">
        <v>716</v>
      </c>
      <c r="C643" s="9" t="s">
        <v>38</v>
      </c>
      <c r="D643" s="9" t="s">
        <v>15</v>
      </c>
      <c r="E643" s="9">
        <v>3</v>
      </c>
      <c r="F643" s="11">
        <v>92900</v>
      </c>
      <c r="G643" s="9" t="str">
        <f>INDEX(Products!$B$2:$B$9,MATCH(D643,Products!$A$2:$A$9,0))</f>
        <v>Trà lá nam sen ổi</v>
      </c>
      <c r="H643" s="9" t="str">
        <f>INDEX(Products!$C$2:$C$9,MATCH(D643,Products!$A$2:$A$9,0))</f>
        <v>Thanh lọc</v>
      </c>
      <c r="I643" s="11">
        <f>INDEX(Products!$D$2:$D$9,MATCH(D643,Products!$A$2:$A$9,0))</f>
        <v>8500</v>
      </c>
      <c r="J643" s="10">
        <f>IFERROR(INDEX(PlatformFees!$C$2:$C$5,MATCH(C643,PlatformFees!$A$2:$A$5,0)),0)</f>
        <v>0.16</v>
      </c>
      <c r="K643" s="11">
        <f t="shared" si="40"/>
        <v>25500</v>
      </c>
      <c r="L643" s="11">
        <f t="shared" si="41"/>
        <v>14864</v>
      </c>
      <c r="M643" s="11">
        <f t="shared" si="42"/>
        <v>52536</v>
      </c>
      <c r="N643" s="10">
        <f t="shared" si="43"/>
        <v>0.56551130247578041</v>
      </c>
    </row>
    <row r="644" spans="1:14" x14ac:dyDescent="0.3">
      <c r="A644" s="9" t="s">
        <v>729</v>
      </c>
      <c r="B644" s="9" t="s">
        <v>716</v>
      </c>
      <c r="C644" s="9" t="s">
        <v>36</v>
      </c>
      <c r="D644" s="9" t="s">
        <v>22</v>
      </c>
      <c r="E644" s="9">
        <v>1</v>
      </c>
      <c r="F644" s="11">
        <v>36800</v>
      </c>
      <c r="G644" s="9" t="str">
        <f>INDEX(Products!$B$2:$B$9,MATCH(D644,Products!$A$2:$A$9,0))</f>
        <v>Trà hoa cúc an thần</v>
      </c>
      <c r="H644" s="9" t="str">
        <f>INDEX(Products!$C$2:$C$9,MATCH(D644,Products!$A$2:$A$9,0))</f>
        <v>An thần</v>
      </c>
      <c r="I644" s="11">
        <f>INDEX(Products!$D$2:$D$9,MATCH(D644,Products!$A$2:$A$9,0))</f>
        <v>9500</v>
      </c>
      <c r="J644" s="10">
        <f>IFERROR(INDEX(PlatformFees!$C$2:$C$5,MATCH(C644,PlatformFees!$A$2:$A$5,0)),0)</f>
        <v>0.13</v>
      </c>
      <c r="K644" s="11">
        <f t="shared" si="40"/>
        <v>9500</v>
      </c>
      <c r="L644" s="11">
        <f t="shared" si="41"/>
        <v>4784</v>
      </c>
      <c r="M644" s="11">
        <f t="shared" si="42"/>
        <v>22516</v>
      </c>
      <c r="N644" s="10">
        <f t="shared" si="43"/>
        <v>0.61184782608695654</v>
      </c>
    </row>
    <row r="645" spans="1:14" x14ac:dyDescent="0.3">
      <c r="A645" s="9" t="s">
        <v>730</v>
      </c>
      <c r="B645" s="9" t="s">
        <v>716</v>
      </c>
      <c r="C645" s="9" t="s">
        <v>36</v>
      </c>
      <c r="D645" s="9" t="s">
        <v>12</v>
      </c>
      <c r="E645" s="9">
        <v>1</v>
      </c>
      <c r="F645" s="11">
        <v>33000</v>
      </c>
      <c r="G645" s="9" t="str">
        <f>INDEX(Products!$B$2:$B$9,MATCH(D645,Products!$A$2:$A$9,0))</f>
        <v>Trà atiso thanh lọc</v>
      </c>
      <c r="H645" s="9" t="str">
        <f>INDEX(Products!$C$2:$C$9,MATCH(D645,Products!$A$2:$A$9,0))</f>
        <v>Thanh lọc</v>
      </c>
      <c r="I645" s="11">
        <f>INDEX(Products!$D$2:$D$9,MATCH(D645,Products!$A$2:$A$9,0))</f>
        <v>9000</v>
      </c>
      <c r="J645" s="10">
        <f>IFERROR(INDEX(PlatformFees!$C$2:$C$5,MATCH(C645,PlatformFees!$A$2:$A$5,0)),0)</f>
        <v>0.13</v>
      </c>
      <c r="K645" s="11">
        <f t="shared" si="40"/>
        <v>9000</v>
      </c>
      <c r="L645" s="11">
        <f t="shared" si="41"/>
        <v>4290</v>
      </c>
      <c r="M645" s="11">
        <f t="shared" si="42"/>
        <v>19710</v>
      </c>
      <c r="N645" s="10">
        <f t="shared" si="43"/>
        <v>0.59727272727272729</v>
      </c>
    </row>
    <row r="646" spans="1:14" x14ac:dyDescent="0.3">
      <c r="A646" s="9" t="s">
        <v>731</v>
      </c>
      <c r="B646" s="9" t="s">
        <v>716</v>
      </c>
      <c r="C646" s="9" t="s">
        <v>39</v>
      </c>
      <c r="D646" s="9" t="s">
        <v>27</v>
      </c>
      <c r="E646" s="9">
        <v>1</v>
      </c>
      <c r="F646" s="11">
        <v>39300</v>
      </c>
      <c r="G646" s="9" t="str">
        <f>INDEX(Products!$B$2:$B$9,MATCH(D646,Products!$A$2:$A$9,0))</f>
        <v>Trà gừng mật ong</v>
      </c>
      <c r="H646" s="9" t="str">
        <f>INDEX(Products!$C$2:$C$9,MATCH(D646,Products!$A$2:$A$9,0))</f>
        <v>Giữ ấm</v>
      </c>
      <c r="I646" s="11">
        <f>INDEX(Products!$D$2:$D$9,MATCH(D646,Products!$A$2:$A$9,0))</f>
        <v>11000</v>
      </c>
      <c r="J646" s="10">
        <f>IFERROR(INDEX(PlatformFees!$C$2:$C$5,MATCH(C646,PlatformFees!$A$2:$A$5,0)),0)</f>
        <v>0</v>
      </c>
      <c r="K646" s="11">
        <f t="shared" si="40"/>
        <v>11000</v>
      </c>
      <c r="L646" s="11">
        <f t="shared" si="41"/>
        <v>0</v>
      </c>
      <c r="M646" s="11">
        <f t="shared" si="42"/>
        <v>28300</v>
      </c>
      <c r="N646" s="10">
        <f t="shared" si="43"/>
        <v>0.72010178117048351</v>
      </c>
    </row>
    <row r="647" spans="1:14" x14ac:dyDescent="0.3">
      <c r="A647" s="9" t="s">
        <v>732</v>
      </c>
      <c r="B647" s="9" t="s">
        <v>733</v>
      </c>
      <c r="C647" s="9" t="s">
        <v>39</v>
      </c>
      <c r="D647" s="9" t="s">
        <v>15</v>
      </c>
      <c r="E647" s="9">
        <v>1</v>
      </c>
      <c r="F647" s="11">
        <v>30100</v>
      </c>
      <c r="G647" s="9" t="str">
        <f>INDEX(Products!$B$2:$B$9,MATCH(D647,Products!$A$2:$A$9,0))</f>
        <v>Trà lá nam sen ổi</v>
      </c>
      <c r="H647" s="9" t="str">
        <f>INDEX(Products!$C$2:$C$9,MATCH(D647,Products!$A$2:$A$9,0))</f>
        <v>Thanh lọc</v>
      </c>
      <c r="I647" s="11">
        <f>INDEX(Products!$D$2:$D$9,MATCH(D647,Products!$A$2:$A$9,0))</f>
        <v>8500</v>
      </c>
      <c r="J647" s="10">
        <f>IFERROR(INDEX(PlatformFees!$C$2:$C$5,MATCH(C647,PlatformFees!$A$2:$A$5,0)),0)</f>
        <v>0</v>
      </c>
      <c r="K647" s="11">
        <f t="shared" si="40"/>
        <v>8500</v>
      </c>
      <c r="L647" s="11">
        <f t="shared" si="41"/>
        <v>0</v>
      </c>
      <c r="M647" s="11">
        <f t="shared" si="42"/>
        <v>21600</v>
      </c>
      <c r="N647" s="10">
        <f t="shared" si="43"/>
        <v>0.71760797342192695</v>
      </c>
    </row>
    <row r="648" spans="1:14" x14ac:dyDescent="0.3">
      <c r="A648" s="9" t="s">
        <v>734</v>
      </c>
      <c r="B648" s="9" t="s">
        <v>733</v>
      </c>
      <c r="C648" s="9" t="s">
        <v>36</v>
      </c>
      <c r="D648" s="9" t="s">
        <v>22</v>
      </c>
      <c r="E648" s="9">
        <v>2</v>
      </c>
      <c r="F648" s="11">
        <v>74300</v>
      </c>
      <c r="G648" s="9" t="str">
        <f>INDEX(Products!$B$2:$B$9,MATCH(D648,Products!$A$2:$A$9,0))</f>
        <v>Trà hoa cúc an thần</v>
      </c>
      <c r="H648" s="9" t="str">
        <f>INDEX(Products!$C$2:$C$9,MATCH(D648,Products!$A$2:$A$9,0))</f>
        <v>An thần</v>
      </c>
      <c r="I648" s="11">
        <f>INDEX(Products!$D$2:$D$9,MATCH(D648,Products!$A$2:$A$9,0))</f>
        <v>9500</v>
      </c>
      <c r="J648" s="10">
        <f>IFERROR(INDEX(PlatformFees!$C$2:$C$5,MATCH(C648,PlatformFees!$A$2:$A$5,0)),0)</f>
        <v>0.13</v>
      </c>
      <c r="K648" s="11">
        <f t="shared" si="40"/>
        <v>19000</v>
      </c>
      <c r="L648" s="11">
        <f t="shared" si="41"/>
        <v>9659</v>
      </c>
      <c r="M648" s="11">
        <f t="shared" si="42"/>
        <v>45641</v>
      </c>
      <c r="N648" s="10">
        <f t="shared" si="43"/>
        <v>0.61427994616419923</v>
      </c>
    </row>
    <row r="649" spans="1:14" x14ac:dyDescent="0.3">
      <c r="A649" s="9" t="s">
        <v>735</v>
      </c>
      <c r="B649" s="9" t="s">
        <v>733</v>
      </c>
      <c r="C649" s="9" t="s">
        <v>38</v>
      </c>
      <c r="D649" s="9" t="s">
        <v>20</v>
      </c>
      <c r="E649" s="9">
        <v>2</v>
      </c>
      <c r="F649" s="11">
        <v>105900</v>
      </c>
      <c r="G649" s="9" t="str">
        <f>INDEX(Products!$B$2:$B$9,MATCH(D649,Products!$A$2:$A$9,0))</f>
        <v>Trà cà leo gai giảm cân</v>
      </c>
      <c r="H649" s="9" t="str">
        <f>INDEX(Products!$C$2:$C$9,MATCH(D649,Products!$A$2:$A$9,0))</f>
        <v>Detox</v>
      </c>
      <c r="I649" s="11">
        <f>INDEX(Products!$D$2:$D$9,MATCH(D649,Products!$A$2:$A$9,0))</f>
        <v>15000</v>
      </c>
      <c r="J649" s="10">
        <f>IFERROR(INDEX(PlatformFees!$C$2:$C$5,MATCH(C649,PlatformFees!$A$2:$A$5,0)),0)</f>
        <v>0.16</v>
      </c>
      <c r="K649" s="11">
        <f t="shared" si="40"/>
        <v>30000</v>
      </c>
      <c r="L649" s="11">
        <f t="shared" si="41"/>
        <v>16944</v>
      </c>
      <c r="M649" s="11">
        <f t="shared" si="42"/>
        <v>58956</v>
      </c>
      <c r="N649" s="10">
        <f t="shared" si="43"/>
        <v>0.55671388101982999</v>
      </c>
    </row>
    <row r="650" spans="1:14" x14ac:dyDescent="0.3">
      <c r="A650" s="9" t="s">
        <v>736</v>
      </c>
      <c r="B650" s="9" t="s">
        <v>733</v>
      </c>
      <c r="C650" s="9" t="s">
        <v>36</v>
      </c>
      <c r="D650" s="9" t="s">
        <v>17</v>
      </c>
      <c r="E650" s="9">
        <v>2</v>
      </c>
      <c r="F650" s="11">
        <v>83000</v>
      </c>
      <c r="G650" s="9" t="str">
        <f>INDEX(Products!$B$2:$B$9,MATCH(D650,Products!$A$2:$A$9,0))</f>
        <v>Trà diếp cá rau má</v>
      </c>
      <c r="H650" s="9" t="str">
        <f>INDEX(Products!$C$2:$C$9,MATCH(D650,Products!$A$2:$A$9,0))</f>
        <v>Detox</v>
      </c>
      <c r="I650" s="11">
        <f>INDEX(Products!$D$2:$D$9,MATCH(D650,Products!$A$2:$A$9,0))</f>
        <v>10500</v>
      </c>
      <c r="J650" s="10">
        <f>IFERROR(INDEX(PlatformFees!$C$2:$C$5,MATCH(C650,PlatformFees!$A$2:$A$5,0)),0)</f>
        <v>0.13</v>
      </c>
      <c r="K650" s="11">
        <f t="shared" si="40"/>
        <v>21000</v>
      </c>
      <c r="L650" s="11">
        <f t="shared" si="41"/>
        <v>10790</v>
      </c>
      <c r="M650" s="11">
        <f t="shared" si="42"/>
        <v>51210</v>
      </c>
      <c r="N650" s="10">
        <f t="shared" si="43"/>
        <v>0.61698795180722887</v>
      </c>
    </row>
    <row r="651" spans="1:14" x14ac:dyDescent="0.3">
      <c r="A651" s="9" t="s">
        <v>737</v>
      </c>
      <c r="B651" s="9" t="s">
        <v>733</v>
      </c>
      <c r="C651" s="9" t="s">
        <v>39</v>
      </c>
      <c r="D651" s="9" t="s">
        <v>25</v>
      </c>
      <c r="E651" s="9">
        <v>1</v>
      </c>
      <c r="F651" s="11">
        <v>34700</v>
      </c>
      <c r="G651" s="9" t="str">
        <f>INDEX(Products!$B$2:$B$9,MATCH(D651,Products!$A$2:$A$9,0))</f>
        <v>Trà hoa đậu biếc</v>
      </c>
      <c r="H651" s="9" t="str">
        <f>INDEX(Products!$C$2:$C$9,MATCH(D651,Products!$A$2:$A$9,0))</f>
        <v>An thần</v>
      </c>
      <c r="I651" s="11">
        <f>INDEX(Products!$D$2:$D$9,MATCH(D651,Products!$A$2:$A$9,0))</f>
        <v>8800</v>
      </c>
      <c r="J651" s="10">
        <f>IFERROR(INDEX(PlatformFees!$C$2:$C$5,MATCH(C651,PlatformFees!$A$2:$A$5,0)),0)</f>
        <v>0</v>
      </c>
      <c r="K651" s="11">
        <f t="shared" si="40"/>
        <v>8800</v>
      </c>
      <c r="L651" s="11">
        <f t="shared" si="41"/>
        <v>0</v>
      </c>
      <c r="M651" s="11">
        <f t="shared" si="42"/>
        <v>25900</v>
      </c>
      <c r="N651" s="10">
        <f t="shared" si="43"/>
        <v>0.74639769452449567</v>
      </c>
    </row>
    <row r="652" spans="1:14" x14ac:dyDescent="0.3">
      <c r="A652" s="9" t="s">
        <v>738</v>
      </c>
      <c r="B652" s="9" t="s">
        <v>733</v>
      </c>
      <c r="C652" s="9" t="s">
        <v>38</v>
      </c>
      <c r="D652" s="9" t="s">
        <v>22</v>
      </c>
      <c r="E652" s="9">
        <v>1</v>
      </c>
      <c r="F652" s="11">
        <v>35500</v>
      </c>
      <c r="G652" s="9" t="str">
        <f>INDEX(Products!$B$2:$B$9,MATCH(D652,Products!$A$2:$A$9,0))</f>
        <v>Trà hoa cúc an thần</v>
      </c>
      <c r="H652" s="9" t="str">
        <f>INDEX(Products!$C$2:$C$9,MATCH(D652,Products!$A$2:$A$9,0))</f>
        <v>An thần</v>
      </c>
      <c r="I652" s="11">
        <f>INDEX(Products!$D$2:$D$9,MATCH(D652,Products!$A$2:$A$9,0))</f>
        <v>9500</v>
      </c>
      <c r="J652" s="10">
        <f>IFERROR(INDEX(PlatformFees!$C$2:$C$5,MATCH(C652,PlatformFees!$A$2:$A$5,0)),0)</f>
        <v>0.16</v>
      </c>
      <c r="K652" s="11">
        <f t="shared" si="40"/>
        <v>9500</v>
      </c>
      <c r="L652" s="11">
        <f t="shared" si="41"/>
        <v>5680</v>
      </c>
      <c r="M652" s="11">
        <f t="shared" si="42"/>
        <v>20320</v>
      </c>
      <c r="N652" s="10">
        <f t="shared" si="43"/>
        <v>0.57239436619718309</v>
      </c>
    </row>
    <row r="653" spans="1:14" x14ac:dyDescent="0.3">
      <c r="A653" s="9" t="s">
        <v>739</v>
      </c>
      <c r="B653" s="9" t="s">
        <v>733</v>
      </c>
      <c r="C653" s="9" t="s">
        <v>36</v>
      </c>
      <c r="D653" s="9" t="s">
        <v>15</v>
      </c>
      <c r="E653" s="9">
        <v>3</v>
      </c>
      <c r="F653" s="11">
        <v>89800</v>
      </c>
      <c r="G653" s="9" t="str">
        <f>INDEX(Products!$B$2:$B$9,MATCH(D653,Products!$A$2:$A$9,0))</f>
        <v>Trà lá nam sen ổi</v>
      </c>
      <c r="H653" s="9" t="str">
        <f>INDEX(Products!$C$2:$C$9,MATCH(D653,Products!$A$2:$A$9,0))</f>
        <v>Thanh lọc</v>
      </c>
      <c r="I653" s="11">
        <f>INDEX(Products!$D$2:$D$9,MATCH(D653,Products!$A$2:$A$9,0))</f>
        <v>8500</v>
      </c>
      <c r="J653" s="10">
        <f>IFERROR(INDEX(PlatformFees!$C$2:$C$5,MATCH(C653,PlatformFees!$A$2:$A$5,0)),0)</f>
        <v>0.13</v>
      </c>
      <c r="K653" s="11">
        <f t="shared" si="40"/>
        <v>25500</v>
      </c>
      <c r="L653" s="11">
        <f t="shared" si="41"/>
        <v>11674</v>
      </c>
      <c r="M653" s="11">
        <f t="shared" si="42"/>
        <v>52626</v>
      </c>
      <c r="N653" s="10">
        <f t="shared" si="43"/>
        <v>0.58603563474387532</v>
      </c>
    </row>
    <row r="654" spans="1:14" x14ac:dyDescent="0.3">
      <c r="A654" s="9" t="s">
        <v>740</v>
      </c>
      <c r="B654" s="9" t="s">
        <v>733</v>
      </c>
      <c r="C654" s="9" t="s">
        <v>36</v>
      </c>
      <c r="D654" s="9" t="s">
        <v>20</v>
      </c>
      <c r="E654" s="9">
        <v>2</v>
      </c>
      <c r="F654" s="11">
        <v>105800</v>
      </c>
      <c r="G654" s="9" t="str">
        <f>INDEX(Products!$B$2:$B$9,MATCH(D654,Products!$A$2:$A$9,0))</f>
        <v>Trà cà leo gai giảm cân</v>
      </c>
      <c r="H654" s="9" t="str">
        <f>INDEX(Products!$C$2:$C$9,MATCH(D654,Products!$A$2:$A$9,0))</f>
        <v>Detox</v>
      </c>
      <c r="I654" s="11">
        <f>INDEX(Products!$D$2:$D$9,MATCH(D654,Products!$A$2:$A$9,0))</f>
        <v>15000</v>
      </c>
      <c r="J654" s="10">
        <f>IFERROR(INDEX(PlatformFees!$C$2:$C$5,MATCH(C654,PlatformFees!$A$2:$A$5,0)),0)</f>
        <v>0.13</v>
      </c>
      <c r="K654" s="11">
        <f t="shared" si="40"/>
        <v>30000</v>
      </c>
      <c r="L654" s="11">
        <f t="shared" si="41"/>
        <v>13754</v>
      </c>
      <c r="M654" s="11">
        <f t="shared" si="42"/>
        <v>62046</v>
      </c>
      <c r="N654" s="10">
        <f t="shared" si="43"/>
        <v>0.58644612476370506</v>
      </c>
    </row>
    <row r="655" spans="1:14" x14ac:dyDescent="0.3">
      <c r="A655" s="9" t="s">
        <v>741</v>
      </c>
      <c r="B655" s="9" t="s">
        <v>733</v>
      </c>
      <c r="C655" s="9" t="s">
        <v>36</v>
      </c>
      <c r="D655" s="9" t="s">
        <v>22</v>
      </c>
      <c r="E655" s="9">
        <v>3</v>
      </c>
      <c r="F655" s="11">
        <v>116400</v>
      </c>
      <c r="G655" s="9" t="str">
        <f>INDEX(Products!$B$2:$B$9,MATCH(D655,Products!$A$2:$A$9,0))</f>
        <v>Trà hoa cúc an thần</v>
      </c>
      <c r="H655" s="9" t="str">
        <f>INDEX(Products!$C$2:$C$9,MATCH(D655,Products!$A$2:$A$9,0))</f>
        <v>An thần</v>
      </c>
      <c r="I655" s="11">
        <f>INDEX(Products!$D$2:$D$9,MATCH(D655,Products!$A$2:$A$9,0))</f>
        <v>9500</v>
      </c>
      <c r="J655" s="10">
        <f>IFERROR(INDEX(PlatformFees!$C$2:$C$5,MATCH(C655,PlatformFees!$A$2:$A$5,0)),0)</f>
        <v>0.13</v>
      </c>
      <c r="K655" s="11">
        <f t="shared" si="40"/>
        <v>28500</v>
      </c>
      <c r="L655" s="11">
        <f t="shared" si="41"/>
        <v>15132</v>
      </c>
      <c r="M655" s="11">
        <f t="shared" si="42"/>
        <v>72768</v>
      </c>
      <c r="N655" s="10">
        <f t="shared" si="43"/>
        <v>0.62515463917525771</v>
      </c>
    </row>
    <row r="656" spans="1:14" x14ac:dyDescent="0.3">
      <c r="A656" s="9" t="s">
        <v>742</v>
      </c>
      <c r="B656" s="9" t="s">
        <v>733</v>
      </c>
      <c r="C656" s="9" t="s">
        <v>40</v>
      </c>
      <c r="D656" s="9" t="s">
        <v>15</v>
      </c>
      <c r="E656" s="9">
        <v>1</v>
      </c>
      <c r="F656" s="11">
        <v>31200</v>
      </c>
      <c r="G656" s="9" t="str">
        <f>INDEX(Products!$B$2:$B$9,MATCH(D656,Products!$A$2:$A$9,0))</f>
        <v>Trà lá nam sen ổi</v>
      </c>
      <c r="H656" s="9" t="str">
        <f>INDEX(Products!$C$2:$C$9,MATCH(D656,Products!$A$2:$A$9,0))</f>
        <v>Thanh lọc</v>
      </c>
      <c r="I656" s="11">
        <f>INDEX(Products!$D$2:$D$9,MATCH(D656,Products!$A$2:$A$9,0))</f>
        <v>8500</v>
      </c>
      <c r="J656" s="10">
        <f>IFERROR(INDEX(PlatformFees!$C$2:$C$5,MATCH(C656,PlatformFees!$A$2:$A$5,0)),0)</f>
        <v>0</v>
      </c>
      <c r="K656" s="11">
        <f t="shared" si="40"/>
        <v>8500</v>
      </c>
      <c r="L656" s="11">
        <f t="shared" si="41"/>
        <v>0</v>
      </c>
      <c r="M656" s="11">
        <f t="shared" si="42"/>
        <v>22700</v>
      </c>
      <c r="N656" s="10">
        <f t="shared" si="43"/>
        <v>0.72756410256410253</v>
      </c>
    </row>
    <row r="657" spans="1:14" x14ac:dyDescent="0.3">
      <c r="A657" s="9" t="s">
        <v>743</v>
      </c>
      <c r="B657" s="9" t="s">
        <v>733</v>
      </c>
      <c r="C657" s="9" t="s">
        <v>36</v>
      </c>
      <c r="D657" s="9" t="s">
        <v>17</v>
      </c>
      <c r="E657" s="9">
        <v>2</v>
      </c>
      <c r="F657" s="11">
        <v>83000</v>
      </c>
      <c r="G657" s="9" t="str">
        <f>INDEX(Products!$B$2:$B$9,MATCH(D657,Products!$A$2:$A$9,0))</f>
        <v>Trà diếp cá rau má</v>
      </c>
      <c r="H657" s="9" t="str">
        <f>INDEX(Products!$C$2:$C$9,MATCH(D657,Products!$A$2:$A$9,0))</f>
        <v>Detox</v>
      </c>
      <c r="I657" s="11">
        <f>INDEX(Products!$D$2:$D$9,MATCH(D657,Products!$A$2:$A$9,0))</f>
        <v>10500</v>
      </c>
      <c r="J657" s="10">
        <f>IFERROR(INDEX(PlatformFees!$C$2:$C$5,MATCH(C657,PlatformFees!$A$2:$A$5,0)),0)</f>
        <v>0.13</v>
      </c>
      <c r="K657" s="11">
        <f t="shared" si="40"/>
        <v>21000</v>
      </c>
      <c r="L657" s="11">
        <f t="shared" si="41"/>
        <v>10790</v>
      </c>
      <c r="M657" s="11">
        <f t="shared" si="42"/>
        <v>51210</v>
      </c>
      <c r="N657" s="10">
        <f t="shared" si="43"/>
        <v>0.61698795180722887</v>
      </c>
    </row>
    <row r="658" spans="1:14" x14ac:dyDescent="0.3">
      <c r="A658" s="9" t="s">
        <v>744</v>
      </c>
      <c r="B658" s="9" t="s">
        <v>733</v>
      </c>
      <c r="C658" s="9" t="s">
        <v>39</v>
      </c>
      <c r="D658" s="9" t="s">
        <v>30</v>
      </c>
      <c r="E658" s="9">
        <v>2</v>
      </c>
      <c r="F658" s="11">
        <v>67300</v>
      </c>
      <c r="G658" s="9" t="str">
        <f>INDEX(Products!$B$2:$B$9,MATCH(D658,Products!$A$2:$A$9,0))</f>
        <v>Trà mâm xôi vitamin</v>
      </c>
      <c r="H658" s="9" t="str">
        <f>INDEX(Products!$C$2:$C$9,MATCH(D658,Products!$A$2:$A$9,0))</f>
        <v>Bổ sung dưỡng chất</v>
      </c>
      <c r="I658" s="11">
        <f>INDEX(Products!$D$2:$D$9,MATCH(D658,Products!$A$2:$A$9,0))</f>
        <v>9800</v>
      </c>
      <c r="J658" s="10">
        <f>IFERROR(INDEX(PlatformFees!$C$2:$C$5,MATCH(C658,PlatformFees!$A$2:$A$5,0)),0)</f>
        <v>0</v>
      </c>
      <c r="K658" s="11">
        <f t="shared" si="40"/>
        <v>19600</v>
      </c>
      <c r="L658" s="11">
        <f t="shared" si="41"/>
        <v>0</v>
      </c>
      <c r="M658" s="11">
        <f t="shared" si="42"/>
        <v>47700</v>
      </c>
      <c r="N658" s="10">
        <f t="shared" si="43"/>
        <v>0.70876671619613674</v>
      </c>
    </row>
    <row r="659" spans="1:14" x14ac:dyDescent="0.3">
      <c r="A659" s="9" t="s">
        <v>745</v>
      </c>
      <c r="B659" s="9" t="s">
        <v>733</v>
      </c>
      <c r="C659" s="9" t="s">
        <v>39</v>
      </c>
      <c r="D659" s="9" t="s">
        <v>30</v>
      </c>
      <c r="E659" s="9">
        <v>2</v>
      </c>
      <c r="F659" s="11">
        <v>71400</v>
      </c>
      <c r="G659" s="9" t="str">
        <f>INDEX(Products!$B$2:$B$9,MATCH(D659,Products!$A$2:$A$9,0))</f>
        <v>Trà mâm xôi vitamin</v>
      </c>
      <c r="H659" s="9" t="str">
        <f>INDEX(Products!$C$2:$C$9,MATCH(D659,Products!$A$2:$A$9,0))</f>
        <v>Bổ sung dưỡng chất</v>
      </c>
      <c r="I659" s="11">
        <f>INDEX(Products!$D$2:$D$9,MATCH(D659,Products!$A$2:$A$9,0))</f>
        <v>9800</v>
      </c>
      <c r="J659" s="10">
        <f>IFERROR(INDEX(PlatformFees!$C$2:$C$5,MATCH(C659,PlatformFees!$A$2:$A$5,0)),0)</f>
        <v>0</v>
      </c>
      <c r="K659" s="11">
        <f t="shared" si="40"/>
        <v>19600</v>
      </c>
      <c r="L659" s="11">
        <f t="shared" si="41"/>
        <v>0</v>
      </c>
      <c r="M659" s="11">
        <f t="shared" si="42"/>
        <v>51800</v>
      </c>
      <c r="N659" s="10">
        <f t="shared" si="43"/>
        <v>0.72549019607843135</v>
      </c>
    </row>
    <row r="660" spans="1:14" x14ac:dyDescent="0.3">
      <c r="A660" s="9" t="s">
        <v>746</v>
      </c>
      <c r="B660" s="9" t="s">
        <v>733</v>
      </c>
      <c r="C660" s="9" t="s">
        <v>36</v>
      </c>
      <c r="D660" s="9" t="s">
        <v>20</v>
      </c>
      <c r="E660" s="9">
        <v>3</v>
      </c>
      <c r="F660" s="11">
        <v>167000</v>
      </c>
      <c r="G660" s="9" t="str">
        <f>INDEX(Products!$B$2:$B$9,MATCH(D660,Products!$A$2:$A$9,0))</f>
        <v>Trà cà leo gai giảm cân</v>
      </c>
      <c r="H660" s="9" t="str">
        <f>INDEX(Products!$C$2:$C$9,MATCH(D660,Products!$A$2:$A$9,0))</f>
        <v>Detox</v>
      </c>
      <c r="I660" s="11">
        <f>INDEX(Products!$D$2:$D$9,MATCH(D660,Products!$A$2:$A$9,0))</f>
        <v>15000</v>
      </c>
      <c r="J660" s="10">
        <f>IFERROR(INDEX(PlatformFees!$C$2:$C$5,MATCH(C660,PlatformFees!$A$2:$A$5,0)),0)</f>
        <v>0.13</v>
      </c>
      <c r="K660" s="11">
        <f t="shared" si="40"/>
        <v>45000</v>
      </c>
      <c r="L660" s="11">
        <f t="shared" si="41"/>
        <v>21710</v>
      </c>
      <c r="M660" s="11">
        <f t="shared" si="42"/>
        <v>100290</v>
      </c>
      <c r="N660" s="10">
        <f t="shared" si="43"/>
        <v>0.6005389221556886</v>
      </c>
    </row>
    <row r="661" spans="1:14" x14ac:dyDescent="0.3">
      <c r="A661" s="9" t="s">
        <v>747</v>
      </c>
      <c r="B661" s="9" t="s">
        <v>733</v>
      </c>
      <c r="C661" s="9" t="s">
        <v>38</v>
      </c>
      <c r="D661" s="9" t="s">
        <v>12</v>
      </c>
      <c r="E661" s="9">
        <v>1</v>
      </c>
      <c r="F661" s="11">
        <v>35300</v>
      </c>
      <c r="G661" s="9" t="str">
        <f>INDEX(Products!$B$2:$B$9,MATCH(D661,Products!$A$2:$A$9,0))</f>
        <v>Trà atiso thanh lọc</v>
      </c>
      <c r="H661" s="9" t="str">
        <f>INDEX(Products!$C$2:$C$9,MATCH(D661,Products!$A$2:$A$9,0))</f>
        <v>Thanh lọc</v>
      </c>
      <c r="I661" s="11">
        <f>INDEX(Products!$D$2:$D$9,MATCH(D661,Products!$A$2:$A$9,0))</f>
        <v>9000</v>
      </c>
      <c r="J661" s="10">
        <f>IFERROR(INDEX(PlatformFees!$C$2:$C$5,MATCH(C661,PlatformFees!$A$2:$A$5,0)),0)</f>
        <v>0.16</v>
      </c>
      <c r="K661" s="11">
        <f t="shared" si="40"/>
        <v>9000</v>
      </c>
      <c r="L661" s="11">
        <f t="shared" si="41"/>
        <v>5648</v>
      </c>
      <c r="M661" s="11">
        <f t="shared" si="42"/>
        <v>20652</v>
      </c>
      <c r="N661" s="10">
        <f t="shared" si="43"/>
        <v>0.58504249291784705</v>
      </c>
    </row>
    <row r="662" spans="1:14" x14ac:dyDescent="0.3">
      <c r="A662" s="9" t="s">
        <v>748</v>
      </c>
      <c r="B662" s="9" t="s">
        <v>733</v>
      </c>
      <c r="C662" s="9" t="s">
        <v>36</v>
      </c>
      <c r="D662" s="9" t="s">
        <v>12</v>
      </c>
      <c r="E662" s="9">
        <v>1</v>
      </c>
      <c r="F662" s="11">
        <v>34300</v>
      </c>
      <c r="G662" s="9" t="str">
        <f>INDEX(Products!$B$2:$B$9,MATCH(D662,Products!$A$2:$A$9,0))</f>
        <v>Trà atiso thanh lọc</v>
      </c>
      <c r="H662" s="9" t="str">
        <f>INDEX(Products!$C$2:$C$9,MATCH(D662,Products!$A$2:$A$9,0))</f>
        <v>Thanh lọc</v>
      </c>
      <c r="I662" s="11">
        <f>INDEX(Products!$D$2:$D$9,MATCH(D662,Products!$A$2:$A$9,0))</f>
        <v>9000</v>
      </c>
      <c r="J662" s="10">
        <f>IFERROR(INDEX(PlatformFees!$C$2:$C$5,MATCH(C662,PlatformFees!$A$2:$A$5,0)),0)</f>
        <v>0.13</v>
      </c>
      <c r="K662" s="11">
        <f t="shared" si="40"/>
        <v>9000</v>
      </c>
      <c r="L662" s="11">
        <f t="shared" si="41"/>
        <v>4459</v>
      </c>
      <c r="M662" s="11">
        <f t="shared" si="42"/>
        <v>20841</v>
      </c>
      <c r="N662" s="10">
        <f t="shared" si="43"/>
        <v>0.60760932944606416</v>
      </c>
    </row>
    <row r="663" spans="1:14" x14ac:dyDescent="0.3">
      <c r="A663" s="9" t="s">
        <v>749</v>
      </c>
      <c r="B663" s="9" t="s">
        <v>733</v>
      </c>
      <c r="C663" s="9" t="s">
        <v>36</v>
      </c>
      <c r="D663" s="9" t="s">
        <v>20</v>
      </c>
      <c r="E663" s="9">
        <v>3</v>
      </c>
      <c r="F663" s="11">
        <v>165800</v>
      </c>
      <c r="G663" s="9" t="str">
        <f>INDEX(Products!$B$2:$B$9,MATCH(D663,Products!$A$2:$A$9,0))</f>
        <v>Trà cà leo gai giảm cân</v>
      </c>
      <c r="H663" s="9" t="str">
        <f>INDEX(Products!$C$2:$C$9,MATCH(D663,Products!$A$2:$A$9,0))</f>
        <v>Detox</v>
      </c>
      <c r="I663" s="11">
        <f>INDEX(Products!$D$2:$D$9,MATCH(D663,Products!$A$2:$A$9,0))</f>
        <v>15000</v>
      </c>
      <c r="J663" s="10">
        <f>IFERROR(INDEX(PlatformFees!$C$2:$C$5,MATCH(C663,PlatformFees!$A$2:$A$5,0)),0)</f>
        <v>0.13</v>
      </c>
      <c r="K663" s="11">
        <f t="shared" si="40"/>
        <v>45000</v>
      </c>
      <c r="L663" s="11">
        <f t="shared" si="41"/>
        <v>21554</v>
      </c>
      <c r="M663" s="11">
        <f t="shared" si="42"/>
        <v>99246</v>
      </c>
      <c r="N663" s="10">
        <f t="shared" si="43"/>
        <v>0.5985886610373945</v>
      </c>
    </row>
    <row r="664" spans="1:14" x14ac:dyDescent="0.3">
      <c r="A664" s="9" t="s">
        <v>750</v>
      </c>
      <c r="B664" s="9" t="s">
        <v>733</v>
      </c>
      <c r="C664" s="9" t="s">
        <v>38</v>
      </c>
      <c r="D664" s="9" t="s">
        <v>20</v>
      </c>
      <c r="E664" s="9">
        <v>2</v>
      </c>
      <c r="F664" s="11">
        <v>102600</v>
      </c>
      <c r="G664" s="9" t="str">
        <f>INDEX(Products!$B$2:$B$9,MATCH(D664,Products!$A$2:$A$9,0))</f>
        <v>Trà cà leo gai giảm cân</v>
      </c>
      <c r="H664" s="9" t="str">
        <f>INDEX(Products!$C$2:$C$9,MATCH(D664,Products!$A$2:$A$9,0))</f>
        <v>Detox</v>
      </c>
      <c r="I664" s="11">
        <f>INDEX(Products!$D$2:$D$9,MATCH(D664,Products!$A$2:$A$9,0))</f>
        <v>15000</v>
      </c>
      <c r="J664" s="10">
        <f>IFERROR(INDEX(PlatformFees!$C$2:$C$5,MATCH(C664,PlatformFees!$A$2:$A$5,0)),0)</f>
        <v>0.16</v>
      </c>
      <c r="K664" s="11">
        <f t="shared" si="40"/>
        <v>30000</v>
      </c>
      <c r="L664" s="11">
        <f t="shared" si="41"/>
        <v>16416</v>
      </c>
      <c r="M664" s="11">
        <f t="shared" si="42"/>
        <v>56184</v>
      </c>
      <c r="N664" s="10">
        <f t="shared" si="43"/>
        <v>0.54760233918128653</v>
      </c>
    </row>
    <row r="665" spans="1:14" x14ac:dyDescent="0.3">
      <c r="A665" s="9" t="s">
        <v>751</v>
      </c>
      <c r="B665" s="9" t="s">
        <v>733</v>
      </c>
      <c r="C665" s="9" t="s">
        <v>39</v>
      </c>
      <c r="D665" s="9" t="s">
        <v>27</v>
      </c>
      <c r="E665" s="9">
        <v>1</v>
      </c>
      <c r="F665" s="11">
        <v>39200</v>
      </c>
      <c r="G665" s="9" t="str">
        <f>INDEX(Products!$B$2:$B$9,MATCH(D665,Products!$A$2:$A$9,0))</f>
        <v>Trà gừng mật ong</v>
      </c>
      <c r="H665" s="9" t="str">
        <f>INDEX(Products!$C$2:$C$9,MATCH(D665,Products!$A$2:$A$9,0))</f>
        <v>Giữ ấm</v>
      </c>
      <c r="I665" s="11">
        <f>INDEX(Products!$D$2:$D$9,MATCH(D665,Products!$A$2:$A$9,0))</f>
        <v>11000</v>
      </c>
      <c r="J665" s="10">
        <f>IFERROR(INDEX(PlatformFees!$C$2:$C$5,MATCH(C665,PlatformFees!$A$2:$A$5,0)),0)</f>
        <v>0</v>
      </c>
      <c r="K665" s="11">
        <f t="shared" si="40"/>
        <v>11000</v>
      </c>
      <c r="L665" s="11">
        <f t="shared" si="41"/>
        <v>0</v>
      </c>
      <c r="M665" s="11">
        <f t="shared" si="42"/>
        <v>28200</v>
      </c>
      <c r="N665" s="10">
        <f t="shared" si="43"/>
        <v>0.71938775510204078</v>
      </c>
    </row>
    <row r="666" spans="1:14" x14ac:dyDescent="0.3">
      <c r="A666" s="9" t="s">
        <v>752</v>
      </c>
      <c r="B666" s="9" t="s">
        <v>733</v>
      </c>
      <c r="C666" s="9" t="s">
        <v>39</v>
      </c>
      <c r="D666" s="9" t="s">
        <v>27</v>
      </c>
      <c r="E666" s="9">
        <v>2</v>
      </c>
      <c r="F666" s="11">
        <v>78400</v>
      </c>
      <c r="G666" s="9" t="str">
        <f>INDEX(Products!$B$2:$B$9,MATCH(D666,Products!$A$2:$A$9,0))</f>
        <v>Trà gừng mật ong</v>
      </c>
      <c r="H666" s="9" t="str">
        <f>INDEX(Products!$C$2:$C$9,MATCH(D666,Products!$A$2:$A$9,0))</f>
        <v>Giữ ấm</v>
      </c>
      <c r="I666" s="11">
        <f>INDEX(Products!$D$2:$D$9,MATCH(D666,Products!$A$2:$A$9,0))</f>
        <v>11000</v>
      </c>
      <c r="J666" s="10">
        <f>IFERROR(INDEX(PlatformFees!$C$2:$C$5,MATCH(C666,PlatformFees!$A$2:$A$5,0)),0)</f>
        <v>0</v>
      </c>
      <c r="K666" s="11">
        <f t="shared" si="40"/>
        <v>22000</v>
      </c>
      <c r="L666" s="11">
        <f t="shared" si="41"/>
        <v>0</v>
      </c>
      <c r="M666" s="11">
        <f t="shared" si="42"/>
        <v>56400</v>
      </c>
      <c r="N666" s="10">
        <f t="shared" si="43"/>
        <v>0.71938775510204078</v>
      </c>
    </row>
    <row r="667" spans="1:14" x14ac:dyDescent="0.3">
      <c r="A667" s="9" t="s">
        <v>753</v>
      </c>
      <c r="B667" s="9" t="s">
        <v>733</v>
      </c>
      <c r="C667" s="9" t="s">
        <v>40</v>
      </c>
      <c r="D667" s="9" t="s">
        <v>12</v>
      </c>
      <c r="E667" s="9">
        <v>3</v>
      </c>
      <c r="F667" s="11">
        <v>105300</v>
      </c>
      <c r="G667" s="9" t="str">
        <f>INDEX(Products!$B$2:$B$9,MATCH(D667,Products!$A$2:$A$9,0))</f>
        <v>Trà atiso thanh lọc</v>
      </c>
      <c r="H667" s="9" t="str">
        <f>INDEX(Products!$C$2:$C$9,MATCH(D667,Products!$A$2:$A$9,0))</f>
        <v>Thanh lọc</v>
      </c>
      <c r="I667" s="11">
        <f>INDEX(Products!$D$2:$D$9,MATCH(D667,Products!$A$2:$A$9,0))</f>
        <v>9000</v>
      </c>
      <c r="J667" s="10">
        <f>IFERROR(INDEX(PlatformFees!$C$2:$C$5,MATCH(C667,PlatformFees!$A$2:$A$5,0)),0)</f>
        <v>0</v>
      </c>
      <c r="K667" s="11">
        <f t="shared" si="40"/>
        <v>27000</v>
      </c>
      <c r="L667" s="11">
        <f t="shared" si="41"/>
        <v>0</v>
      </c>
      <c r="M667" s="11">
        <f t="shared" si="42"/>
        <v>78300</v>
      </c>
      <c r="N667" s="10">
        <f t="shared" si="43"/>
        <v>0.74358974358974361</v>
      </c>
    </row>
    <row r="668" spans="1:14" x14ac:dyDescent="0.3">
      <c r="A668" s="9" t="s">
        <v>754</v>
      </c>
      <c r="B668" s="9" t="s">
        <v>733</v>
      </c>
      <c r="C668" s="9" t="s">
        <v>36</v>
      </c>
      <c r="D668" s="9" t="s">
        <v>30</v>
      </c>
      <c r="E668" s="9">
        <v>2</v>
      </c>
      <c r="F668" s="11">
        <v>68300</v>
      </c>
      <c r="G668" s="9" t="str">
        <f>INDEX(Products!$B$2:$B$9,MATCH(D668,Products!$A$2:$A$9,0))</f>
        <v>Trà mâm xôi vitamin</v>
      </c>
      <c r="H668" s="9" t="str">
        <f>INDEX(Products!$C$2:$C$9,MATCH(D668,Products!$A$2:$A$9,0))</f>
        <v>Bổ sung dưỡng chất</v>
      </c>
      <c r="I668" s="11">
        <f>INDEX(Products!$D$2:$D$9,MATCH(D668,Products!$A$2:$A$9,0))</f>
        <v>9800</v>
      </c>
      <c r="J668" s="10">
        <f>IFERROR(INDEX(PlatformFees!$C$2:$C$5,MATCH(C668,PlatformFees!$A$2:$A$5,0)),0)</f>
        <v>0.13</v>
      </c>
      <c r="K668" s="11">
        <f t="shared" si="40"/>
        <v>19600</v>
      </c>
      <c r="L668" s="11">
        <f t="shared" si="41"/>
        <v>8879</v>
      </c>
      <c r="M668" s="11">
        <f t="shared" si="42"/>
        <v>39821</v>
      </c>
      <c r="N668" s="10">
        <f t="shared" si="43"/>
        <v>0.58303074670571009</v>
      </c>
    </row>
    <row r="669" spans="1:14" x14ac:dyDescent="0.3">
      <c r="A669" s="9" t="s">
        <v>755</v>
      </c>
      <c r="B669" s="9" t="s">
        <v>756</v>
      </c>
      <c r="C669" s="9" t="s">
        <v>36</v>
      </c>
      <c r="D669" s="9" t="s">
        <v>30</v>
      </c>
      <c r="E669" s="9">
        <v>1</v>
      </c>
      <c r="F669" s="11">
        <v>34000</v>
      </c>
      <c r="G669" s="9" t="str">
        <f>INDEX(Products!$B$2:$B$9,MATCH(D669,Products!$A$2:$A$9,0))</f>
        <v>Trà mâm xôi vitamin</v>
      </c>
      <c r="H669" s="9" t="str">
        <f>INDEX(Products!$C$2:$C$9,MATCH(D669,Products!$A$2:$A$9,0))</f>
        <v>Bổ sung dưỡng chất</v>
      </c>
      <c r="I669" s="11">
        <f>INDEX(Products!$D$2:$D$9,MATCH(D669,Products!$A$2:$A$9,0))</f>
        <v>9800</v>
      </c>
      <c r="J669" s="10">
        <f>IFERROR(INDEX(PlatformFees!$C$2:$C$5,MATCH(C669,PlatformFees!$A$2:$A$5,0)),0)</f>
        <v>0.13</v>
      </c>
      <c r="K669" s="11">
        <f t="shared" si="40"/>
        <v>9800</v>
      </c>
      <c r="L669" s="11">
        <f t="shared" si="41"/>
        <v>4420</v>
      </c>
      <c r="M669" s="11">
        <f t="shared" si="42"/>
        <v>19780</v>
      </c>
      <c r="N669" s="10">
        <f t="shared" si="43"/>
        <v>0.58176470588235296</v>
      </c>
    </row>
    <row r="670" spans="1:14" x14ac:dyDescent="0.3">
      <c r="A670" s="9" t="s">
        <v>757</v>
      </c>
      <c r="B670" s="9" t="s">
        <v>756</v>
      </c>
      <c r="C670" s="9" t="s">
        <v>39</v>
      </c>
      <c r="D670" s="9" t="s">
        <v>25</v>
      </c>
      <c r="E670" s="9">
        <v>3</v>
      </c>
      <c r="F670" s="11">
        <v>100700</v>
      </c>
      <c r="G670" s="9" t="str">
        <f>INDEX(Products!$B$2:$B$9,MATCH(D670,Products!$A$2:$A$9,0))</f>
        <v>Trà hoa đậu biếc</v>
      </c>
      <c r="H670" s="9" t="str">
        <f>INDEX(Products!$C$2:$C$9,MATCH(D670,Products!$A$2:$A$9,0))</f>
        <v>An thần</v>
      </c>
      <c r="I670" s="11">
        <f>INDEX(Products!$D$2:$D$9,MATCH(D670,Products!$A$2:$A$9,0))</f>
        <v>8800</v>
      </c>
      <c r="J670" s="10">
        <f>IFERROR(INDEX(PlatformFees!$C$2:$C$5,MATCH(C670,PlatformFees!$A$2:$A$5,0)),0)</f>
        <v>0</v>
      </c>
      <c r="K670" s="11">
        <f t="shared" si="40"/>
        <v>26400</v>
      </c>
      <c r="L670" s="11">
        <f t="shared" si="41"/>
        <v>0</v>
      </c>
      <c r="M670" s="11">
        <f t="shared" si="42"/>
        <v>74300</v>
      </c>
      <c r="N670" s="10">
        <f t="shared" si="43"/>
        <v>0.73783515392254218</v>
      </c>
    </row>
    <row r="671" spans="1:14" x14ac:dyDescent="0.3">
      <c r="A671" s="9" t="s">
        <v>758</v>
      </c>
      <c r="B671" s="9" t="s">
        <v>756</v>
      </c>
      <c r="C671" s="9" t="s">
        <v>36</v>
      </c>
      <c r="D671" s="9" t="s">
        <v>22</v>
      </c>
      <c r="E671" s="9">
        <v>1</v>
      </c>
      <c r="F671" s="11">
        <v>38400</v>
      </c>
      <c r="G671" s="9" t="str">
        <f>INDEX(Products!$B$2:$B$9,MATCH(D671,Products!$A$2:$A$9,0))</f>
        <v>Trà hoa cúc an thần</v>
      </c>
      <c r="H671" s="9" t="str">
        <f>INDEX(Products!$C$2:$C$9,MATCH(D671,Products!$A$2:$A$9,0))</f>
        <v>An thần</v>
      </c>
      <c r="I671" s="11">
        <f>INDEX(Products!$D$2:$D$9,MATCH(D671,Products!$A$2:$A$9,0))</f>
        <v>9500</v>
      </c>
      <c r="J671" s="10">
        <f>IFERROR(INDEX(PlatformFees!$C$2:$C$5,MATCH(C671,PlatformFees!$A$2:$A$5,0)),0)</f>
        <v>0.13</v>
      </c>
      <c r="K671" s="11">
        <f t="shared" si="40"/>
        <v>9500</v>
      </c>
      <c r="L671" s="11">
        <f t="shared" si="41"/>
        <v>4992</v>
      </c>
      <c r="M671" s="11">
        <f t="shared" si="42"/>
        <v>23908</v>
      </c>
      <c r="N671" s="10">
        <f t="shared" si="43"/>
        <v>0.62260416666666663</v>
      </c>
    </row>
    <row r="672" spans="1:14" x14ac:dyDescent="0.3">
      <c r="A672" s="9" t="s">
        <v>759</v>
      </c>
      <c r="B672" s="9" t="s">
        <v>756</v>
      </c>
      <c r="C672" s="9" t="s">
        <v>39</v>
      </c>
      <c r="D672" s="9" t="s">
        <v>22</v>
      </c>
      <c r="E672" s="9">
        <v>2</v>
      </c>
      <c r="F672" s="11">
        <v>72300</v>
      </c>
      <c r="G672" s="9" t="str">
        <f>INDEX(Products!$B$2:$B$9,MATCH(D672,Products!$A$2:$A$9,0))</f>
        <v>Trà hoa cúc an thần</v>
      </c>
      <c r="H672" s="9" t="str">
        <f>INDEX(Products!$C$2:$C$9,MATCH(D672,Products!$A$2:$A$9,0))</f>
        <v>An thần</v>
      </c>
      <c r="I672" s="11">
        <f>INDEX(Products!$D$2:$D$9,MATCH(D672,Products!$A$2:$A$9,0))</f>
        <v>9500</v>
      </c>
      <c r="J672" s="10">
        <f>IFERROR(INDEX(PlatformFees!$C$2:$C$5,MATCH(C672,PlatformFees!$A$2:$A$5,0)),0)</f>
        <v>0</v>
      </c>
      <c r="K672" s="11">
        <f t="shared" si="40"/>
        <v>19000</v>
      </c>
      <c r="L672" s="11">
        <f t="shared" si="41"/>
        <v>0</v>
      </c>
      <c r="M672" s="11">
        <f t="shared" si="42"/>
        <v>53300</v>
      </c>
      <c r="N672" s="10">
        <f t="shared" si="43"/>
        <v>0.73720608575380364</v>
      </c>
    </row>
    <row r="673" spans="1:14" x14ac:dyDescent="0.3">
      <c r="A673" s="9" t="s">
        <v>760</v>
      </c>
      <c r="B673" s="9" t="s">
        <v>756</v>
      </c>
      <c r="C673" s="9" t="s">
        <v>38</v>
      </c>
      <c r="D673" s="9" t="s">
        <v>17</v>
      </c>
      <c r="E673" s="9">
        <v>3</v>
      </c>
      <c r="F673" s="11">
        <v>120000</v>
      </c>
      <c r="G673" s="9" t="str">
        <f>INDEX(Products!$B$2:$B$9,MATCH(D673,Products!$A$2:$A$9,0))</f>
        <v>Trà diếp cá rau má</v>
      </c>
      <c r="H673" s="9" t="str">
        <f>INDEX(Products!$C$2:$C$9,MATCH(D673,Products!$A$2:$A$9,0))</f>
        <v>Detox</v>
      </c>
      <c r="I673" s="11">
        <f>INDEX(Products!$D$2:$D$9,MATCH(D673,Products!$A$2:$A$9,0))</f>
        <v>10500</v>
      </c>
      <c r="J673" s="10">
        <f>IFERROR(INDEX(PlatformFees!$C$2:$C$5,MATCH(C673,PlatformFees!$A$2:$A$5,0)),0)</f>
        <v>0.16</v>
      </c>
      <c r="K673" s="11">
        <f t="shared" si="40"/>
        <v>31500</v>
      </c>
      <c r="L673" s="11">
        <f t="shared" si="41"/>
        <v>19200</v>
      </c>
      <c r="M673" s="11">
        <f t="shared" si="42"/>
        <v>69300</v>
      </c>
      <c r="N673" s="10">
        <f t="shared" si="43"/>
        <v>0.57750000000000001</v>
      </c>
    </row>
    <row r="674" spans="1:14" x14ac:dyDescent="0.3">
      <c r="A674" s="9" t="s">
        <v>761</v>
      </c>
      <c r="B674" s="9" t="s">
        <v>756</v>
      </c>
      <c r="C674" s="9" t="s">
        <v>38</v>
      </c>
      <c r="D674" s="9" t="s">
        <v>30</v>
      </c>
      <c r="E674" s="9">
        <v>2</v>
      </c>
      <c r="F674" s="11">
        <v>74000</v>
      </c>
      <c r="G674" s="9" t="str">
        <f>INDEX(Products!$B$2:$B$9,MATCH(D674,Products!$A$2:$A$9,0))</f>
        <v>Trà mâm xôi vitamin</v>
      </c>
      <c r="H674" s="9" t="str">
        <f>INDEX(Products!$C$2:$C$9,MATCH(D674,Products!$A$2:$A$9,0))</f>
        <v>Bổ sung dưỡng chất</v>
      </c>
      <c r="I674" s="11">
        <f>INDEX(Products!$D$2:$D$9,MATCH(D674,Products!$A$2:$A$9,0))</f>
        <v>9800</v>
      </c>
      <c r="J674" s="10">
        <f>IFERROR(INDEX(PlatformFees!$C$2:$C$5,MATCH(C674,PlatformFees!$A$2:$A$5,0)),0)</f>
        <v>0.16</v>
      </c>
      <c r="K674" s="11">
        <f t="shared" si="40"/>
        <v>19600</v>
      </c>
      <c r="L674" s="11">
        <f t="shared" si="41"/>
        <v>11840</v>
      </c>
      <c r="M674" s="11">
        <f t="shared" si="42"/>
        <v>42560</v>
      </c>
      <c r="N674" s="10">
        <f t="shared" si="43"/>
        <v>0.57513513513513514</v>
      </c>
    </row>
    <row r="675" spans="1:14" x14ac:dyDescent="0.3">
      <c r="A675" s="9" t="s">
        <v>762</v>
      </c>
      <c r="B675" s="9" t="s">
        <v>756</v>
      </c>
      <c r="C675" s="9" t="s">
        <v>38</v>
      </c>
      <c r="D675" s="9" t="s">
        <v>12</v>
      </c>
      <c r="E675" s="9">
        <v>2</v>
      </c>
      <c r="F675" s="11">
        <v>71500</v>
      </c>
      <c r="G675" s="9" t="str">
        <f>INDEX(Products!$B$2:$B$9,MATCH(D675,Products!$A$2:$A$9,0))</f>
        <v>Trà atiso thanh lọc</v>
      </c>
      <c r="H675" s="9" t="str">
        <f>INDEX(Products!$C$2:$C$9,MATCH(D675,Products!$A$2:$A$9,0))</f>
        <v>Thanh lọc</v>
      </c>
      <c r="I675" s="11">
        <f>INDEX(Products!$D$2:$D$9,MATCH(D675,Products!$A$2:$A$9,0))</f>
        <v>9000</v>
      </c>
      <c r="J675" s="10">
        <f>IFERROR(INDEX(PlatformFees!$C$2:$C$5,MATCH(C675,PlatformFees!$A$2:$A$5,0)),0)</f>
        <v>0.16</v>
      </c>
      <c r="K675" s="11">
        <f t="shared" si="40"/>
        <v>18000</v>
      </c>
      <c r="L675" s="11">
        <f t="shared" si="41"/>
        <v>11440</v>
      </c>
      <c r="M675" s="11">
        <f t="shared" si="42"/>
        <v>42060</v>
      </c>
      <c r="N675" s="10">
        <f t="shared" si="43"/>
        <v>0.5882517482517482</v>
      </c>
    </row>
    <row r="676" spans="1:14" x14ac:dyDescent="0.3">
      <c r="A676" s="9" t="s">
        <v>763</v>
      </c>
      <c r="B676" s="9" t="s">
        <v>756</v>
      </c>
      <c r="C676" s="9" t="s">
        <v>40</v>
      </c>
      <c r="D676" s="9" t="s">
        <v>30</v>
      </c>
      <c r="E676" s="9">
        <v>1</v>
      </c>
      <c r="F676" s="11">
        <v>35900</v>
      </c>
      <c r="G676" s="9" t="str">
        <f>INDEX(Products!$B$2:$B$9,MATCH(D676,Products!$A$2:$A$9,0))</f>
        <v>Trà mâm xôi vitamin</v>
      </c>
      <c r="H676" s="9" t="str">
        <f>INDEX(Products!$C$2:$C$9,MATCH(D676,Products!$A$2:$A$9,0))</f>
        <v>Bổ sung dưỡng chất</v>
      </c>
      <c r="I676" s="11">
        <f>INDEX(Products!$D$2:$D$9,MATCH(D676,Products!$A$2:$A$9,0))</f>
        <v>9800</v>
      </c>
      <c r="J676" s="10">
        <f>IFERROR(INDEX(PlatformFees!$C$2:$C$5,MATCH(C676,PlatformFees!$A$2:$A$5,0)),0)</f>
        <v>0</v>
      </c>
      <c r="K676" s="11">
        <f t="shared" si="40"/>
        <v>9800</v>
      </c>
      <c r="L676" s="11">
        <f t="shared" si="41"/>
        <v>0</v>
      </c>
      <c r="M676" s="11">
        <f t="shared" si="42"/>
        <v>26100</v>
      </c>
      <c r="N676" s="10">
        <f t="shared" si="43"/>
        <v>0.72701949860724235</v>
      </c>
    </row>
    <row r="677" spans="1:14" x14ac:dyDescent="0.3">
      <c r="A677" s="9" t="s">
        <v>764</v>
      </c>
      <c r="B677" s="9" t="s">
        <v>756</v>
      </c>
      <c r="C677" s="9" t="s">
        <v>36</v>
      </c>
      <c r="D677" s="9" t="s">
        <v>15</v>
      </c>
      <c r="E677" s="9">
        <v>1</v>
      </c>
      <c r="F677" s="11">
        <v>32400</v>
      </c>
      <c r="G677" s="9" t="str">
        <f>INDEX(Products!$B$2:$B$9,MATCH(D677,Products!$A$2:$A$9,0))</f>
        <v>Trà lá nam sen ổi</v>
      </c>
      <c r="H677" s="9" t="str">
        <f>INDEX(Products!$C$2:$C$9,MATCH(D677,Products!$A$2:$A$9,0))</f>
        <v>Thanh lọc</v>
      </c>
      <c r="I677" s="11">
        <f>INDEX(Products!$D$2:$D$9,MATCH(D677,Products!$A$2:$A$9,0))</f>
        <v>8500</v>
      </c>
      <c r="J677" s="10">
        <f>IFERROR(INDEX(PlatformFees!$C$2:$C$5,MATCH(C677,PlatformFees!$A$2:$A$5,0)),0)</f>
        <v>0.13</v>
      </c>
      <c r="K677" s="11">
        <f t="shared" si="40"/>
        <v>8500</v>
      </c>
      <c r="L677" s="11">
        <f t="shared" si="41"/>
        <v>4212</v>
      </c>
      <c r="M677" s="11">
        <f t="shared" si="42"/>
        <v>19688</v>
      </c>
      <c r="N677" s="10">
        <f t="shared" si="43"/>
        <v>0.60765432098765437</v>
      </c>
    </row>
    <row r="678" spans="1:14" x14ac:dyDescent="0.3">
      <c r="A678" s="9" t="s">
        <v>765</v>
      </c>
      <c r="B678" s="9" t="s">
        <v>756</v>
      </c>
      <c r="C678" s="9" t="s">
        <v>39</v>
      </c>
      <c r="D678" s="9" t="s">
        <v>25</v>
      </c>
      <c r="E678" s="9">
        <v>2</v>
      </c>
      <c r="F678" s="11">
        <v>63600</v>
      </c>
      <c r="G678" s="9" t="str">
        <f>INDEX(Products!$B$2:$B$9,MATCH(D678,Products!$A$2:$A$9,0))</f>
        <v>Trà hoa đậu biếc</v>
      </c>
      <c r="H678" s="9" t="str">
        <f>INDEX(Products!$C$2:$C$9,MATCH(D678,Products!$A$2:$A$9,0))</f>
        <v>An thần</v>
      </c>
      <c r="I678" s="11">
        <f>INDEX(Products!$D$2:$D$9,MATCH(D678,Products!$A$2:$A$9,0))</f>
        <v>8800</v>
      </c>
      <c r="J678" s="10">
        <f>IFERROR(INDEX(PlatformFees!$C$2:$C$5,MATCH(C678,PlatformFees!$A$2:$A$5,0)),0)</f>
        <v>0</v>
      </c>
      <c r="K678" s="11">
        <f t="shared" si="40"/>
        <v>17600</v>
      </c>
      <c r="L678" s="11">
        <f t="shared" si="41"/>
        <v>0</v>
      </c>
      <c r="M678" s="11">
        <f t="shared" si="42"/>
        <v>46000</v>
      </c>
      <c r="N678" s="10">
        <f t="shared" si="43"/>
        <v>0.72327044025157228</v>
      </c>
    </row>
    <row r="679" spans="1:14" x14ac:dyDescent="0.3">
      <c r="A679" s="9" t="s">
        <v>766</v>
      </c>
      <c r="B679" s="9" t="s">
        <v>756</v>
      </c>
      <c r="C679" s="9" t="s">
        <v>38</v>
      </c>
      <c r="D679" s="9" t="s">
        <v>22</v>
      </c>
      <c r="E679" s="9">
        <v>2</v>
      </c>
      <c r="F679" s="11">
        <v>73700</v>
      </c>
      <c r="G679" s="9" t="str">
        <f>INDEX(Products!$B$2:$B$9,MATCH(D679,Products!$A$2:$A$9,0))</f>
        <v>Trà hoa cúc an thần</v>
      </c>
      <c r="H679" s="9" t="str">
        <f>INDEX(Products!$C$2:$C$9,MATCH(D679,Products!$A$2:$A$9,0))</f>
        <v>An thần</v>
      </c>
      <c r="I679" s="11">
        <f>INDEX(Products!$D$2:$D$9,MATCH(D679,Products!$A$2:$A$9,0))</f>
        <v>9500</v>
      </c>
      <c r="J679" s="10">
        <f>IFERROR(INDEX(PlatformFees!$C$2:$C$5,MATCH(C679,PlatformFees!$A$2:$A$5,0)),0)</f>
        <v>0.16</v>
      </c>
      <c r="K679" s="11">
        <f t="shared" si="40"/>
        <v>19000</v>
      </c>
      <c r="L679" s="11">
        <f t="shared" si="41"/>
        <v>11792</v>
      </c>
      <c r="M679" s="11">
        <f t="shared" si="42"/>
        <v>42908</v>
      </c>
      <c r="N679" s="10">
        <f t="shared" si="43"/>
        <v>0.58219810040705566</v>
      </c>
    </row>
    <row r="680" spans="1:14" x14ac:dyDescent="0.3">
      <c r="A680" s="9" t="s">
        <v>767</v>
      </c>
      <c r="B680" s="9" t="s">
        <v>768</v>
      </c>
      <c r="C680" s="9" t="s">
        <v>39</v>
      </c>
      <c r="D680" s="9" t="s">
        <v>27</v>
      </c>
      <c r="E680" s="9">
        <v>2</v>
      </c>
      <c r="F680" s="11">
        <v>78100</v>
      </c>
      <c r="G680" s="9" t="str">
        <f>INDEX(Products!$B$2:$B$9,MATCH(D680,Products!$A$2:$A$9,0))</f>
        <v>Trà gừng mật ong</v>
      </c>
      <c r="H680" s="9" t="str">
        <f>INDEX(Products!$C$2:$C$9,MATCH(D680,Products!$A$2:$A$9,0))</f>
        <v>Giữ ấm</v>
      </c>
      <c r="I680" s="11">
        <f>INDEX(Products!$D$2:$D$9,MATCH(D680,Products!$A$2:$A$9,0))</f>
        <v>11000</v>
      </c>
      <c r="J680" s="10">
        <f>IFERROR(INDEX(PlatformFees!$C$2:$C$5,MATCH(C680,PlatformFees!$A$2:$A$5,0)),0)</f>
        <v>0</v>
      </c>
      <c r="K680" s="11">
        <f t="shared" si="40"/>
        <v>22000</v>
      </c>
      <c r="L680" s="11">
        <f t="shared" si="41"/>
        <v>0</v>
      </c>
      <c r="M680" s="11">
        <f t="shared" si="42"/>
        <v>56100</v>
      </c>
      <c r="N680" s="10">
        <f t="shared" si="43"/>
        <v>0.71830985915492962</v>
      </c>
    </row>
    <row r="681" spans="1:14" x14ac:dyDescent="0.3">
      <c r="A681" s="9" t="s">
        <v>769</v>
      </c>
      <c r="B681" s="9" t="s">
        <v>768</v>
      </c>
      <c r="C681" s="9" t="s">
        <v>36</v>
      </c>
      <c r="D681" s="9" t="s">
        <v>30</v>
      </c>
      <c r="E681" s="9">
        <v>1</v>
      </c>
      <c r="F681" s="11">
        <v>34900</v>
      </c>
      <c r="G681" s="9" t="str">
        <f>INDEX(Products!$B$2:$B$9,MATCH(D681,Products!$A$2:$A$9,0))</f>
        <v>Trà mâm xôi vitamin</v>
      </c>
      <c r="H681" s="9" t="str">
        <f>INDEX(Products!$C$2:$C$9,MATCH(D681,Products!$A$2:$A$9,0))</f>
        <v>Bổ sung dưỡng chất</v>
      </c>
      <c r="I681" s="11">
        <f>INDEX(Products!$D$2:$D$9,MATCH(D681,Products!$A$2:$A$9,0))</f>
        <v>9800</v>
      </c>
      <c r="J681" s="10">
        <f>IFERROR(INDEX(PlatformFees!$C$2:$C$5,MATCH(C681,PlatformFees!$A$2:$A$5,0)),0)</f>
        <v>0.13</v>
      </c>
      <c r="K681" s="11">
        <f t="shared" si="40"/>
        <v>9800</v>
      </c>
      <c r="L681" s="11">
        <f t="shared" si="41"/>
        <v>4537</v>
      </c>
      <c r="M681" s="11">
        <f t="shared" si="42"/>
        <v>20563</v>
      </c>
      <c r="N681" s="10">
        <f t="shared" si="43"/>
        <v>0.58919770773638969</v>
      </c>
    </row>
    <row r="682" spans="1:14" x14ac:dyDescent="0.3">
      <c r="A682" s="9" t="s">
        <v>770</v>
      </c>
      <c r="B682" s="9" t="s">
        <v>768</v>
      </c>
      <c r="C682" s="9" t="s">
        <v>38</v>
      </c>
      <c r="D682" s="9" t="s">
        <v>20</v>
      </c>
      <c r="E682" s="9">
        <v>3</v>
      </c>
      <c r="F682" s="11">
        <v>153500</v>
      </c>
      <c r="G682" s="9" t="str">
        <f>INDEX(Products!$B$2:$B$9,MATCH(D682,Products!$A$2:$A$9,0))</f>
        <v>Trà cà leo gai giảm cân</v>
      </c>
      <c r="H682" s="9" t="str">
        <f>INDEX(Products!$C$2:$C$9,MATCH(D682,Products!$A$2:$A$9,0))</f>
        <v>Detox</v>
      </c>
      <c r="I682" s="11">
        <f>INDEX(Products!$D$2:$D$9,MATCH(D682,Products!$A$2:$A$9,0))</f>
        <v>15000</v>
      </c>
      <c r="J682" s="10">
        <f>IFERROR(INDEX(PlatformFees!$C$2:$C$5,MATCH(C682,PlatformFees!$A$2:$A$5,0)),0)</f>
        <v>0.16</v>
      </c>
      <c r="K682" s="11">
        <f t="shared" si="40"/>
        <v>45000</v>
      </c>
      <c r="L682" s="11">
        <f t="shared" si="41"/>
        <v>24560</v>
      </c>
      <c r="M682" s="11">
        <f t="shared" si="42"/>
        <v>83940</v>
      </c>
      <c r="N682" s="10">
        <f t="shared" si="43"/>
        <v>0.54684039087947878</v>
      </c>
    </row>
    <row r="683" spans="1:14" x14ac:dyDescent="0.3">
      <c r="A683" s="9" t="s">
        <v>771</v>
      </c>
      <c r="B683" s="9" t="s">
        <v>768</v>
      </c>
      <c r="C683" s="9" t="s">
        <v>40</v>
      </c>
      <c r="D683" s="9" t="s">
        <v>25</v>
      </c>
      <c r="E683" s="9">
        <v>3</v>
      </c>
      <c r="F683" s="11">
        <v>97900</v>
      </c>
      <c r="G683" s="9" t="str">
        <f>INDEX(Products!$B$2:$B$9,MATCH(D683,Products!$A$2:$A$9,0))</f>
        <v>Trà hoa đậu biếc</v>
      </c>
      <c r="H683" s="9" t="str">
        <f>INDEX(Products!$C$2:$C$9,MATCH(D683,Products!$A$2:$A$9,0))</f>
        <v>An thần</v>
      </c>
      <c r="I683" s="11">
        <f>INDEX(Products!$D$2:$D$9,MATCH(D683,Products!$A$2:$A$9,0))</f>
        <v>8800</v>
      </c>
      <c r="J683" s="10">
        <f>IFERROR(INDEX(PlatformFees!$C$2:$C$5,MATCH(C683,PlatformFees!$A$2:$A$5,0)),0)</f>
        <v>0</v>
      </c>
      <c r="K683" s="11">
        <f t="shared" si="40"/>
        <v>26400</v>
      </c>
      <c r="L683" s="11">
        <f t="shared" si="41"/>
        <v>0</v>
      </c>
      <c r="M683" s="11">
        <f t="shared" si="42"/>
        <v>71500</v>
      </c>
      <c r="N683" s="10">
        <f t="shared" si="43"/>
        <v>0.7303370786516854</v>
      </c>
    </row>
    <row r="684" spans="1:14" x14ac:dyDescent="0.3">
      <c r="A684" s="9" t="s">
        <v>772</v>
      </c>
      <c r="B684" s="9" t="s">
        <v>768</v>
      </c>
      <c r="C684" s="9" t="s">
        <v>36</v>
      </c>
      <c r="D684" s="9" t="s">
        <v>20</v>
      </c>
      <c r="E684" s="9">
        <v>1</v>
      </c>
      <c r="F684" s="11">
        <v>56500</v>
      </c>
      <c r="G684" s="9" t="str">
        <f>INDEX(Products!$B$2:$B$9,MATCH(D684,Products!$A$2:$A$9,0))</f>
        <v>Trà cà leo gai giảm cân</v>
      </c>
      <c r="H684" s="9" t="str">
        <f>INDEX(Products!$C$2:$C$9,MATCH(D684,Products!$A$2:$A$9,0))</f>
        <v>Detox</v>
      </c>
      <c r="I684" s="11">
        <f>INDEX(Products!$D$2:$D$9,MATCH(D684,Products!$A$2:$A$9,0))</f>
        <v>15000</v>
      </c>
      <c r="J684" s="10">
        <f>IFERROR(INDEX(PlatformFees!$C$2:$C$5,MATCH(C684,PlatformFees!$A$2:$A$5,0)),0)</f>
        <v>0.13</v>
      </c>
      <c r="K684" s="11">
        <f t="shared" si="40"/>
        <v>15000</v>
      </c>
      <c r="L684" s="11">
        <f t="shared" si="41"/>
        <v>7345</v>
      </c>
      <c r="M684" s="11">
        <f t="shared" si="42"/>
        <v>34155</v>
      </c>
      <c r="N684" s="10">
        <f t="shared" si="43"/>
        <v>0.60451327433628321</v>
      </c>
    </row>
    <row r="685" spans="1:14" x14ac:dyDescent="0.3">
      <c r="A685" s="9" t="s">
        <v>773</v>
      </c>
      <c r="B685" s="9" t="s">
        <v>768</v>
      </c>
      <c r="C685" s="9" t="s">
        <v>39</v>
      </c>
      <c r="D685" s="9" t="s">
        <v>22</v>
      </c>
      <c r="E685" s="9">
        <v>1</v>
      </c>
      <c r="F685" s="11">
        <v>38400</v>
      </c>
      <c r="G685" s="9" t="str">
        <f>INDEX(Products!$B$2:$B$9,MATCH(D685,Products!$A$2:$A$9,0))</f>
        <v>Trà hoa cúc an thần</v>
      </c>
      <c r="H685" s="9" t="str">
        <f>INDEX(Products!$C$2:$C$9,MATCH(D685,Products!$A$2:$A$9,0))</f>
        <v>An thần</v>
      </c>
      <c r="I685" s="11">
        <f>INDEX(Products!$D$2:$D$9,MATCH(D685,Products!$A$2:$A$9,0))</f>
        <v>9500</v>
      </c>
      <c r="J685" s="10">
        <f>IFERROR(INDEX(PlatformFees!$C$2:$C$5,MATCH(C685,PlatformFees!$A$2:$A$5,0)),0)</f>
        <v>0</v>
      </c>
      <c r="K685" s="11">
        <f t="shared" si="40"/>
        <v>9500</v>
      </c>
      <c r="L685" s="11">
        <f t="shared" si="41"/>
        <v>0</v>
      </c>
      <c r="M685" s="11">
        <f t="shared" si="42"/>
        <v>28900</v>
      </c>
      <c r="N685" s="10">
        <f t="shared" si="43"/>
        <v>0.75260416666666663</v>
      </c>
    </row>
    <row r="686" spans="1:14" x14ac:dyDescent="0.3">
      <c r="A686" s="9" t="s">
        <v>774</v>
      </c>
      <c r="B686" s="9" t="s">
        <v>768</v>
      </c>
      <c r="C686" s="9" t="s">
        <v>36</v>
      </c>
      <c r="D686" s="9" t="s">
        <v>20</v>
      </c>
      <c r="E686" s="9">
        <v>2</v>
      </c>
      <c r="F686" s="11">
        <v>111500</v>
      </c>
      <c r="G686" s="9" t="str">
        <f>INDEX(Products!$B$2:$B$9,MATCH(D686,Products!$A$2:$A$9,0))</f>
        <v>Trà cà leo gai giảm cân</v>
      </c>
      <c r="H686" s="9" t="str">
        <f>INDEX(Products!$C$2:$C$9,MATCH(D686,Products!$A$2:$A$9,0))</f>
        <v>Detox</v>
      </c>
      <c r="I686" s="11">
        <f>INDEX(Products!$D$2:$D$9,MATCH(D686,Products!$A$2:$A$9,0))</f>
        <v>15000</v>
      </c>
      <c r="J686" s="10">
        <f>IFERROR(INDEX(PlatformFees!$C$2:$C$5,MATCH(C686,PlatformFees!$A$2:$A$5,0)),0)</f>
        <v>0.13</v>
      </c>
      <c r="K686" s="11">
        <f t="shared" si="40"/>
        <v>30000</v>
      </c>
      <c r="L686" s="11">
        <f t="shared" si="41"/>
        <v>14495</v>
      </c>
      <c r="M686" s="11">
        <f t="shared" si="42"/>
        <v>67005</v>
      </c>
      <c r="N686" s="10">
        <f t="shared" si="43"/>
        <v>0.60094170403587444</v>
      </c>
    </row>
    <row r="687" spans="1:14" x14ac:dyDescent="0.3">
      <c r="A687" s="9" t="s">
        <v>775</v>
      </c>
      <c r="B687" s="9" t="s">
        <v>768</v>
      </c>
      <c r="C687" s="9" t="s">
        <v>39</v>
      </c>
      <c r="D687" s="9" t="s">
        <v>30</v>
      </c>
      <c r="E687" s="9">
        <v>1</v>
      </c>
      <c r="F687" s="11">
        <v>33300</v>
      </c>
      <c r="G687" s="9" t="str">
        <f>INDEX(Products!$B$2:$B$9,MATCH(D687,Products!$A$2:$A$9,0))</f>
        <v>Trà mâm xôi vitamin</v>
      </c>
      <c r="H687" s="9" t="str">
        <f>INDEX(Products!$C$2:$C$9,MATCH(D687,Products!$A$2:$A$9,0))</f>
        <v>Bổ sung dưỡng chất</v>
      </c>
      <c r="I687" s="11">
        <f>INDEX(Products!$D$2:$D$9,MATCH(D687,Products!$A$2:$A$9,0))</f>
        <v>9800</v>
      </c>
      <c r="J687" s="10">
        <f>IFERROR(INDEX(PlatformFees!$C$2:$C$5,MATCH(C687,PlatformFees!$A$2:$A$5,0)),0)</f>
        <v>0</v>
      </c>
      <c r="K687" s="11">
        <f t="shared" si="40"/>
        <v>9800</v>
      </c>
      <c r="L687" s="11">
        <f t="shared" si="41"/>
        <v>0</v>
      </c>
      <c r="M687" s="11">
        <f t="shared" si="42"/>
        <v>23500</v>
      </c>
      <c r="N687" s="10">
        <f t="shared" si="43"/>
        <v>0.70570570570570568</v>
      </c>
    </row>
    <row r="688" spans="1:14" x14ac:dyDescent="0.3">
      <c r="A688" s="9" t="s">
        <v>776</v>
      </c>
      <c r="B688" s="9" t="s">
        <v>768</v>
      </c>
      <c r="C688" s="9" t="s">
        <v>38</v>
      </c>
      <c r="D688" s="9" t="s">
        <v>27</v>
      </c>
      <c r="E688" s="9">
        <v>1</v>
      </c>
      <c r="F688" s="11">
        <v>37300</v>
      </c>
      <c r="G688" s="9" t="str">
        <f>INDEX(Products!$B$2:$B$9,MATCH(D688,Products!$A$2:$A$9,0))</f>
        <v>Trà gừng mật ong</v>
      </c>
      <c r="H688" s="9" t="str">
        <f>INDEX(Products!$C$2:$C$9,MATCH(D688,Products!$A$2:$A$9,0))</f>
        <v>Giữ ấm</v>
      </c>
      <c r="I688" s="11">
        <f>INDEX(Products!$D$2:$D$9,MATCH(D688,Products!$A$2:$A$9,0))</f>
        <v>11000</v>
      </c>
      <c r="J688" s="10">
        <f>IFERROR(INDEX(PlatformFees!$C$2:$C$5,MATCH(C688,PlatformFees!$A$2:$A$5,0)),0)</f>
        <v>0.16</v>
      </c>
      <c r="K688" s="11">
        <f t="shared" si="40"/>
        <v>11000</v>
      </c>
      <c r="L688" s="11">
        <f t="shared" si="41"/>
        <v>5968</v>
      </c>
      <c r="M688" s="11">
        <f t="shared" si="42"/>
        <v>20332</v>
      </c>
      <c r="N688" s="10">
        <f t="shared" si="43"/>
        <v>0.54509383378016085</v>
      </c>
    </row>
    <row r="689" spans="1:14" x14ac:dyDescent="0.3">
      <c r="A689" s="9" t="s">
        <v>777</v>
      </c>
      <c r="B689" s="9" t="s">
        <v>768</v>
      </c>
      <c r="C689" s="9" t="s">
        <v>39</v>
      </c>
      <c r="D689" s="9" t="s">
        <v>22</v>
      </c>
      <c r="E689" s="9">
        <v>1</v>
      </c>
      <c r="F689" s="11">
        <v>39100</v>
      </c>
      <c r="G689" s="9" t="str">
        <f>INDEX(Products!$B$2:$B$9,MATCH(D689,Products!$A$2:$A$9,0))</f>
        <v>Trà hoa cúc an thần</v>
      </c>
      <c r="H689" s="9" t="str">
        <f>INDEX(Products!$C$2:$C$9,MATCH(D689,Products!$A$2:$A$9,0))</f>
        <v>An thần</v>
      </c>
      <c r="I689" s="11">
        <f>INDEX(Products!$D$2:$D$9,MATCH(D689,Products!$A$2:$A$9,0))</f>
        <v>9500</v>
      </c>
      <c r="J689" s="10">
        <f>IFERROR(INDEX(PlatformFees!$C$2:$C$5,MATCH(C689,PlatformFees!$A$2:$A$5,0)),0)</f>
        <v>0</v>
      </c>
      <c r="K689" s="11">
        <f t="shared" si="40"/>
        <v>9500</v>
      </c>
      <c r="L689" s="11">
        <f t="shared" si="41"/>
        <v>0</v>
      </c>
      <c r="M689" s="11">
        <f t="shared" si="42"/>
        <v>29600</v>
      </c>
      <c r="N689" s="10">
        <f t="shared" si="43"/>
        <v>0.75703324808184147</v>
      </c>
    </row>
    <row r="690" spans="1:14" x14ac:dyDescent="0.3">
      <c r="A690" s="9" t="s">
        <v>778</v>
      </c>
      <c r="B690" s="9" t="s">
        <v>768</v>
      </c>
      <c r="C690" s="9" t="s">
        <v>36</v>
      </c>
      <c r="D690" s="9" t="s">
        <v>30</v>
      </c>
      <c r="E690" s="9">
        <v>1</v>
      </c>
      <c r="F690" s="11">
        <v>36600</v>
      </c>
      <c r="G690" s="9" t="str">
        <f>INDEX(Products!$B$2:$B$9,MATCH(D690,Products!$A$2:$A$9,0))</f>
        <v>Trà mâm xôi vitamin</v>
      </c>
      <c r="H690" s="9" t="str">
        <f>INDEX(Products!$C$2:$C$9,MATCH(D690,Products!$A$2:$A$9,0))</f>
        <v>Bổ sung dưỡng chất</v>
      </c>
      <c r="I690" s="11">
        <f>INDEX(Products!$D$2:$D$9,MATCH(D690,Products!$A$2:$A$9,0))</f>
        <v>9800</v>
      </c>
      <c r="J690" s="10">
        <f>IFERROR(INDEX(PlatformFees!$C$2:$C$5,MATCH(C690,PlatformFees!$A$2:$A$5,0)),0)</f>
        <v>0.13</v>
      </c>
      <c r="K690" s="11">
        <f t="shared" si="40"/>
        <v>9800</v>
      </c>
      <c r="L690" s="11">
        <f t="shared" si="41"/>
        <v>4758</v>
      </c>
      <c r="M690" s="11">
        <f t="shared" si="42"/>
        <v>22042</v>
      </c>
      <c r="N690" s="10">
        <f t="shared" si="43"/>
        <v>0.60224043715846998</v>
      </c>
    </row>
    <row r="691" spans="1:14" x14ac:dyDescent="0.3">
      <c r="A691" s="9" t="s">
        <v>779</v>
      </c>
      <c r="B691" s="9" t="s">
        <v>768</v>
      </c>
      <c r="C691" s="9" t="s">
        <v>36</v>
      </c>
      <c r="D691" s="9" t="s">
        <v>27</v>
      </c>
      <c r="E691" s="9">
        <v>1</v>
      </c>
      <c r="F691" s="11">
        <v>37200</v>
      </c>
      <c r="G691" s="9" t="str">
        <f>INDEX(Products!$B$2:$B$9,MATCH(D691,Products!$A$2:$A$9,0))</f>
        <v>Trà gừng mật ong</v>
      </c>
      <c r="H691" s="9" t="str">
        <f>INDEX(Products!$C$2:$C$9,MATCH(D691,Products!$A$2:$A$9,0))</f>
        <v>Giữ ấm</v>
      </c>
      <c r="I691" s="11">
        <f>INDEX(Products!$D$2:$D$9,MATCH(D691,Products!$A$2:$A$9,0))</f>
        <v>11000</v>
      </c>
      <c r="J691" s="10">
        <f>IFERROR(INDEX(PlatformFees!$C$2:$C$5,MATCH(C691,PlatformFees!$A$2:$A$5,0)),0)</f>
        <v>0.13</v>
      </c>
      <c r="K691" s="11">
        <f t="shared" si="40"/>
        <v>11000</v>
      </c>
      <c r="L691" s="11">
        <f t="shared" si="41"/>
        <v>4836</v>
      </c>
      <c r="M691" s="11">
        <f t="shared" si="42"/>
        <v>21364</v>
      </c>
      <c r="N691" s="10">
        <f t="shared" si="43"/>
        <v>0.57430107526881724</v>
      </c>
    </row>
    <row r="692" spans="1:14" x14ac:dyDescent="0.3">
      <c r="A692" s="9" t="s">
        <v>780</v>
      </c>
      <c r="B692" s="9" t="s">
        <v>768</v>
      </c>
      <c r="C692" s="9" t="s">
        <v>36</v>
      </c>
      <c r="D692" s="9" t="s">
        <v>12</v>
      </c>
      <c r="E692" s="9">
        <v>3</v>
      </c>
      <c r="F692" s="11">
        <v>107000</v>
      </c>
      <c r="G692" s="9" t="str">
        <f>INDEX(Products!$B$2:$B$9,MATCH(D692,Products!$A$2:$A$9,0))</f>
        <v>Trà atiso thanh lọc</v>
      </c>
      <c r="H692" s="9" t="str">
        <f>INDEX(Products!$C$2:$C$9,MATCH(D692,Products!$A$2:$A$9,0))</f>
        <v>Thanh lọc</v>
      </c>
      <c r="I692" s="11">
        <f>INDEX(Products!$D$2:$D$9,MATCH(D692,Products!$A$2:$A$9,0))</f>
        <v>9000</v>
      </c>
      <c r="J692" s="10">
        <f>IFERROR(INDEX(PlatformFees!$C$2:$C$5,MATCH(C692,PlatformFees!$A$2:$A$5,0)),0)</f>
        <v>0.13</v>
      </c>
      <c r="K692" s="11">
        <f t="shared" si="40"/>
        <v>27000</v>
      </c>
      <c r="L692" s="11">
        <f t="shared" si="41"/>
        <v>13910</v>
      </c>
      <c r="M692" s="11">
        <f t="shared" si="42"/>
        <v>66090</v>
      </c>
      <c r="N692" s="10">
        <f t="shared" si="43"/>
        <v>0.61766355140186913</v>
      </c>
    </row>
    <row r="693" spans="1:14" x14ac:dyDescent="0.3">
      <c r="A693" s="9" t="s">
        <v>781</v>
      </c>
      <c r="B693" s="9" t="s">
        <v>768</v>
      </c>
      <c r="C693" s="9" t="s">
        <v>36</v>
      </c>
      <c r="D693" s="9" t="s">
        <v>17</v>
      </c>
      <c r="E693" s="9">
        <v>1</v>
      </c>
      <c r="F693" s="11">
        <v>42000</v>
      </c>
      <c r="G693" s="9" t="str">
        <f>INDEX(Products!$B$2:$B$9,MATCH(D693,Products!$A$2:$A$9,0))</f>
        <v>Trà diếp cá rau má</v>
      </c>
      <c r="H693" s="9" t="str">
        <f>INDEX(Products!$C$2:$C$9,MATCH(D693,Products!$A$2:$A$9,0))</f>
        <v>Detox</v>
      </c>
      <c r="I693" s="11">
        <f>INDEX(Products!$D$2:$D$9,MATCH(D693,Products!$A$2:$A$9,0))</f>
        <v>10500</v>
      </c>
      <c r="J693" s="10">
        <f>IFERROR(INDEX(PlatformFees!$C$2:$C$5,MATCH(C693,PlatformFees!$A$2:$A$5,0)),0)</f>
        <v>0.13</v>
      </c>
      <c r="K693" s="11">
        <f t="shared" si="40"/>
        <v>10500</v>
      </c>
      <c r="L693" s="11">
        <f t="shared" si="41"/>
        <v>5460</v>
      </c>
      <c r="M693" s="11">
        <f t="shared" si="42"/>
        <v>26040</v>
      </c>
      <c r="N693" s="10">
        <f t="shared" si="43"/>
        <v>0.62</v>
      </c>
    </row>
    <row r="694" spans="1:14" x14ac:dyDescent="0.3">
      <c r="A694" s="9" t="s">
        <v>782</v>
      </c>
      <c r="B694" s="9" t="s">
        <v>768</v>
      </c>
      <c r="C694" s="9" t="s">
        <v>39</v>
      </c>
      <c r="D694" s="9" t="s">
        <v>22</v>
      </c>
      <c r="E694" s="9">
        <v>1</v>
      </c>
      <c r="F694" s="11">
        <v>37900</v>
      </c>
      <c r="G694" s="9" t="str">
        <f>INDEX(Products!$B$2:$B$9,MATCH(D694,Products!$A$2:$A$9,0))</f>
        <v>Trà hoa cúc an thần</v>
      </c>
      <c r="H694" s="9" t="str">
        <f>INDEX(Products!$C$2:$C$9,MATCH(D694,Products!$A$2:$A$9,0))</f>
        <v>An thần</v>
      </c>
      <c r="I694" s="11">
        <f>INDEX(Products!$D$2:$D$9,MATCH(D694,Products!$A$2:$A$9,0))</f>
        <v>9500</v>
      </c>
      <c r="J694" s="10">
        <f>IFERROR(INDEX(PlatformFees!$C$2:$C$5,MATCH(C694,PlatformFees!$A$2:$A$5,0)),0)</f>
        <v>0</v>
      </c>
      <c r="K694" s="11">
        <f t="shared" si="40"/>
        <v>9500</v>
      </c>
      <c r="L694" s="11">
        <f t="shared" si="41"/>
        <v>0</v>
      </c>
      <c r="M694" s="11">
        <f t="shared" si="42"/>
        <v>28400</v>
      </c>
      <c r="N694" s="10">
        <f t="shared" si="43"/>
        <v>0.74934036939313986</v>
      </c>
    </row>
    <row r="695" spans="1:14" x14ac:dyDescent="0.3">
      <c r="A695" s="9" t="s">
        <v>783</v>
      </c>
      <c r="B695" s="9" t="s">
        <v>768</v>
      </c>
      <c r="C695" s="9" t="s">
        <v>36</v>
      </c>
      <c r="D695" s="9" t="s">
        <v>20</v>
      </c>
      <c r="E695" s="9">
        <v>1</v>
      </c>
      <c r="F695" s="11">
        <v>54200</v>
      </c>
      <c r="G695" s="9" t="str">
        <f>INDEX(Products!$B$2:$B$9,MATCH(D695,Products!$A$2:$A$9,0))</f>
        <v>Trà cà leo gai giảm cân</v>
      </c>
      <c r="H695" s="9" t="str">
        <f>INDEX(Products!$C$2:$C$9,MATCH(D695,Products!$A$2:$A$9,0))</f>
        <v>Detox</v>
      </c>
      <c r="I695" s="11">
        <f>INDEX(Products!$D$2:$D$9,MATCH(D695,Products!$A$2:$A$9,0))</f>
        <v>15000</v>
      </c>
      <c r="J695" s="10">
        <f>IFERROR(INDEX(PlatformFees!$C$2:$C$5,MATCH(C695,PlatformFees!$A$2:$A$5,0)),0)</f>
        <v>0.13</v>
      </c>
      <c r="K695" s="11">
        <f t="shared" si="40"/>
        <v>15000</v>
      </c>
      <c r="L695" s="11">
        <f t="shared" si="41"/>
        <v>7046</v>
      </c>
      <c r="M695" s="11">
        <f t="shared" si="42"/>
        <v>32154</v>
      </c>
      <c r="N695" s="10">
        <f t="shared" si="43"/>
        <v>0.59324723247232469</v>
      </c>
    </row>
    <row r="696" spans="1:14" x14ac:dyDescent="0.3">
      <c r="A696" s="9" t="s">
        <v>784</v>
      </c>
      <c r="B696" s="9" t="s">
        <v>768</v>
      </c>
      <c r="C696" s="9" t="s">
        <v>38</v>
      </c>
      <c r="D696" s="9" t="s">
        <v>20</v>
      </c>
      <c r="E696" s="9">
        <v>1</v>
      </c>
      <c r="F696" s="11">
        <v>54800</v>
      </c>
      <c r="G696" s="9" t="str">
        <f>INDEX(Products!$B$2:$B$9,MATCH(D696,Products!$A$2:$A$9,0))</f>
        <v>Trà cà leo gai giảm cân</v>
      </c>
      <c r="H696" s="9" t="str">
        <f>INDEX(Products!$C$2:$C$9,MATCH(D696,Products!$A$2:$A$9,0))</f>
        <v>Detox</v>
      </c>
      <c r="I696" s="11">
        <f>INDEX(Products!$D$2:$D$9,MATCH(D696,Products!$A$2:$A$9,0))</f>
        <v>15000</v>
      </c>
      <c r="J696" s="10">
        <f>IFERROR(INDEX(PlatformFees!$C$2:$C$5,MATCH(C696,PlatformFees!$A$2:$A$5,0)),0)</f>
        <v>0.16</v>
      </c>
      <c r="K696" s="11">
        <f t="shared" si="40"/>
        <v>15000</v>
      </c>
      <c r="L696" s="11">
        <f t="shared" si="41"/>
        <v>8768</v>
      </c>
      <c r="M696" s="11">
        <f t="shared" si="42"/>
        <v>31032</v>
      </c>
      <c r="N696" s="10">
        <f t="shared" si="43"/>
        <v>0.56627737226277375</v>
      </c>
    </row>
    <row r="697" spans="1:14" x14ac:dyDescent="0.3">
      <c r="A697" s="9" t="s">
        <v>785</v>
      </c>
      <c r="B697" s="9" t="s">
        <v>768</v>
      </c>
      <c r="C697" s="9" t="s">
        <v>39</v>
      </c>
      <c r="D697" s="9" t="s">
        <v>30</v>
      </c>
      <c r="E697" s="9">
        <v>2</v>
      </c>
      <c r="F697" s="11">
        <v>71700</v>
      </c>
      <c r="G697" s="9" t="str">
        <f>INDEX(Products!$B$2:$B$9,MATCH(D697,Products!$A$2:$A$9,0))</f>
        <v>Trà mâm xôi vitamin</v>
      </c>
      <c r="H697" s="9" t="str">
        <f>INDEX(Products!$C$2:$C$9,MATCH(D697,Products!$A$2:$A$9,0))</f>
        <v>Bổ sung dưỡng chất</v>
      </c>
      <c r="I697" s="11">
        <f>INDEX(Products!$D$2:$D$9,MATCH(D697,Products!$A$2:$A$9,0))</f>
        <v>9800</v>
      </c>
      <c r="J697" s="10">
        <f>IFERROR(INDEX(PlatformFees!$C$2:$C$5,MATCH(C697,PlatformFees!$A$2:$A$5,0)),0)</f>
        <v>0</v>
      </c>
      <c r="K697" s="11">
        <f t="shared" si="40"/>
        <v>19600</v>
      </c>
      <c r="L697" s="11">
        <f t="shared" si="41"/>
        <v>0</v>
      </c>
      <c r="M697" s="11">
        <f t="shared" si="42"/>
        <v>52100</v>
      </c>
      <c r="N697" s="10">
        <f t="shared" si="43"/>
        <v>0.72663877266387722</v>
      </c>
    </row>
    <row r="698" spans="1:14" x14ac:dyDescent="0.3">
      <c r="A698" s="9" t="s">
        <v>786</v>
      </c>
      <c r="B698" s="9" t="s">
        <v>768</v>
      </c>
      <c r="C698" s="9" t="s">
        <v>38</v>
      </c>
      <c r="D698" s="9" t="s">
        <v>17</v>
      </c>
      <c r="E698" s="9">
        <v>1</v>
      </c>
      <c r="F698" s="11">
        <v>42000</v>
      </c>
      <c r="G698" s="9" t="str">
        <f>INDEX(Products!$B$2:$B$9,MATCH(D698,Products!$A$2:$A$9,0))</f>
        <v>Trà diếp cá rau má</v>
      </c>
      <c r="H698" s="9" t="str">
        <f>INDEX(Products!$C$2:$C$9,MATCH(D698,Products!$A$2:$A$9,0))</f>
        <v>Detox</v>
      </c>
      <c r="I698" s="11">
        <f>INDEX(Products!$D$2:$D$9,MATCH(D698,Products!$A$2:$A$9,0))</f>
        <v>10500</v>
      </c>
      <c r="J698" s="10">
        <f>IFERROR(INDEX(PlatformFees!$C$2:$C$5,MATCH(C698,PlatformFees!$A$2:$A$5,0)),0)</f>
        <v>0.16</v>
      </c>
      <c r="K698" s="11">
        <f t="shared" si="40"/>
        <v>10500</v>
      </c>
      <c r="L698" s="11">
        <f t="shared" si="41"/>
        <v>6720</v>
      </c>
      <c r="M698" s="11">
        <f t="shared" si="42"/>
        <v>24780</v>
      </c>
      <c r="N698" s="10">
        <f t="shared" si="43"/>
        <v>0.59</v>
      </c>
    </row>
    <row r="699" spans="1:14" x14ac:dyDescent="0.3">
      <c r="A699" s="9" t="s">
        <v>787</v>
      </c>
      <c r="B699" s="9" t="s">
        <v>768</v>
      </c>
      <c r="C699" s="9" t="s">
        <v>36</v>
      </c>
      <c r="D699" s="9" t="s">
        <v>17</v>
      </c>
      <c r="E699" s="9">
        <v>1</v>
      </c>
      <c r="F699" s="11">
        <v>39300</v>
      </c>
      <c r="G699" s="9" t="str">
        <f>INDEX(Products!$B$2:$B$9,MATCH(D699,Products!$A$2:$A$9,0))</f>
        <v>Trà diếp cá rau má</v>
      </c>
      <c r="H699" s="9" t="str">
        <f>INDEX(Products!$C$2:$C$9,MATCH(D699,Products!$A$2:$A$9,0))</f>
        <v>Detox</v>
      </c>
      <c r="I699" s="11">
        <f>INDEX(Products!$D$2:$D$9,MATCH(D699,Products!$A$2:$A$9,0))</f>
        <v>10500</v>
      </c>
      <c r="J699" s="10">
        <f>IFERROR(INDEX(PlatformFees!$C$2:$C$5,MATCH(C699,PlatformFees!$A$2:$A$5,0)),0)</f>
        <v>0.13</v>
      </c>
      <c r="K699" s="11">
        <f t="shared" si="40"/>
        <v>10500</v>
      </c>
      <c r="L699" s="11">
        <f t="shared" si="41"/>
        <v>5109</v>
      </c>
      <c r="M699" s="11">
        <f t="shared" si="42"/>
        <v>23691</v>
      </c>
      <c r="N699" s="10">
        <f t="shared" si="43"/>
        <v>0.60282442748091603</v>
      </c>
    </row>
    <row r="700" spans="1:14" x14ac:dyDescent="0.3">
      <c r="A700" s="9" t="s">
        <v>788</v>
      </c>
      <c r="B700" s="9" t="s">
        <v>768</v>
      </c>
      <c r="C700" s="9" t="s">
        <v>39</v>
      </c>
      <c r="D700" s="9" t="s">
        <v>27</v>
      </c>
      <c r="E700" s="9">
        <v>1</v>
      </c>
      <c r="F700" s="11">
        <v>39600</v>
      </c>
      <c r="G700" s="9" t="str">
        <f>INDEX(Products!$B$2:$B$9,MATCH(D700,Products!$A$2:$A$9,0))</f>
        <v>Trà gừng mật ong</v>
      </c>
      <c r="H700" s="9" t="str">
        <f>INDEX(Products!$C$2:$C$9,MATCH(D700,Products!$A$2:$A$9,0))</f>
        <v>Giữ ấm</v>
      </c>
      <c r="I700" s="11">
        <f>INDEX(Products!$D$2:$D$9,MATCH(D700,Products!$A$2:$A$9,0))</f>
        <v>11000</v>
      </c>
      <c r="J700" s="10">
        <f>IFERROR(INDEX(PlatformFees!$C$2:$C$5,MATCH(C700,PlatformFees!$A$2:$A$5,0)),0)</f>
        <v>0</v>
      </c>
      <c r="K700" s="11">
        <f t="shared" si="40"/>
        <v>11000</v>
      </c>
      <c r="L700" s="11">
        <f t="shared" si="41"/>
        <v>0</v>
      </c>
      <c r="M700" s="11">
        <f t="shared" si="42"/>
        <v>28600</v>
      </c>
      <c r="N700" s="10">
        <f t="shared" si="43"/>
        <v>0.72222222222222221</v>
      </c>
    </row>
    <row r="701" spans="1:14" x14ac:dyDescent="0.3">
      <c r="A701" s="9" t="s">
        <v>789</v>
      </c>
      <c r="B701" s="9" t="s">
        <v>768</v>
      </c>
      <c r="C701" s="9" t="s">
        <v>38</v>
      </c>
      <c r="D701" s="9" t="s">
        <v>12</v>
      </c>
      <c r="E701" s="9">
        <v>2</v>
      </c>
      <c r="F701" s="11">
        <v>64500</v>
      </c>
      <c r="G701" s="9" t="str">
        <f>INDEX(Products!$B$2:$B$9,MATCH(D701,Products!$A$2:$A$9,0))</f>
        <v>Trà atiso thanh lọc</v>
      </c>
      <c r="H701" s="9" t="str">
        <f>INDEX(Products!$C$2:$C$9,MATCH(D701,Products!$A$2:$A$9,0))</f>
        <v>Thanh lọc</v>
      </c>
      <c r="I701" s="11">
        <f>INDEX(Products!$D$2:$D$9,MATCH(D701,Products!$A$2:$A$9,0))</f>
        <v>9000</v>
      </c>
      <c r="J701" s="10">
        <f>IFERROR(INDEX(PlatformFees!$C$2:$C$5,MATCH(C701,PlatformFees!$A$2:$A$5,0)),0)</f>
        <v>0.16</v>
      </c>
      <c r="K701" s="11">
        <f t="shared" si="40"/>
        <v>18000</v>
      </c>
      <c r="L701" s="11">
        <f t="shared" si="41"/>
        <v>10320</v>
      </c>
      <c r="M701" s="11">
        <f t="shared" si="42"/>
        <v>36180</v>
      </c>
      <c r="N701" s="10">
        <f t="shared" si="43"/>
        <v>0.56093023255813956</v>
      </c>
    </row>
    <row r="702" spans="1:14" x14ac:dyDescent="0.3">
      <c r="A702" s="9" t="s">
        <v>790</v>
      </c>
      <c r="B702" s="9" t="s">
        <v>768</v>
      </c>
      <c r="C702" s="9" t="s">
        <v>38</v>
      </c>
      <c r="D702" s="9" t="s">
        <v>20</v>
      </c>
      <c r="E702" s="9">
        <v>3</v>
      </c>
      <c r="F702" s="11">
        <v>155700</v>
      </c>
      <c r="G702" s="9" t="str">
        <f>INDEX(Products!$B$2:$B$9,MATCH(D702,Products!$A$2:$A$9,0))</f>
        <v>Trà cà leo gai giảm cân</v>
      </c>
      <c r="H702" s="9" t="str">
        <f>INDEX(Products!$C$2:$C$9,MATCH(D702,Products!$A$2:$A$9,0))</f>
        <v>Detox</v>
      </c>
      <c r="I702" s="11">
        <f>INDEX(Products!$D$2:$D$9,MATCH(D702,Products!$A$2:$A$9,0))</f>
        <v>15000</v>
      </c>
      <c r="J702" s="10">
        <f>IFERROR(INDEX(PlatformFees!$C$2:$C$5,MATCH(C702,PlatformFees!$A$2:$A$5,0)),0)</f>
        <v>0.16</v>
      </c>
      <c r="K702" s="11">
        <f t="shared" si="40"/>
        <v>45000</v>
      </c>
      <c r="L702" s="11">
        <f t="shared" si="41"/>
        <v>24912</v>
      </c>
      <c r="M702" s="11">
        <f t="shared" si="42"/>
        <v>85788</v>
      </c>
      <c r="N702" s="10">
        <f t="shared" si="43"/>
        <v>0.55098265895953757</v>
      </c>
    </row>
    <row r="703" spans="1:14" x14ac:dyDescent="0.3">
      <c r="A703" s="9" t="s">
        <v>791</v>
      </c>
      <c r="B703" s="9" t="s">
        <v>768</v>
      </c>
      <c r="C703" s="9" t="s">
        <v>39</v>
      </c>
      <c r="D703" s="9" t="s">
        <v>30</v>
      </c>
      <c r="E703" s="9">
        <v>2</v>
      </c>
      <c r="F703" s="11">
        <v>71700</v>
      </c>
      <c r="G703" s="9" t="str">
        <f>INDEX(Products!$B$2:$B$9,MATCH(D703,Products!$A$2:$A$9,0))</f>
        <v>Trà mâm xôi vitamin</v>
      </c>
      <c r="H703" s="9" t="str">
        <f>INDEX(Products!$C$2:$C$9,MATCH(D703,Products!$A$2:$A$9,0))</f>
        <v>Bổ sung dưỡng chất</v>
      </c>
      <c r="I703" s="11">
        <f>INDEX(Products!$D$2:$D$9,MATCH(D703,Products!$A$2:$A$9,0))</f>
        <v>9800</v>
      </c>
      <c r="J703" s="10">
        <f>IFERROR(INDEX(PlatformFees!$C$2:$C$5,MATCH(C703,PlatformFees!$A$2:$A$5,0)),0)</f>
        <v>0</v>
      </c>
      <c r="K703" s="11">
        <f t="shared" si="40"/>
        <v>19600</v>
      </c>
      <c r="L703" s="11">
        <f t="shared" si="41"/>
        <v>0</v>
      </c>
      <c r="M703" s="11">
        <f t="shared" si="42"/>
        <v>52100</v>
      </c>
      <c r="N703" s="10">
        <f t="shared" si="43"/>
        <v>0.72663877266387722</v>
      </c>
    </row>
    <row r="704" spans="1:14" x14ac:dyDescent="0.3">
      <c r="A704" s="9" t="s">
        <v>792</v>
      </c>
      <c r="B704" s="9" t="s">
        <v>768</v>
      </c>
      <c r="C704" s="9" t="s">
        <v>39</v>
      </c>
      <c r="D704" s="9" t="s">
        <v>12</v>
      </c>
      <c r="E704" s="9">
        <v>1</v>
      </c>
      <c r="F704" s="11">
        <v>32700</v>
      </c>
      <c r="G704" s="9" t="str">
        <f>INDEX(Products!$B$2:$B$9,MATCH(D704,Products!$A$2:$A$9,0))</f>
        <v>Trà atiso thanh lọc</v>
      </c>
      <c r="H704" s="9" t="str">
        <f>INDEX(Products!$C$2:$C$9,MATCH(D704,Products!$A$2:$A$9,0))</f>
        <v>Thanh lọc</v>
      </c>
      <c r="I704" s="11">
        <f>INDEX(Products!$D$2:$D$9,MATCH(D704,Products!$A$2:$A$9,0))</f>
        <v>9000</v>
      </c>
      <c r="J704" s="10">
        <f>IFERROR(INDEX(PlatformFees!$C$2:$C$5,MATCH(C704,PlatformFees!$A$2:$A$5,0)),0)</f>
        <v>0</v>
      </c>
      <c r="K704" s="11">
        <f t="shared" si="40"/>
        <v>9000</v>
      </c>
      <c r="L704" s="11">
        <f t="shared" si="41"/>
        <v>0</v>
      </c>
      <c r="M704" s="11">
        <f t="shared" si="42"/>
        <v>23700</v>
      </c>
      <c r="N704" s="10">
        <f t="shared" si="43"/>
        <v>0.72477064220183485</v>
      </c>
    </row>
    <row r="705" spans="1:14" x14ac:dyDescent="0.3">
      <c r="A705" s="9" t="s">
        <v>793</v>
      </c>
      <c r="B705" s="9" t="s">
        <v>794</v>
      </c>
      <c r="C705" s="9" t="s">
        <v>38</v>
      </c>
      <c r="D705" s="9" t="s">
        <v>17</v>
      </c>
      <c r="E705" s="9">
        <v>2</v>
      </c>
      <c r="F705" s="11">
        <v>80200</v>
      </c>
      <c r="G705" s="9" t="str">
        <f>INDEX(Products!$B$2:$B$9,MATCH(D705,Products!$A$2:$A$9,0))</f>
        <v>Trà diếp cá rau má</v>
      </c>
      <c r="H705" s="9" t="str">
        <f>INDEX(Products!$C$2:$C$9,MATCH(D705,Products!$A$2:$A$9,0))</f>
        <v>Detox</v>
      </c>
      <c r="I705" s="11">
        <f>INDEX(Products!$D$2:$D$9,MATCH(D705,Products!$A$2:$A$9,0))</f>
        <v>10500</v>
      </c>
      <c r="J705" s="10">
        <f>IFERROR(INDEX(PlatformFees!$C$2:$C$5,MATCH(C705,PlatformFees!$A$2:$A$5,0)),0)</f>
        <v>0.16</v>
      </c>
      <c r="K705" s="11">
        <f t="shared" si="40"/>
        <v>21000</v>
      </c>
      <c r="L705" s="11">
        <f t="shared" si="41"/>
        <v>12832</v>
      </c>
      <c r="M705" s="11">
        <f t="shared" si="42"/>
        <v>46368</v>
      </c>
      <c r="N705" s="10">
        <f t="shared" si="43"/>
        <v>0.57815461346633412</v>
      </c>
    </row>
    <row r="706" spans="1:14" x14ac:dyDescent="0.3">
      <c r="A706" s="9" t="s">
        <v>795</v>
      </c>
      <c r="B706" s="9" t="s">
        <v>794</v>
      </c>
      <c r="C706" s="9" t="s">
        <v>36</v>
      </c>
      <c r="D706" s="9" t="s">
        <v>17</v>
      </c>
      <c r="E706" s="9">
        <v>1</v>
      </c>
      <c r="F706" s="11">
        <v>39800</v>
      </c>
      <c r="G706" s="9" t="str">
        <f>INDEX(Products!$B$2:$B$9,MATCH(D706,Products!$A$2:$A$9,0))</f>
        <v>Trà diếp cá rau má</v>
      </c>
      <c r="H706" s="9" t="str">
        <f>INDEX(Products!$C$2:$C$9,MATCH(D706,Products!$A$2:$A$9,0))</f>
        <v>Detox</v>
      </c>
      <c r="I706" s="11">
        <f>INDEX(Products!$D$2:$D$9,MATCH(D706,Products!$A$2:$A$9,0))</f>
        <v>10500</v>
      </c>
      <c r="J706" s="10">
        <f>IFERROR(INDEX(PlatformFees!$C$2:$C$5,MATCH(C706,PlatformFees!$A$2:$A$5,0)),0)</f>
        <v>0.13</v>
      </c>
      <c r="K706" s="11">
        <f t="shared" ref="K706:K769" si="44">E706*I706</f>
        <v>10500</v>
      </c>
      <c r="L706" s="11">
        <f t="shared" ref="L706:L769" si="45">F706*J706</f>
        <v>5174</v>
      </c>
      <c r="M706" s="11">
        <f t="shared" ref="M706:M769" si="46">F706-L706-K706</f>
        <v>24126</v>
      </c>
      <c r="N706" s="10">
        <f t="shared" ref="N706:N769" si="47">IFERROR(M706/F706,0)</f>
        <v>0.60618090452261308</v>
      </c>
    </row>
    <row r="707" spans="1:14" x14ac:dyDescent="0.3">
      <c r="A707" s="9" t="s">
        <v>796</v>
      </c>
      <c r="B707" s="9" t="s">
        <v>794</v>
      </c>
      <c r="C707" s="9" t="s">
        <v>38</v>
      </c>
      <c r="D707" s="9" t="s">
        <v>25</v>
      </c>
      <c r="E707" s="9">
        <v>1</v>
      </c>
      <c r="F707" s="11">
        <v>34200</v>
      </c>
      <c r="G707" s="9" t="str">
        <f>INDEX(Products!$B$2:$B$9,MATCH(D707,Products!$A$2:$A$9,0))</f>
        <v>Trà hoa đậu biếc</v>
      </c>
      <c r="H707" s="9" t="str">
        <f>INDEX(Products!$C$2:$C$9,MATCH(D707,Products!$A$2:$A$9,0))</f>
        <v>An thần</v>
      </c>
      <c r="I707" s="11">
        <f>INDEX(Products!$D$2:$D$9,MATCH(D707,Products!$A$2:$A$9,0))</f>
        <v>8800</v>
      </c>
      <c r="J707" s="10">
        <f>IFERROR(INDEX(PlatformFees!$C$2:$C$5,MATCH(C707,PlatformFees!$A$2:$A$5,0)),0)</f>
        <v>0.16</v>
      </c>
      <c r="K707" s="11">
        <f t="shared" si="44"/>
        <v>8800</v>
      </c>
      <c r="L707" s="11">
        <f t="shared" si="45"/>
        <v>5472</v>
      </c>
      <c r="M707" s="11">
        <f t="shared" si="46"/>
        <v>19928</v>
      </c>
      <c r="N707" s="10">
        <f t="shared" si="47"/>
        <v>0.58269005847953215</v>
      </c>
    </row>
    <row r="708" spans="1:14" x14ac:dyDescent="0.3">
      <c r="A708" s="9" t="s">
        <v>797</v>
      </c>
      <c r="B708" s="9" t="s">
        <v>794</v>
      </c>
      <c r="C708" s="9" t="s">
        <v>38</v>
      </c>
      <c r="D708" s="9" t="s">
        <v>27</v>
      </c>
      <c r="E708" s="9">
        <v>3</v>
      </c>
      <c r="F708" s="11">
        <v>122000</v>
      </c>
      <c r="G708" s="9" t="str">
        <f>INDEX(Products!$B$2:$B$9,MATCH(D708,Products!$A$2:$A$9,0))</f>
        <v>Trà gừng mật ong</v>
      </c>
      <c r="H708" s="9" t="str">
        <f>INDEX(Products!$C$2:$C$9,MATCH(D708,Products!$A$2:$A$9,0))</f>
        <v>Giữ ấm</v>
      </c>
      <c r="I708" s="11">
        <f>INDEX(Products!$D$2:$D$9,MATCH(D708,Products!$A$2:$A$9,0))</f>
        <v>11000</v>
      </c>
      <c r="J708" s="10">
        <f>IFERROR(INDEX(PlatformFees!$C$2:$C$5,MATCH(C708,PlatformFees!$A$2:$A$5,0)),0)</f>
        <v>0.16</v>
      </c>
      <c r="K708" s="11">
        <f t="shared" si="44"/>
        <v>33000</v>
      </c>
      <c r="L708" s="11">
        <f t="shared" si="45"/>
        <v>19520</v>
      </c>
      <c r="M708" s="11">
        <f t="shared" si="46"/>
        <v>69480</v>
      </c>
      <c r="N708" s="10">
        <f t="shared" si="47"/>
        <v>0.56950819672131148</v>
      </c>
    </row>
    <row r="709" spans="1:14" x14ac:dyDescent="0.3">
      <c r="A709" s="9" t="s">
        <v>798</v>
      </c>
      <c r="B709" s="9" t="s">
        <v>794</v>
      </c>
      <c r="C709" s="9" t="s">
        <v>36</v>
      </c>
      <c r="D709" s="9" t="s">
        <v>22</v>
      </c>
      <c r="E709" s="9">
        <v>1</v>
      </c>
      <c r="F709" s="11">
        <v>38100</v>
      </c>
      <c r="G709" s="9" t="str">
        <f>INDEX(Products!$B$2:$B$9,MATCH(D709,Products!$A$2:$A$9,0))</f>
        <v>Trà hoa cúc an thần</v>
      </c>
      <c r="H709" s="9" t="str">
        <f>INDEX(Products!$C$2:$C$9,MATCH(D709,Products!$A$2:$A$9,0))</f>
        <v>An thần</v>
      </c>
      <c r="I709" s="11">
        <f>INDEX(Products!$D$2:$D$9,MATCH(D709,Products!$A$2:$A$9,0))</f>
        <v>9500</v>
      </c>
      <c r="J709" s="10">
        <f>IFERROR(INDEX(PlatformFees!$C$2:$C$5,MATCH(C709,PlatformFees!$A$2:$A$5,0)),0)</f>
        <v>0.13</v>
      </c>
      <c r="K709" s="11">
        <f t="shared" si="44"/>
        <v>9500</v>
      </c>
      <c r="L709" s="11">
        <f t="shared" si="45"/>
        <v>4953</v>
      </c>
      <c r="M709" s="11">
        <f t="shared" si="46"/>
        <v>23647</v>
      </c>
      <c r="N709" s="10">
        <f t="shared" si="47"/>
        <v>0.62065616797900258</v>
      </c>
    </row>
    <row r="710" spans="1:14" x14ac:dyDescent="0.3">
      <c r="A710" s="9" t="s">
        <v>799</v>
      </c>
      <c r="B710" s="9" t="s">
        <v>794</v>
      </c>
      <c r="C710" s="9" t="s">
        <v>36</v>
      </c>
      <c r="D710" s="9" t="s">
        <v>12</v>
      </c>
      <c r="E710" s="9">
        <v>1</v>
      </c>
      <c r="F710" s="11">
        <v>34100</v>
      </c>
      <c r="G710" s="9" t="str">
        <f>INDEX(Products!$B$2:$B$9,MATCH(D710,Products!$A$2:$A$9,0))</f>
        <v>Trà atiso thanh lọc</v>
      </c>
      <c r="H710" s="9" t="str">
        <f>INDEX(Products!$C$2:$C$9,MATCH(D710,Products!$A$2:$A$9,0))</f>
        <v>Thanh lọc</v>
      </c>
      <c r="I710" s="11">
        <f>INDEX(Products!$D$2:$D$9,MATCH(D710,Products!$A$2:$A$9,0))</f>
        <v>9000</v>
      </c>
      <c r="J710" s="10">
        <f>IFERROR(INDEX(PlatformFees!$C$2:$C$5,MATCH(C710,PlatformFees!$A$2:$A$5,0)),0)</f>
        <v>0.13</v>
      </c>
      <c r="K710" s="11">
        <f t="shared" si="44"/>
        <v>9000</v>
      </c>
      <c r="L710" s="11">
        <f t="shared" si="45"/>
        <v>4433</v>
      </c>
      <c r="M710" s="11">
        <f t="shared" si="46"/>
        <v>20667</v>
      </c>
      <c r="N710" s="10">
        <f t="shared" si="47"/>
        <v>0.60607038123167156</v>
      </c>
    </row>
    <row r="711" spans="1:14" x14ac:dyDescent="0.3">
      <c r="A711" s="9" t="s">
        <v>800</v>
      </c>
      <c r="B711" s="9" t="s">
        <v>794</v>
      </c>
      <c r="C711" s="9" t="s">
        <v>36</v>
      </c>
      <c r="D711" s="9" t="s">
        <v>20</v>
      </c>
      <c r="E711" s="9">
        <v>2</v>
      </c>
      <c r="F711" s="11">
        <v>102100</v>
      </c>
      <c r="G711" s="9" t="str">
        <f>INDEX(Products!$B$2:$B$9,MATCH(D711,Products!$A$2:$A$9,0))</f>
        <v>Trà cà leo gai giảm cân</v>
      </c>
      <c r="H711" s="9" t="str">
        <f>INDEX(Products!$C$2:$C$9,MATCH(D711,Products!$A$2:$A$9,0))</f>
        <v>Detox</v>
      </c>
      <c r="I711" s="11">
        <f>INDEX(Products!$D$2:$D$9,MATCH(D711,Products!$A$2:$A$9,0))</f>
        <v>15000</v>
      </c>
      <c r="J711" s="10">
        <f>IFERROR(INDEX(PlatformFees!$C$2:$C$5,MATCH(C711,PlatformFees!$A$2:$A$5,0)),0)</f>
        <v>0.13</v>
      </c>
      <c r="K711" s="11">
        <f t="shared" si="44"/>
        <v>30000</v>
      </c>
      <c r="L711" s="11">
        <f t="shared" si="45"/>
        <v>13273</v>
      </c>
      <c r="M711" s="11">
        <f t="shared" si="46"/>
        <v>58827</v>
      </c>
      <c r="N711" s="10">
        <f t="shared" si="47"/>
        <v>0.5761704211557297</v>
      </c>
    </row>
    <row r="712" spans="1:14" x14ac:dyDescent="0.3">
      <c r="A712" s="9" t="s">
        <v>801</v>
      </c>
      <c r="B712" s="9" t="s">
        <v>794</v>
      </c>
      <c r="C712" s="9" t="s">
        <v>39</v>
      </c>
      <c r="D712" s="9" t="s">
        <v>12</v>
      </c>
      <c r="E712" s="9">
        <v>1</v>
      </c>
      <c r="F712" s="11">
        <v>35800</v>
      </c>
      <c r="G712" s="9" t="str">
        <f>INDEX(Products!$B$2:$B$9,MATCH(D712,Products!$A$2:$A$9,0))</f>
        <v>Trà atiso thanh lọc</v>
      </c>
      <c r="H712" s="9" t="str">
        <f>INDEX(Products!$C$2:$C$9,MATCH(D712,Products!$A$2:$A$9,0))</f>
        <v>Thanh lọc</v>
      </c>
      <c r="I712" s="11">
        <f>INDEX(Products!$D$2:$D$9,MATCH(D712,Products!$A$2:$A$9,0))</f>
        <v>9000</v>
      </c>
      <c r="J712" s="10">
        <f>IFERROR(INDEX(PlatformFees!$C$2:$C$5,MATCH(C712,PlatformFees!$A$2:$A$5,0)),0)</f>
        <v>0</v>
      </c>
      <c r="K712" s="11">
        <f t="shared" si="44"/>
        <v>9000</v>
      </c>
      <c r="L712" s="11">
        <f t="shared" si="45"/>
        <v>0</v>
      </c>
      <c r="M712" s="11">
        <f t="shared" si="46"/>
        <v>26800</v>
      </c>
      <c r="N712" s="10">
        <f t="shared" si="47"/>
        <v>0.74860335195530725</v>
      </c>
    </row>
    <row r="713" spans="1:14" x14ac:dyDescent="0.3">
      <c r="A713" s="9" t="s">
        <v>802</v>
      </c>
      <c r="B713" s="9" t="s">
        <v>794</v>
      </c>
      <c r="C713" s="9" t="s">
        <v>36</v>
      </c>
      <c r="D713" s="9" t="s">
        <v>27</v>
      </c>
      <c r="E713" s="9">
        <v>2</v>
      </c>
      <c r="F713" s="11">
        <v>77300</v>
      </c>
      <c r="G713" s="9" t="str">
        <f>INDEX(Products!$B$2:$B$9,MATCH(D713,Products!$A$2:$A$9,0))</f>
        <v>Trà gừng mật ong</v>
      </c>
      <c r="H713" s="9" t="str">
        <f>INDEX(Products!$C$2:$C$9,MATCH(D713,Products!$A$2:$A$9,0))</f>
        <v>Giữ ấm</v>
      </c>
      <c r="I713" s="11">
        <f>INDEX(Products!$D$2:$D$9,MATCH(D713,Products!$A$2:$A$9,0))</f>
        <v>11000</v>
      </c>
      <c r="J713" s="10">
        <f>IFERROR(INDEX(PlatformFees!$C$2:$C$5,MATCH(C713,PlatformFees!$A$2:$A$5,0)),0)</f>
        <v>0.13</v>
      </c>
      <c r="K713" s="11">
        <f t="shared" si="44"/>
        <v>22000</v>
      </c>
      <c r="L713" s="11">
        <f t="shared" si="45"/>
        <v>10049</v>
      </c>
      <c r="M713" s="11">
        <f t="shared" si="46"/>
        <v>45251</v>
      </c>
      <c r="N713" s="10">
        <f t="shared" si="47"/>
        <v>0.58539456662354461</v>
      </c>
    </row>
    <row r="714" spans="1:14" x14ac:dyDescent="0.3">
      <c r="A714" s="9" t="s">
        <v>803</v>
      </c>
      <c r="B714" s="9" t="s">
        <v>794</v>
      </c>
      <c r="C714" s="9" t="s">
        <v>38</v>
      </c>
      <c r="D714" s="9" t="s">
        <v>15</v>
      </c>
      <c r="E714" s="9">
        <v>2</v>
      </c>
      <c r="F714" s="11">
        <v>65600</v>
      </c>
      <c r="G714" s="9" t="str">
        <f>INDEX(Products!$B$2:$B$9,MATCH(D714,Products!$A$2:$A$9,0))</f>
        <v>Trà lá nam sen ổi</v>
      </c>
      <c r="H714" s="9" t="str">
        <f>INDEX(Products!$C$2:$C$9,MATCH(D714,Products!$A$2:$A$9,0))</f>
        <v>Thanh lọc</v>
      </c>
      <c r="I714" s="11">
        <f>INDEX(Products!$D$2:$D$9,MATCH(D714,Products!$A$2:$A$9,0))</f>
        <v>8500</v>
      </c>
      <c r="J714" s="10">
        <f>IFERROR(INDEX(PlatformFees!$C$2:$C$5,MATCH(C714,PlatformFees!$A$2:$A$5,0)),0)</f>
        <v>0.16</v>
      </c>
      <c r="K714" s="11">
        <f t="shared" si="44"/>
        <v>17000</v>
      </c>
      <c r="L714" s="11">
        <f t="shared" si="45"/>
        <v>10496</v>
      </c>
      <c r="M714" s="11">
        <f t="shared" si="46"/>
        <v>38104</v>
      </c>
      <c r="N714" s="10">
        <f t="shared" si="47"/>
        <v>0.58085365853658533</v>
      </c>
    </row>
    <row r="715" spans="1:14" x14ac:dyDescent="0.3">
      <c r="A715" s="9" t="s">
        <v>804</v>
      </c>
      <c r="B715" s="9" t="s">
        <v>794</v>
      </c>
      <c r="C715" s="9" t="s">
        <v>39</v>
      </c>
      <c r="D715" s="9" t="s">
        <v>12</v>
      </c>
      <c r="E715" s="9">
        <v>1</v>
      </c>
      <c r="F715" s="11">
        <v>32300</v>
      </c>
      <c r="G715" s="9" t="str">
        <f>INDEX(Products!$B$2:$B$9,MATCH(D715,Products!$A$2:$A$9,0))</f>
        <v>Trà atiso thanh lọc</v>
      </c>
      <c r="H715" s="9" t="str">
        <f>INDEX(Products!$C$2:$C$9,MATCH(D715,Products!$A$2:$A$9,0))</f>
        <v>Thanh lọc</v>
      </c>
      <c r="I715" s="11">
        <f>INDEX(Products!$D$2:$D$9,MATCH(D715,Products!$A$2:$A$9,0))</f>
        <v>9000</v>
      </c>
      <c r="J715" s="10">
        <f>IFERROR(INDEX(PlatformFees!$C$2:$C$5,MATCH(C715,PlatformFees!$A$2:$A$5,0)),0)</f>
        <v>0</v>
      </c>
      <c r="K715" s="11">
        <f t="shared" si="44"/>
        <v>9000</v>
      </c>
      <c r="L715" s="11">
        <f t="shared" si="45"/>
        <v>0</v>
      </c>
      <c r="M715" s="11">
        <f t="shared" si="46"/>
        <v>23300</v>
      </c>
      <c r="N715" s="10">
        <f t="shared" si="47"/>
        <v>0.72136222910216719</v>
      </c>
    </row>
    <row r="716" spans="1:14" x14ac:dyDescent="0.3">
      <c r="A716" s="9" t="s">
        <v>805</v>
      </c>
      <c r="B716" s="9" t="s">
        <v>794</v>
      </c>
      <c r="C716" s="9" t="s">
        <v>36</v>
      </c>
      <c r="D716" s="9" t="s">
        <v>30</v>
      </c>
      <c r="E716" s="9">
        <v>2</v>
      </c>
      <c r="F716" s="11">
        <v>70300</v>
      </c>
      <c r="G716" s="9" t="str">
        <f>INDEX(Products!$B$2:$B$9,MATCH(D716,Products!$A$2:$A$9,0))</f>
        <v>Trà mâm xôi vitamin</v>
      </c>
      <c r="H716" s="9" t="str">
        <f>INDEX(Products!$C$2:$C$9,MATCH(D716,Products!$A$2:$A$9,0))</f>
        <v>Bổ sung dưỡng chất</v>
      </c>
      <c r="I716" s="11">
        <f>INDEX(Products!$D$2:$D$9,MATCH(D716,Products!$A$2:$A$9,0))</f>
        <v>9800</v>
      </c>
      <c r="J716" s="10">
        <f>IFERROR(INDEX(PlatformFees!$C$2:$C$5,MATCH(C716,PlatformFees!$A$2:$A$5,0)),0)</f>
        <v>0.13</v>
      </c>
      <c r="K716" s="11">
        <f t="shared" si="44"/>
        <v>19600</v>
      </c>
      <c r="L716" s="11">
        <f t="shared" si="45"/>
        <v>9139</v>
      </c>
      <c r="M716" s="11">
        <f t="shared" si="46"/>
        <v>41561</v>
      </c>
      <c r="N716" s="10">
        <f t="shared" si="47"/>
        <v>0.59119487908961588</v>
      </c>
    </row>
    <row r="717" spans="1:14" x14ac:dyDescent="0.3">
      <c r="A717" s="9" t="s">
        <v>806</v>
      </c>
      <c r="B717" s="9" t="s">
        <v>794</v>
      </c>
      <c r="C717" s="9" t="s">
        <v>38</v>
      </c>
      <c r="D717" s="9" t="s">
        <v>20</v>
      </c>
      <c r="E717" s="9">
        <v>2</v>
      </c>
      <c r="F717" s="11">
        <v>106300</v>
      </c>
      <c r="G717" s="9" t="str">
        <f>INDEX(Products!$B$2:$B$9,MATCH(D717,Products!$A$2:$A$9,0))</f>
        <v>Trà cà leo gai giảm cân</v>
      </c>
      <c r="H717" s="9" t="str">
        <f>INDEX(Products!$C$2:$C$9,MATCH(D717,Products!$A$2:$A$9,0))</f>
        <v>Detox</v>
      </c>
      <c r="I717" s="11">
        <f>INDEX(Products!$D$2:$D$9,MATCH(D717,Products!$A$2:$A$9,0))</f>
        <v>15000</v>
      </c>
      <c r="J717" s="10">
        <f>IFERROR(INDEX(PlatformFees!$C$2:$C$5,MATCH(C717,PlatformFees!$A$2:$A$5,0)),0)</f>
        <v>0.16</v>
      </c>
      <c r="K717" s="11">
        <f t="shared" si="44"/>
        <v>30000</v>
      </c>
      <c r="L717" s="11">
        <f t="shared" si="45"/>
        <v>17008</v>
      </c>
      <c r="M717" s="11">
        <f t="shared" si="46"/>
        <v>59292</v>
      </c>
      <c r="N717" s="10">
        <f t="shared" si="47"/>
        <v>0.55777986829727189</v>
      </c>
    </row>
    <row r="718" spans="1:14" x14ac:dyDescent="0.3">
      <c r="A718" s="9" t="s">
        <v>807</v>
      </c>
      <c r="B718" s="9" t="s">
        <v>794</v>
      </c>
      <c r="C718" s="9" t="s">
        <v>36</v>
      </c>
      <c r="D718" s="9" t="s">
        <v>22</v>
      </c>
      <c r="E718" s="9">
        <v>2</v>
      </c>
      <c r="F718" s="11">
        <v>75100</v>
      </c>
      <c r="G718" s="9" t="str">
        <f>INDEX(Products!$B$2:$B$9,MATCH(D718,Products!$A$2:$A$9,0))</f>
        <v>Trà hoa cúc an thần</v>
      </c>
      <c r="H718" s="9" t="str">
        <f>INDEX(Products!$C$2:$C$9,MATCH(D718,Products!$A$2:$A$9,0))</f>
        <v>An thần</v>
      </c>
      <c r="I718" s="11">
        <f>INDEX(Products!$D$2:$D$9,MATCH(D718,Products!$A$2:$A$9,0))</f>
        <v>9500</v>
      </c>
      <c r="J718" s="10">
        <f>IFERROR(INDEX(PlatformFees!$C$2:$C$5,MATCH(C718,PlatformFees!$A$2:$A$5,0)),0)</f>
        <v>0.13</v>
      </c>
      <c r="K718" s="11">
        <f t="shared" si="44"/>
        <v>19000</v>
      </c>
      <c r="L718" s="11">
        <f t="shared" si="45"/>
        <v>9763</v>
      </c>
      <c r="M718" s="11">
        <f t="shared" si="46"/>
        <v>46337</v>
      </c>
      <c r="N718" s="10">
        <f t="shared" si="47"/>
        <v>0.61700399467376832</v>
      </c>
    </row>
    <row r="719" spans="1:14" x14ac:dyDescent="0.3">
      <c r="A719" s="9" t="s">
        <v>808</v>
      </c>
      <c r="B719" s="9" t="s">
        <v>794</v>
      </c>
      <c r="C719" s="9" t="s">
        <v>36</v>
      </c>
      <c r="D719" s="9" t="s">
        <v>17</v>
      </c>
      <c r="E719" s="9">
        <v>2</v>
      </c>
      <c r="F719" s="11">
        <v>85800</v>
      </c>
      <c r="G719" s="9" t="str">
        <f>INDEX(Products!$B$2:$B$9,MATCH(D719,Products!$A$2:$A$9,0))</f>
        <v>Trà diếp cá rau má</v>
      </c>
      <c r="H719" s="9" t="str">
        <f>INDEX(Products!$C$2:$C$9,MATCH(D719,Products!$A$2:$A$9,0))</f>
        <v>Detox</v>
      </c>
      <c r="I719" s="11">
        <f>INDEX(Products!$D$2:$D$9,MATCH(D719,Products!$A$2:$A$9,0))</f>
        <v>10500</v>
      </c>
      <c r="J719" s="10">
        <f>IFERROR(INDEX(PlatformFees!$C$2:$C$5,MATCH(C719,PlatformFees!$A$2:$A$5,0)),0)</f>
        <v>0.13</v>
      </c>
      <c r="K719" s="11">
        <f t="shared" si="44"/>
        <v>21000</v>
      </c>
      <c r="L719" s="11">
        <f t="shared" si="45"/>
        <v>11154</v>
      </c>
      <c r="M719" s="11">
        <f t="shared" si="46"/>
        <v>53646</v>
      </c>
      <c r="N719" s="10">
        <f t="shared" si="47"/>
        <v>0.6252447552447552</v>
      </c>
    </row>
    <row r="720" spans="1:14" x14ac:dyDescent="0.3">
      <c r="A720" s="9" t="s">
        <v>809</v>
      </c>
      <c r="B720" s="9" t="s">
        <v>794</v>
      </c>
      <c r="C720" s="9" t="s">
        <v>40</v>
      </c>
      <c r="D720" s="9" t="s">
        <v>15</v>
      </c>
      <c r="E720" s="9">
        <v>1</v>
      </c>
      <c r="F720" s="11">
        <v>30800</v>
      </c>
      <c r="G720" s="9" t="str">
        <f>INDEX(Products!$B$2:$B$9,MATCH(D720,Products!$A$2:$A$9,0))</f>
        <v>Trà lá nam sen ổi</v>
      </c>
      <c r="H720" s="9" t="str">
        <f>INDEX(Products!$C$2:$C$9,MATCH(D720,Products!$A$2:$A$9,0))</f>
        <v>Thanh lọc</v>
      </c>
      <c r="I720" s="11">
        <f>INDEX(Products!$D$2:$D$9,MATCH(D720,Products!$A$2:$A$9,0))</f>
        <v>8500</v>
      </c>
      <c r="J720" s="10">
        <f>IFERROR(INDEX(PlatformFees!$C$2:$C$5,MATCH(C720,PlatformFees!$A$2:$A$5,0)),0)</f>
        <v>0</v>
      </c>
      <c r="K720" s="11">
        <f t="shared" si="44"/>
        <v>8500</v>
      </c>
      <c r="L720" s="11">
        <f t="shared" si="45"/>
        <v>0</v>
      </c>
      <c r="M720" s="11">
        <f t="shared" si="46"/>
        <v>22300</v>
      </c>
      <c r="N720" s="10">
        <f t="shared" si="47"/>
        <v>0.72402597402597402</v>
      </c>
    </row>
    <row r="721" spans="1:14" x14ac:dyDescent="0.3">
      <c r="A721" s="9" t="s">
        <v>810</v>
      </c>
      <c r="B721" s="9" t="s">
        <v>811</v>
      </c>
      <c r="C721" s="9" t="s">
        <v>39</v>
      </c>
      <c r="D721" s="9" t="s">
        <v>25</v>
      </c>
      <c r="E721" s="9">
        <v>3</v>
      </c>
      <c r="F721" s="11">
        <v>94600</v>
      </c>
      <c r="G721" s="9" t="str">
        <f>INDEX(Products!$B$2:$B$9,MATCH(D721,Products!$A$2:$A$9,0))</f>
        <v>Trà hoa đậu biếc</v>
      </c>
      <c r="H721" s="9" t="str">
        <f>INDEX(Products!$C$2:$C$9,MATCH(D721,Products!$A$2:$A$9,0))</f>
        <v>An thần</v>
      </c>
      <c r="I721" s="11">
        <f>INDEX(Products!$D$2:$D$9,MATCH(D721,Products!$A$2:$A$9,0))</f>
        <v>8800</v>
      </c>
      <c r="J721" s="10">
        <f>IFERROR(INDEX(PlatformFees!$C$2:$C$5,MATCH(C721,PlatformFees!$A$2:$A$5,0)),0)</f>
        <v>0</v>
      </c>
      <c r="K721" s="11">
        <f t="shared" si="44"/>
        <v>26400</v>
      </c>
      <c r="L721" s="11">
        <f t="shared" si="45"/>
        <v>0</v>
      </c>
      <c r="M721" s="11">
        <f t="shared" si="46"/>
        <v>68200</v>
      </c>
      <c r="N721" s="10">
        <f t="shared" si="47"/>
        <v>0.72093023255813948</v>
      </c>
    </row>
    <row r="722" spans="1:14" x14ac:dyDescent="0.3">
      <c r="A722" s="9" t="s">
        <v>812</v>
      </c>
      <c r="B722" s="9" t="s">
        <v>811</v>
      </c>
      <c r="C722" s="9" t="s">
        <v>38</v>
      </c>
      <c r="D722" s="9" t="s">
        <v>25</v>
      </c>
      <c r="E722" s="9">
        <v>1</v>
      </c>
      <c r="F722" s="11">
        <v>31500</v>
      </c>
      <c r="G722" s="9" t="str">
        <f>INDEX(Products!$B$2:$B$9,MATCH(D722,Products!$A$2:$A$9,0))</f>
        <v>Trà hoa đậu biếc</v>
      </c>
      <c r="H722" s="9" t="str">
        <f>INDEX(Products!$C$2:$C$9,MATCH(D722,Products!$A$2:$A$9,0))</f>
        <v>An thần</v>
      </c>
      <c r="I722" s="11">
        <f>INDEX(Products!$D$2:$D$9,MATCH(D722,Products!$A$2:$A$9,0))</f>
        <v>8800</v>
      </c>
      <c r="J722" s="10">
        <f>IFERROR(INDEX(PlatformFees!$C$2:$C$5,MATCH(C722,PlatformFees!$A$2:$A$5,0)),0)</f>
        <v>0.16</v>
      </c>
      <c r="K722" s="11">
        <f t="shared" si="44"/>
        <v>8800</v>
      </c>
      <c r="L722" s="11">
        <f t="shared" si="45"/>
        <v>5040</v>
      </c>
      <c r="M722" s="11">
        <f t="shared" si="46"/>
        <v>17660</v>
      </c>
      <c r="N722" s="10">
        <f t="shared" si="47"/>
        <v>0.5606349206349206</v>
      </c>
    </row>
    <row r="723" spans="1:14" x14ac:dyDescent="0.3">
      <c r="A723" s="9" t="s">
        <v>813</v>
      </c>
      <c r="B723" s="9" t="s">
        <v>811</v>
      </c>
      <c r="C723" s="9" t="s">
        <v>36</v>
      </c>
      <c r="D723" s="9" t="s">
        <v>20</v>
      </c>
      <c r="E723" s="9">
        <v>2</v>
      </c>
      <c r="F723" s="11">
        <v>108600</v>
      </c>
      <c r="G723" s="9" t="str">
        <f>INDEX(Products!$B$2:$B$9,MATCH(D723,Products!$A$2:$A$9,0))</f>
        <v>Trà cà leo gai giảm cân</v>
      </c>
      <c r="H723" s="9" t="str">
        <f>INDEX(Products!$C$2:$C$9,MATCH(D723,Products!$A$2:$A$9,0))</f>
        <v>Detox</v>
      </c>
      <c r="I723" s="11">
        <f>INDEX(Products!$D$2:$D$9,MATCH(D723,Products!$A$2:$A$9,0))</f>
        <v>15000</v>
      </c>
      <c r="J723" s="10">
        <f>IFERROR(INDEX(PlatformFees!$C$2:$C$5,MATCH(C723,PlatformFees!$A$2:$A$5,0)),0)</f>
        <v>0.13</v>
      </c>
      <c r="K723" s="11">
        <f t="shared" si="44"/>
        <v>30000</v>
      </c>
      <c r="L723" s="11">
        <f t="shared" si="45"/>
        <v>14118</v>
      </c>
      <c r="M723" s="11">
        <f t="shared" si="46"/>
        <v>64482</v>
      </c>
      <c r="N723" s="10">
        <f t="shared" si="47"/>
        <v>0.5937569060773481</v>
      </c>
    </row>
    <row r="724" spans="1:14" x14ac:dyDescent="0.3">
      <c r="A724" s="9" t="s">
        <v>814</v>
      </c>
      <c r="B724" s="9" t="s">
        <v>811</v>
      </c>
      <c r="C724" s="9" t="s">
        <v>36</v>
      </c>
      <c r="D724" s="9" t="s">
        <v>22</v>
      </c>
      <c r="E724" s="9">
        <v>3</v>
      </c>
      <c r="F724" s="11">
        <v>114200</v>
      </c>
      <c r="G724" s="9" t="str">
        <f>INDEX(Products!$B$2:$B$9,MATCH(D724,Products!$A$2:$A$9,0))</f>
        <v>Trà hoa cúc an thần</v>
      </c>
      <c r="H724" s="9" t="str">
        <f>INDEX(Products!$C$2:$C$9,MATCH(D724,Products!$A$2:$A$9,0))</f>
        <v>An thần</v>
      </c>
      <c r="I724" s="11">
        <f>INDEX(Products!$D$2:$D$9,MATCH(D724,Products!$A$2:$A$9,0))</f>
        <v>9500</v>
      </c>
      <c r="J724" s="10">
        <f>IFERROR(INDEX(PlatformFees!$C$2:$C$5,MATCH(C724,PlatformFees!$A$2:$A$5,0)),0)</f>
        <v>0.13</v>
      </c>
      <c r="K724" s="11">
        <f t="shared" si="44"/>
        <v>28500</v>
      </c>
      <c r="L724" s="11">
        <f t="shared" si="45"/>
        <v>14846</v>
      </c>
      <c r="M724" s="11">
        <f t="shared" si="46"/>
        <v>70854</v>
      </c>
      <c r="N724" s="10">
        <f t="shared" si="47"/>
        <v>0.62043782837127848</v>
      </c>
    </row>
    <row r="725" spans="1:14" x14ac:dyDescent="0.3">
      <c r="A725" s="9" t="s">
        <v>815</v>
      </c>
      <c r="B725" s="9" t="s">
        <v>811</v>
      </c>
      <c r="C725" s="9" t="s">
        <v>36</v>
      </c>
      <c r="D725" s="9" t="s">
        <v>25</v>
      </c>
      <c r="E725" s="9">
        <v>3</v>
      </c>
      <c r="F725" s="11">
        <v>94000</v>
      </c>
      <c r="G725" s="9" t="str">
        <f>INDEX(Products!$B$2:$B$9,MATCH(D725,Products!$A$2:$A$9,0))</f>
        <v>Trà hoa đậu biếc</v>
      </c>
      <c r="H725" s="9" t="str">
        <f>INDEX(Products!$C$2:$C$9,MATCH(D725,Products!$A$2:$A$9,0))</f>
        <v>An thần</v>
      </c>
      <c r="I725" s="11">
        <f>INDEX(Products!$D$2:$D$9,MATCH(D725,Products!$A$2:$A$9,0))</f>
        <v>8800</v>
      </c>
      <c r="J725" s="10">
        <f>IFERROR(INDEX(PlatformFees!$C$2:$C$5,MATCH(C725,PlatformFees!$A$2:$A$5,0)),0)</f>
        <v>0.13</v>
      </c>
      <c r="K725" s="11">
        <f t="shared" si="44"/>
        <v>26400</v>
      </c>
      <c r="L725" s="11">
        <f t="shared" si="45"/>
        <v>12220</v>
      </c>
      <c r="M725" s="11">
        <f t="shared" si="46"/>
        <v>55380</v>
      </c>
      <c r="N725" s="10">
        <f t="shared" si="47"/>
        <v>0.5891489361702128</v>
      </c>
    </row>
    <row r="726" spans="1:14" x14ac:dyDescent="0.3">
      <c r="A726" s="9" t="s">
        <v>816</v>
      </c>
      <c r="B726" s="9" t="s">
        <v>811</v>
      </c>
      <c r="C726" s="9" t="s">
        <v>38</v>
      </c>
      <c r="D726" s="9" t="s">
        <v>17</v>
      </c>
      <c r="E726" s="9">
        <v>2</v>
      </c>
      <c r="F726" s="11">
        <v>84500</v>
      </c>
      <c r="G726" s="9" t="str">
        <f>INDEX(Products!$B$2:$B$9,MATCH(D726,Products!$A$2:$A$9,0))</f>
        <v>Trà diếp cá rau má</v>
      </c>
      <c r="H726" s="9" t="str">
        <f>INDEX(Products!$C$2:$C$9,MATCH(D726,Products!$A$2:$A$9,0))</f>
        <v>Detox</v>
      </c>
      <c r="I726" s="11">
        <f>INDEX(Products!$D$2:$D$9,MATCH(D726,Products!$A$2:$A$9,0))</f>
        <v>10500</v>
      </c>
      <c r="J726" s="10">
        <f>IFERROR(INDEX(PlatformFees!$C$2:$C$5,MATCH(C726,PlatformFees!$A$2:$A$5,0)),0)</f>
        <v>0.16</v>
      </c>
      <c r="K726" s="11">
        <f t="shared" si="44"/>
        <v>21000</v>
      </c>
      <c r="L726" s="11">
        <f t="shared" si="45"/>
        <v>13520</v>
      </c>
      <c r="M726" s="11">
        <f t="shared" si="46"/>
        <v>49980</v>
      </c>
      <c r="N726" s="10">
        <f t="shared" si="47"/>
        <v>0.59147928994082843</v>
      </c>
    </row>
    <row r="727" spans="1:14" x14ac:dyDescent="0.3">
      <c r="A727" s="9" t="s">
        <v>817</v>
      </c>
      <c r="B727" s="9" t="s">
        <v>811</v>
      </c>
      <c r="C727" s="9" t="s">
        <v>39</v>
      </c>
      <c r="D727" s="9" t="s">
        <v>15</v>
      </c>
      <c r="E727" s="9">
        <v>1</v>
      </c>
      <c r="F727" s="11">
        <v>32100</v>
      </c>
      <c r="G727" s="9" t="str">
        <f>INDEX(Products!$B$2:$B$9,MATCH(D727,Products!$A$2:$A$9,0))</f>
        <v>Trà lá nam sen ổi</v>
      </c>
      <c r="H727" s="9" t="str">
        <f>INDEX(Products!$C$2:$C$9,MATCH(D727,Products!$A$2:$A$9,0))</f>
        <v>Thanh lọc</v>
      </c>
      <c r="I727" s="11">
        <f>INDEX(Products!$D$2:$D$9,MATCH(D727,Products!$A$2:$A$9,0))</f>
        <v>8500</v>
      </c>
      <c r="J727" s="10">
        <f>IFERROR(INDEX(PlatformFees!$C$2:$C$5,MATCH(C727,PlatformFees!$A$2:$A$5,0)),0)</f>
        <v>0</v>
      </c>
      <c r="K727" s="11">
        <f t="shared" si="44"/>
        <v>8500</v>
      </c>
      <c r="L727" s="11">
        <f t="shared" si="45"/>
        <v>0</v>
      </c>
      <c r="M727" s="11">
        <f t="shared" si="46"/>
        <v>23600</v>
      </c>
      <c r="N727" s="10">
        <f t="shared" si="47"/>
        <v>0.73520249221183798</v>
      </c>
    </row>
    <row r="728" spans="1:14" x14ac:dyDescent="0.3">
      <c r="A728" s="9" t="s">
        <v>818</v>
      </c>
      <c r="B728" s="9" t="s">
        <v>811</v>
      </c>
      <c r="C728" s="9" t="s">
        <v>39</v>
      </c>
      <c r="D728" s="9" t="s">
        <v>27</v>
      </c>
      <c r="E728" s="9">
        <v>1</v>
      </c>
      <c r="F728" s="11">
        <v>40200</v>
      </c>
      <c r="G728" s="9" t="str">
        <f>INDEX(Products!$B$2:$B$9,MATCH(D728,Products!$A$2:$A$9,0))</f>
        <v>Trà gừng mật ong</v>
      </c>
      <c r="H728" s="9" t="str">
        <f>INDEX(Products!$C$2:$C$9,MATCH(D728,Products!$A$2:$A$9,0))</f>
        <v>Giữ ấm</v>
      </c>
      <c r="I728" s="11">
        <f>INDEX(Products!$D$2:$D$9,MATCH(D728,Products!$A$2:$A$9,0))</f>
        <v>11000</v>
      </c>
      <c r="J728" s="10">
        <f>IFERROR(INDEX(PlatformFees!$C$2:$C$5,MATCH(C728,PlatformFees!$A$2:$A$5,0)),0)</f>
        <v>0</v>
      </c>
      <c r="K728" s="11">
        <f t="shared" si="44"/>
        <v>11000</v>
      </c>
      <c r="L728" s="11">
        <f t="shared" si="45"/>
        <v>0</v>
      </c>
      <c r="M728" s="11">
        <f t="shared" si="46"/>
        <v>29200</v>
      </c>
      <c r="N728" s="10">
        <f t="shared" si="47"/>
        <v>0.72636815920398012</v>
      </c>
    </row>
    <row r="729" spans="1:14" x14ac:dyDescent="0.3">
      <c r="A729" s="9" t="s">
        <v>819</v>
      </c>
      <c r="B729" s="9" t="s">
        <v>811</v>
      </c>
      <c r="C729" s="9" t="s">
        <v>36</v>
      </c>
      <c r="D729" s="9" t="s">
        <v>27</v>
      </c>
      <c r="E729" s="9">
        <v>1</v>
      </c>
      <c r="F729" s="11">
        <v>39100</v>
      </c>
      <c r="G729" s="9" t="str">
        <f>INDEX(Products!$B$2:$B$9,MATCH(D729,Products!$A$2:$A$9,0))</f>
        <v>Trà gừng mật ong</v>
      </c>
      <c r="H729" s="9" t="str">
        <f>INDEX(Products!$C$2:$C$9,MATCH(D729,Products!$A$2:$A$9,0))</f>
        <v>Giữ ấm</v>
      </c>
      <c r="I729" s="11">
        <f>INDEX(Products!$D$2:$D$9,MATCH(D729,Products!$A$2:$A$9,0))</f>
        <v>11000</v>
      </c>
      <c r="J729" s="10">
        <f>IFERROR(INDEX(PlatformFees!$C$2:$C$5,MATCH(C729,PlatformFees!$A$2:$A$5,0)),0)</f>
        <v>0.13</v>
      </c>
      <c r="K729" s="11">
        <f t="shared" si="44"/>
        <v>11000</v>
      </c>
      <c r="L729" s="11">
        <f t="shared" si="45"/>
        <v>5083</v>
      </c>
      <c r="M729" s="11">
        <f t="shared" si="46"/>
        <v>23017</v>
      </c>
      <c r="N729" s="10">
        <f t="shared" si="47"/>
        <v>0.58867007672634275</v>
      </c>
    </row>
    <row r="730" spans="1:14" x14ac:dyDescent="0.3">
      <c r="A730" s="9" t="s">
        <v>820</v>
      </c>
      <c r="B730" s="9" t="s">
        <v>811</v>
      </c>
      <c r="C730" s="9" t="s">
        <v>36</v>
      </c>
      <c r="D730" s="9" t="s">
        <v>30</v>
      </c>
      <c r="E730" s="9">
        <v>3</v>
      </c>
      <c r="F730" s="11">
        <v>100300</v>
      </c>
      <c r="G730" s="9" t="str">
        <f>INDEX(Products!$B$2:$B$9,MATCH(D730,Products!$A$2:$A$9,0))</f>
        <v>Trà mâm xôi vitamin</v>
      </c>
      <c r="H730" s="9" t="str">
        <f>INDEX(Products!$C$2:$C$9,MATCH(D730,Products!$A$2:$A$9,0))</f>
        <v>Bổ sung dưỡng chất</v>
      </c>
      <c r="I730" s="11">
        <f>INDEX(Products!$D$2:$D$9,MATCH(D730,Products!$A$2:$A$9,0))</f>
        <v>9800</v>
      </c>
      <c r="J730" s="10">
        <f>IFERROR(INDEX(PlatformFees!$C$2:$C$5,MATCH(C730,PlatformFees!$A$2:$A$5,0)),0)</f>
        <v>0.13</v>
      </c>
      <c r="K730" s="11">
        <f t="shared" si="44"/>
        <v>29400</v>
      </c>
      <c r="L730" s="11">
        <f t="shared" si="45"/>
        <v>13039</v>
      </c>
      <c r="M730" s="11">
        <f t="shared" si="46"/>
        <v>57861</v>
      </c>
      <c r="N730" s="10">
        <f t="shared" si="47"/>
        <v>0.57687936191425726</v>
      </c>
    </row>
    <row r="731" spans="1:14" x14ac:dyDescent="0.3">
      <c r="A731" s="9" t="s">
        <v>821</v>
      </c>
      <c r="B731" s="9" t="s">
        <v>811</v>
      </c>
      <c r="C731" s="9" t="s">
        <v>38</v>
      </c>
      <c r="D731" s="9" t="s">
        <v>17</v>
      </c>
      <c r="E731" s="9">
        <v>2</v>
      </c>
      <c r="F731" s="11">
        <v>85200</v>
      </c>
      <c r="G731" s="9" t="str">
        <f>INDEX(Products!$B$2:$B$9,MATCH(D731,Products!$A$2:$A$9,0))</f>
        <v>Trà diếp cá rau má</v>
      </c>
      <c r="H731" s="9" t="str">
        <f>INDEX(Products!$C$2:$C$9,MATCH(D731,Products!$A$2:$A$9,0))</f>
        <v>Detox</v>
      </c>
      <c r="I731" s="11">
        <f>INDEX(Products!$D$2:$D$9,MATCH(D731,Products!$A$2:$A$9,0))</f>
        <v>10500</v>
      </c>
      <c r="J731" s="10">
        <f>IFERROR(INDEX(PlatformFees!$C$2:$C$5,MATCH(C731,PlatformFees!$A$2:$A$5,0)),0)</f>
        <v>0.16</v>
      </c>
      <c r="K731" s="11">
        <f t="shared" si="44"/>
        <v>21000</v>
      </c>
      <c r="L731" s="11">
        <f t="shared" si="45"/>
        <v>13632</v>
      </c>
      <c r="M731" s="11">
        <f t="shared" si="46"/>
        <v>50568</v>
      </c>
      <c r="N731" s="10">
        <f t="shared" si="47"/>
        <v>0.59352112676056334</v>
      </c>
    </row>
    <row r="732" spans="1:14" x14ac:dyDescent="0.3">
      <c r="A732" s="9" t="s">
        <v>822</v>
      </c>
      <c r="B732" s="9" t="s">
        <v>811</v>
      </c>
      <c r="C732" s="9" t="s">
        <v>36</v>
      </c>
      <c r="D732" s="9" t="s">
        <v>15</v>
      </c>
      <c r="E732" s="9">
        <v>1</v>
      </c>
      <c r="F732" s="11">
        <v>32600</v>
      </c>
      <c r="G732" s="9" t="str">
        <f>INDEX(Products!$B$2:$B$9,MATCH(D732,Products!$A$2:$A$9,0))</f>
        <v>Trà lá nam sen ổi</v>
      </c>
      <c r="H732" s="9" t="str">
        <f>INDEX(Products!$C$2:$C$9,MATCH(D732,Products!$A$2:$A$9,0))</f>
        <v>Thanh lọc</v>
      </c>
      <c r="I732" s="11">
        <f>INDEX(Products!$D$2:$D$9,MATCH(D732,Products!$A$2:$A$9,0))</f>
        <v>8500</v>
      </c>
      <c r="J732" s="10">
        <f>IFERROR(INDEX(PlatformFees!$C$2:$C$5,MATCH(C732,PlatformFees!$A$2:$A$5,0)),0)</f>
        <v>0.13</v>
      </c>
      <c r="K732" s="11">
        <f t="shared" si="44"/>
        <v>8500</v>
      </c>
      <c r="L732" s="11">
        <f t="shared" si="45"/>
        <v>4238</v>
      </c>
      <c r="M732" s="11">
        <f t="shared" si="46"/>
        <v>19862</v>
      </c>
      <c r="N732" s="10">
        <f t="shared" si="47"/>
        <v>0.60926380368098154</v>
      </c>
    </row>
    <row r="733" spans="1:14" x14ac:dyDescent="0.3">
      <c r="A733" s="9" t="s">
        <v>823</v>
      </c>
      <c r="B733" s="9" t="s">
        <v>811</v>
      </c>
      <c r="C733" s="9" t="s">
        <v>38</v>
      </c>
      <c r="D733" s="9" t="s">
        <v>15</v>
      </c>
      <c r="E733" s="9">
        <v>3</v>
      </c>
      <c r="F733" s="11">
        <v>93700</v>
      </c>
      <c r="G733" s="9" t="str">
        <f>INDEX(Products!$B$2:$B$9,MATCH(D733,Products!$A$2:$A$9,0))</f>
        <v>Trà lá nam sen ổi</v>
      </c>
      <c r="H733" s="9" t="str">
        <f>INDEX(Products!$C$2:$C$9,MATCH(D733,Products!$A$2:$A$9,0))</f>
        <v>Thanh lọc</v>
      </c>
      <c r="I733" s="11">
        <f>INDEX(Products!$D$2:$D$9,MATCH(D733,Products!$A$2:$A$9,0))</f>
        <v>8500</v>
      </c>
      <c r="J733" s="10">
        <f>IFERROR(INDEX(PlatformFees!$C$2:$C$5,MATCH(C733,PlatformFees!$A$2:$A$5,0)),0)</f>
        <v>0.16</v>
      </c>
      <c r="K733" s="11">
        <f t="shared" si="44"/>
        <v>25500</v>
      </c>
      <c r="L733" s="11">
        <f t="shared" si="45"/>
        <v>14992</v>
      </c>
      <c r="M733" s="11">
        <f t="shared" si="46"/>
        <v>53208</v>
      </c>
      <c r="N733" s="10">
        <f t="shared" si="47"/>
        <v>0.56785485592315899</v>
      </c>
    </row>
    <row r="734" spans="1:14" x14ac:dyDescent="0.3">
      <c r="A734" s="9" t="s">
        <v>824</v>
      </c>
      <c r="B734" s="9" t="s">
        <v>811</v>
      </c>
      <c r="C734" s="9" t="s">
        <v>36</v>
      </c>
      <c r="D734" s="9" t="s">
        <v>27</v>
      </c>
      <c r="E734" s="9">
        <v>1</v>
      </c>
      <c r="F734" s="11">
        <v>37000</v>
      </c>
      <c r="G734" s="9" t="str">
        <f>INDEX(Products!$B$2:$B$9,MATCH(D734,Products!$A$2:$A$9,0))</f>
        <v>Trà gừng mật ong</v>
      </c>
      <c r="H734" s="9" t="str">
        <f>INDEX(Products!$C$2:$C$9,MATCH(D734,Products!$A$2:$A$9,0))</f>
        <v>Giữ ấm</v>
      </c>
      <c r="I734" s="11">
        <f>INDEX(Products!$D$2:$D$9,MATCH(D734,Products!$A$2:$A$9,0))</f>
        <v>11000</v>
      </c>
      <c r="J734" s="10">
        <f>IFERROR(INDEX(PlatformFees!$C$2:$C$5,MATCH(C734,PlatformFees!$A$2:$A$5,0)),0)</f>
        <v>0.13</v>
      </c>
      <c r="K734" s="11">
        <f t="shared" si="44"/>
        <v>11000</v>
      </c>
      <c r="L734" s="11">
        <f t="shared" si="45"/>
        <v>4810</v>
      </c>
      <c r="M734" s="11">
        <f t="shared" si="46"/>
        <v>21190</v>
      </c>
      <c r="N734" s="10">
        <f t="shared" si="47"/>
        <v>0.57270270270270274</v>
      </c>
    </row>
    <row r="735" spans="1:14" x14ac:dyDescent="0.3">
      <c r="A735" s="9" t="s">
        <v>825</v>
      </c>
      <c r="B735" s="9" t="s">
        <v>811</v>
      </c>
      <c r="C735" s="9" t="s">
        <v>36</v>
      </c>
      <c r="D735" s="9" t="s">
        <v>30</v>
      </c>
      <c r="E735" s="9">
        <v>1</v>
      </c>
      <c r="F735" s="11">
        <v>36800</v>
      </c>
      <c r="G735" s="9" t="str">
        <f>INDEX(Products!$B$2:$B$9,MATCH(D735,Products!$A$2:$A$9,0))</f>
        <v>Trà mâm xôi vitamin</v>
      </c>
      <c r="H735" s="9" t="str">
        <f>INDEX(Products!$C$2:$C$9,MATCH(D735,Products!$A$2:$A$9,0))</f>
        <v>Bổ sung dưỡng chất</v>
      </c>
      <c r="I735" s="11">
        <f>INDEX(Products!$D$2:$D$9,MATCH(D735,Products!$A$2:$A$9,0))</f>
        <v>9800</v>
      </c>
      <c r="J735" s="10">
        <f>IFERROR(INDEX(PlatformFees!$C$2:$C$5,MATCH(C735,PlatformFees!$A$2:$A$5,0)),0)</f>
        <v>0.13</v>
      </c>
      <c r="K735" s="11">
        <f t="shared" si="44"/>
        <v>9800</v>
      </c>
      <c r="L735" s="11">
        <f t="shared" si="45"/>
        <v>4784</v>
      </c>
      <c r="M735" s="11">
        <f t="shared" si="46"/>
        <v>22216</v>
      </c>
      <c r="N735" s="10">
        <f t="shared" si="47"/>
        <v>0.60369565217391308</v>
      </c>
    </row>
    <row r="736" spans="1:14" x14ac:dyDescent="0.3">
      <c r="A736" s="9" t="s">
        <v>826</v>
      </c>
      <c r="B736" s="9" t="s">
        <v>811</v>
      </c>
      <c r="C736" s="9" t="s">
        <v>39</v>
      </c>
      <c r="D736" s="9" t="s">
        <v>22</v>
      </c>
      <c r="E736" s="9">
        <v>3</v>
      </c>
      <c r="F736" s="11">
        <v>114200</v>
      </c>
      <c r="G736" s="9" t="str">
        <f>INDEX(Products!$B$2:$B$9,MATCH(D736,Products!$A$2:$A$9,0))</f>
        <v>Trà hoa cúc an thần</v>
      </c>
      <c r="H736" s="9" t="str">
        <f>INDEX(Products!$C$2:$C$9,MATCH(D736,Products!$A$2:$A$9,0))</f>
        <v>An thần</v>
      </c>
      <c r="I736" s="11">
        <f>INDEX(Products!$D$2:$D$9,MATCH(D736,Products!$A$2:$A$9,0))</f>
        <v>9500</v>
      </c>
      <c r="J736" s="10">
        <f>IFERROR(INDEX(PlatformFees!$C$2:$C$5,MATCH(C736,PlatformFees!$A$2:$A$5,0)),0)</f>
        <v>0</v>
      </c>
      <c r="K736" s="11">
        <f t="shared" si="44"/>
        <v>28500</v>
      </c>
      <c r="L736" s="11">
        <f t="shared" si="45"/>
        <v>0</v>
      </c>
      <c r="M736" s="11">
        <f t="shared" si="46"/>
        <v>85700</v>
      </c>
      <c r="N736" s="10">
        <f t="shared" si="47"/>
        <v>0.75043782837127848</v>
      </c>
    </row>
    <row r="737" spans="1:14" x14ac:dyDescent="0.3">
      <c r="A737" s="9" t="s">
        <v>827</v>
      </c>
      <c r="B737" s="9" t="s">
        <v>811</v>
      </c>
      <c r="C737" s="9" t="s">
        <v>36</v>
      </c>
      <c r="D737" s="9" t="s">
        <v>17</v>
      </c>
      <c r="E737" s="9">
        <v>2</v>
      </c>
      <c r="F737" s="11">
        <v>85700</v>
      </c>
      <c r="G737" s="9" t="str">
        <f>INDEX(Products!$B$2:$B$9,MATCH(D737,Products!$A$2:$A$9,0))</f>
        <v>Trà diếp cá rau má</v>
      </c>
      <c r="H737" s="9" t="str">
        <f>INDEX(Products!$C$2:$C$9,MATCH(D737,Products!$A$2:$A$9,0))</f>
        <v>Detox</v>
      </c>
      <c r="I737" s="11">
        <f>INDEX(Products!$D$2:$D$9,MATCH(D737,Products!$A$2:$A$9,0))</f>
        <v>10500</v>
      </c>
      <c r="J737" s="10">
        <f>IFERROR(INDEX(PlatformFees!$C$2:$C$5,MATCH(C737,PlatformFees!$A$2:$A$5,0)),0)</f>
        <v>0.13</v>
      </c>
      <c r="K737" s="11">
        <f t="shared" si="44"/>
        <v>21000</v>
      </c>
      <c r="L737" s="11">
        <f t="shared" si="45"/>
        <v>11141</v>
      </c>
      <c r="M737" s="11">
        <f t="shared" si="46"/>
        <v>53559</v>
      </c>
      <c r="N737" s="10">
        <f t="shared" si="47"/>
        <v>0.62495915985997663</v>
      </c>
    </row>
    <row r="738" spans="1:14" x14ac:dyDescent="0.3">
      <c r="A738" s="9" t="s">
        <v>828</v>
      </c>
      <c r="B738" s="9" t="s">
        <v>811</v>
      </c>
      <c r="C738" s="9" t="s">
        <v>36</v>
      </c>
      <c r="D738" s="9" t="s">
        <v>27</v>
      </c>
      <c r="E738" s="9">
        <v>2</v>
      </c>
      <c r="F738" s="11">
        <v>76900</v>
      </c>
      <c r="G738" s="9" t="str">
        <f>INDEX(Products!$B$2:$B$9,MATCH(D738,Products!$A$2:$A$9,0))</f>
        <v>Trà gừng mật ong</v>
      </c>
      <c r="H738" s="9" t="str">
        <f>INDEX(Products!$C$2:$C$9,MATCH(D738,Products!$A$2:$A$9,0))</f>
        <v>Giữ ấm</v>
      </c>
      <c r="I738" s="11">
        <f>INDEX(Products!$D$2:$D$9,MATCH(D738,Products!$A$2:$A$9,0))</f>
        <v>11000</v>
      </c>
      <c r="J738" s="10">
        <f>IFERROR(INDEX(PlatformFees!$C$2:$C$5,MATCH(C738,PlatformFees!$A$2:$A$5,0)),0)</f>
        <v>0.13</v>
      </c>
      <c r="K738" s="11">
        <f t="shared" si="44"/>
        <v>22000</v>
      </c>
      <c r="L738" s="11">
        <f t="shared" si="45"/>
        <v>9997</v>
      </c>
      <c r="M738" s="11">
        <f t="shared" si="46"/>
        <v>44903</v>
      </c>
      <c r="N738" s="10">
        <f t="shared" si="47"/>
        <v>0.58391417425227565</v>
      </c>
    </row>
    <row r="739" spans="1:14" x14ac:dyDescent="0.3">
      <c r="A739" s="9" t="s">
        <v>829</v>
      </c>
      <c r="B739" s="9" t="s">
        <v>811</v>
      </c>
      <c r="C739" s="9" t="s">
        <v>38</v>
      </c>
      <c r="D739" s="9" t="s">
        <v>30</v>
      </c>
      <c r="E739" s="9">
        <v>1</v>
      </c>
      <c r="F739" s="11">
        <v>34000</v>
      </c>
      <c r="G739" s="9" t="str">
        <f>INDEX(Products!$B$2:$B$9,MATCH(D739,Products!$A$2:$A$9,0))</f>
        <v>Trà mâm xôi vitamin</v>
      </c>
      <c r="H739" s="9" t="str">
        <f>INDEX(Products!$C$2:$C$9,MATCH(D739,Products!$A$2:$A$9,0))</f>
        <v>Bổ sung dưỡng chất</v>
      </c>
      <c r="I739" s="11">
        <f>INDEX(Products!$D$2:$D$9,MATCH(D739,Products!$A$2:$A$9,0))</f>
        <v>9800</v>
      </c>
      <c r="J739" s="10">
        <f>IFERROR(INDEX(PlatformFees!$C$2:$C$5,MATCH(C739,PlatformFees!$A$2:$A$5,0)),0)</f>
        <v>0.16</v>
      </c>
      <c r="K739" s="11">
        <f t="shared" si="44"/>
        <v>9800</v>
      </c>
      <c r="L739" s="11">
        <f t="shared" si="45"/>
        <v>5440</v>
      </c>
      <c r="M739" s="11">
        <f t="shared" si="46"/>
        <v>18760</v>
      </c>
      <c r="N739" s="10">
        <f t="shared" si="47"/>
        <v>0.55176470588235293</v>
      </c>
    </row>
    <row r="740" spans="1:14" x14ac:dyDescent="0.3">
      <c r="A740" s="9" t="s">
        <v>830</v>
      </c>
      <c r="B740" s="9" t="s">
        <v>811</v>
      </c>
      <c r="C740" s="9" t="s">
        <v>38</v>
      </c>
      <c r="D740" s="9" t="s">
        <v>12</v>
      </c>
      <c r="E740" s="9">
        <v>2</v>
      </c>
      <c r="F740" s="11">
        <v>64900</v>
      </c>
      <c r="G740" s="9" t="str">
        <f>INDEX(Products!$B$2:$B$9,MATCH(D740,Products!$A$2:$A$9,0))</f>
        <v>Trà atiso thanh lọc</v>
      </c>
      <c r="H740" s="9" t="str">
        <f>INDEX(Products!$C$2:$C$9,MATCH(D740,Products!$A$2:$A$9,0))</f>
        <v>Thanh lọc</v>
      </c>
      <c r="I740" s="11">
        <f>INDEX(Products!$D$2:$D$9,MATCH(D740,Products!$A$2:$A$9,0))</f>
        <v>9000</v>
      </c>
      <c r="J740" s="10">
        <f>IFERROR(INDEX(PlatformFees!$C$2:$C$5,MATCH(C740,PlatformFees!$A$2:$A$5,0)),0)</f>
        <v>0.16</v>
      </c>
      <c r="K740" s="11">
        <f t="shared" si="44"/>
        <v>18000</v>
      </c>
      <c r="L740" s="11">
        <f t="shared" si="45"/>
        <v>10384</v>
      </c>
      <c r="M740" s="11">
        <f t="shared" si="46"/>
        <v>36516</v>
      </c>
      <c r="N740" s="10">
        <f t="shared" si="47"/>
        <v>0.56265023112480739</v>
      </c>
    </row>
    <row r="741" spans="1:14" x14ac:dyDescent="0.3">
      <c r="A741" s="9" t="s">
        <v>831</v>
      </c>
      <c r="B741" s="9" t="s">
        <v>832</v>
      </c>
      <c r="C741" s="9" t="s">
        <v>39</v>
      </c>
      <c r="D741" s="9" t="s">
        <v>27</v>
      </c>
      <c r="E741" s="9">
        <v>1</v>
      </c>
      <c r="F741" s="11">
        <v>38200</v>
      </c>
      <c r="G741" s="9" t="str">
        <f>INDEX(Products!$B$2:$B$9,MATCH(D741,Products!$A$2:$A$9,0))</f>
        <v>Trà gừng mật ong</v>
      </c>
      <c r="H741" s="9" t="str">
        <f>INDEX(Products!$C$2:$C$9,MATCH(D741,Products!$A$2:$A$9,0))</f>
        <v>Giữ ấm</v>
      </c>
      <c r="I741" s="11">
        <f>INDEX(Products!$D$2:$D$9,MATCH(D741,Products!$A$2:$A$9,0))</f>
        <v>11000</v>
      </c>
      <c r="J741" s="10">
        <f>IFERROR(INDEX(PlatformFees!$C$2:$C$5,MATCH(C741,PlatformFees!$A$2:$A$5,0)),0)</f>
        <v>0</v>
      </c>
      <c r="K741" s="11">
        <f t="shared" si="44"/>
        <v>11000</v>
      </c>
      <c r="L741" s="11">
        <f t="shared" si="45"/>
        <v>0</v>
      </c>
      <c r="M741" s="11">
        <f t="shared" si="46"/>
        <v>27200</v>
      </c>
      <c r="N741" s="10">
        <f t="shared" si="47"/>
        <v>0.7120418848167539</v>
      </c>
    </row>
    <row r="742" spans="1:14" x14ac:dyDescent="0.3">
      <c r="A742" s="9" t="s">
        <v>833</v>
      </c>
      <c r="B742" s="9" t="s">
        <v>832</v>
      </c>
      <c r="C742" s="9" t="s">
        <v>38</v>
      </c>
      <c r="D742" s="9" t="s">
        <v>12</v>
      </c>
      <c r="E742" s="9">
        <v>1</v>
      </c>
      <c r="F742" s="11">
        <v>33300</v>
      </c>
      <c r="G742" s="9" t="str">
        <f>INDEX(Products!$B$2:$B$9,MATCH(D742,Products!$A$2:$A$9,0))</f>
        <v>Trà atiso thanh lọc</v>
      </c>
      <c r="H742" s="9" t="str">
        <f>INDEX(Products!$C$2:$C$9,MATCH(D742,Products!$A$2:$A$9,0))</f>
        <v>Thanh lọc</v>
      </c>
      <c r="I742" s="11">
        <f>INDEX(Products!$D$2:$D$9,MATCH(D742,Products!$A$2:$A$9,0))</f>
        <v>9000</v>
      </c>
      <c r="J742" s="10">
        <f>IFERROR(INDEX(PlatformFees!$C$2:$C$5,MATCH(C742,PlatformFees!$A$2:$A$5,0)),0)</f>
        <v>0.16</v>
      </c>
      <c r="K742" s="11">
        <f t="shared" si="44"/>
        <v>9000</v>
      </c>
      <c r="L742" s="11">
        <f t="shared" si="45"/>
        <v>5328</v>
      </c>
      <c r="M742" s="11">
        <f t="shared" si="46"/>
        <v>18972</v>
      </c>
      <c r="N742" s="10">
        <f t="shared" si="47"/>
        <v>0.56972972972972968</v>
      </c>
    </row>
    <row r="743" spans="1:14" x14ac:dyDescent="0.3">
      <c r="A743" s="9" t="s">
        <v>834</v>
      </c>
      <c r="B743" s="9" t="s">
        <v>832</v>
      </c>
      <c r="C743" s="9" t="s">
        <v>39</v>
      </c>
      <c r="D743" s="9" t="s">
        <v>27</v>
      </c>
      <c r="E743" s="9">
        <v>1</v>
      </c>
      <c r="F743" s="11">
        <v>38800</v>
      </c>
      <c r="G743" s="9" t="str">
        <f>INDEX(Products!$B$2:$B$9,MATCH(D743,Products!$A$2:$A$9,0))</f>
        <v>Trà gừng mật ong</v>
      </c>
      <c r="H743" s="9" t="str">
        <f>INDEX(Products!$C$2:$C$9,MATCH(D743,Products!$A$2:$A$9,0))</f>
        <v>Giữ ấm</v>
      </c>
      <c r="I743" s="11">
        <f>INDEX(Products!$D$2:$D$9,MATCH(D743,Products!$A$2:$A$9,0))</f>
        <v>11000</v>
      </c>
      <c r="J743" s="10">
        <f>IFERROR(INDEX(PlatformFees!$C$2:$C$5,MATCH(C743,PlatformFees!$A$2:$A$5,0)),0)</f>
        <v>0</v>
      </c>
      <c r="K743" s="11">
        <f t="shared" si="44"/>
        <v>11000</v>
      </c>
      <c r="L743" s="11">
        <f t="shared" si="45"/>
        <v>0</v>
      </c>
      <c r="M743" s="11">
        <f t="shared" si="46"/>
        <v>27800</v>
      </c>
      <c r="N743" s="10">
        <f t="shared" si="47"/>
        <v>0.71649484536082475</v>
      </c>
    </row>
    <row r="744" spans="1:14" x14ac:dyDescent="0.3">
      <c r="A744" s="9" t="s">
        <v>835</v>
      </c>
      <c r="B744" s="9" t="s">
        <v>832</v>
      </c>
      <c r="C744" s="9" t="s">
        <v>38</v>
      </c>
      <c r="D744" s="9" t="s">
        <v>20</v>
      </c>
      <c r="E744" s="9">
        <v>1</v>
      </c>
      <c r="F744" s="11">
        <v>55000</v>
      </c>
      <c r="G744" s="9" t="str">
        <f>INDEX(Products!$B$2:$B$9,MATCH(D744,Products!$A$2:$A$9,0))</f>
        <v>Trà cà leo gai giảm cân</v>
      </c>
      <c r="H744" s="9" t="str">
        <f>INDEX(Products!$C$2:$C$9,MATCH(D744,Products!$A$2:$A$9,0))</f>
        <v>Detox</v>
      </c>
      <c r="I744" s="11">
        <f>INDEX(Products!$D$2:$D$9,MATCH(D744,Products!$A$2:$A$9,0))</f>
        <v>15000</v>
      </c>
      <c r="J744" s="10">
        <f>IFERROR(INDEX(PlatformFees!$C$2:$C$5,MATCH(C744,PlatformFees!$A$2:$A$5,0)),0)</f>
        <v>0.16</v>
      </c>
      <c r="K744" s="11">
        <f t="shared" si="44"/>
        <v>15000</v>
      </c>
      <c r="L744" s="11">
        <f t="shared" si="45"/>
        <v>8800</v>
      </c>
      <c r="M744" s="11">
        <f t="shared" si="46"/>
        <v>31200</v>
      </c>
      <c r="N744" s="10">
        <f t="shared" si="47"/>
        <v>0.56727272727272726</v>
      </c>
    </row>
    <row r="745" spans="1:14" x14ac:dyDescent="0.3">
      <c r="A745" s="9" t="s">
        <v>836</v>
      </c>
      <c r="B745" s="9" t="s">
        <v>832</v>
      </c>
      <c r="C745" s="9" t="s">
        <v>38</v>
      </c>
      <c r="D745" s="9" t="s">
        <v>25</v>
      </c>
      <c r="E745" s="9">
        <v>1</v>
      </c>
      <c r="F745" s="11">
        <v>31300</v>
      </c>
      <c r="G745" s="9" t="str">
        <f>INDEX(Products!$B$2:$B$9,MATCH(D745,Products!$A$2:$A$9,0))</f>
        <v>Trà hoa đậu biếc</v>
      </c>
      <c r="H745" s="9" t="str">
        <f>INDEX(Products!$C$2:$C$9,MATCH(D745,Products!$A$2:$A$9,0))</f>
        <v>An thần</v>
      </c>
      <c r="I745" s="11">
        <f>INDEX(Products!$D$2:$D$9,MATCH(D745,Products!$A$2:$A$9,0))</f>
        <v>8800</v>
      </c>
      <c r="J745" s="10">
        <f>IFERROR(INDEX(PlatformFees!$C$2:$C$5,MATCH(C745,PlatformFees!$A$2:$A$5,0)),0)</f>
        <v>0.16</v>
      </c>
      <c r="K745" s="11">
        <f t="shared" si="44"/>
        <v>8800</v>
      </c>
      <c r="L745" s="11">
        <f t="shared" si="45"/>
        <v>5008</v>
      </c>
      <c r="M745" s="11">
        <f t="shared" si="46"/>
        <v>17492</v>
      </c>
      <c r="N745" s="10">
        <f t="shared" si="47"/>
        <v>0.55884984025559103</v>
      </c>
    </row>
    <row r="746" spans="1:14" x14ac:dyDescent="0.3">
      <c r="A746" s="9" t="s">
        <v>837</v>
      </c>
      <c r="B746" s="9" t="s">
        <v>832</v>
      </c>
      <c r="C746" s="9" t="s">
        <v>36</v>
      </c>
      <c r="D746" s="9" t="s">
        <v>17</v>
      </c>
      <c r="E746" s="9">
        <v>1</v>
      </c>
      <c r="F746" s="11">
        <v>41600</v>
      </c>
      <c r="G746" s="9" t="str">
        <f>INDEX(Products!$B$2:$B$9,MATCH(D746,Products!$A$2:$A$9,0))</f>
        <v>Trà diếp cá rau má</v>
      </c>
      <c r="H746" s="9" t="str">
        <f>INDEX(Products!$C$2:$C$9,MATCH(D746,Products!$A$2:$A$9,0))</f>
        <v>Detox</v>
      </c>
      <c r="I746" s="11">
        <f>INDEX(Products!$D$2:$D$9,MATCH(D746,Products!$A$2:$A$9,0))</f>
        <v>10500</v>
      </c>
      <c r="J746" s="10">
        <f>IFERROR(INDEX(PlatformFees!$C$2:$C$5,MATCH(C746,PlatformFees!$A$2:$A$5,0)),0)</f>
        <v>0.13</v>
      </c>
      <c r="K746" s="11">
        <f t="shared" si="44"/>
        <v>10500</v>
      </c>
      <c r="L746" s="11">
        <f t="shared" si="45"/>
        <v>5408</v>
      </c>
      <c r="M746" s="11">
        <f t="shared" si="46"/>
        <v>25692</v>
      </c>
      <c r="N746" s="10">
        <f t="shared" si="47"/>
        <v>0.61759615384615385</v>
      </c>
    </row>
    <row r="747" spans="1:14" x14ac:dyDescent="0.3">
      <c r="A747" s="9" t="s">
        <v>838</v>
      </c>
      <c r="B747" s="9" t="s">
        <v>832</v>
      </c>
      <c r="C747" s="9" t="s">
        <v>38</v>
      </c>
      <c r="D747" s="9" t="s">
        <v>12</v>
      </c>
      <c r="E747" s="9">
        <v>1</v>
      </c>
      <c r="F747" s="11">
        <v>32200</v>
      </c>
      <c r="G747" s="9" t="str">
        <f>INDEX(Products!$B$2:$B$9,MATCH(D747,Products!$A$2:$A$9,0))</f>
        <v>Trà atiso thanh lọc</v>
      </c>
      <c r="H747" s="9" t="str">
        <f>INDEX(Products!$C$2:$C$9,MATCH(D747,Products!$A$2:$A$9,0))</f>
        <v>Thanh lọc</v>
      </c>
      <c r="I747" s="11">
        <f>INDEX(Products!$D$2:$D$9,MATCH(D747,Products!$A$2:$A$9,0))</f>
        <v>9000</v>
      </c>
      <c r="J747" s="10">
        <f>IFERROR(INDEX(PlatformFees!$C$2:$C$5,MATCH(C747,PlatformFees!$A$2:$A$5,0)),0)</f>
        <v>0.16</v>
      </c>
      <c r="K747" s="11">
        <f t="shared" si="44"/>
        <v>9000</v>
      </c>
      <c r="L747" s="11">
        <f t="shared" si="45"/>
        <v>5152</v>
      </c>
      <c r="M747" s="11">
        <f t="shared" si="46"/>
        <v>18048</v>
      </c>
      <c r="N747" s="10">
        <f t="shared" si="47"/>
        <v>0.56049689440993788</v>
      </c>
    </row>
    <row r="748" spans="1:14" x14ac:dyDescent="0.3">
      <c r="A748" s="9" t="s">
        <v>839</v>
      </c>
      <c r="B748" s="9" t="s">
        <v>832</v>
      </c>
      <c r="C748" s="9" t="s">
        <v>38</v>
      </c>
      <c r="D748" s="9" t="s">
        <v>27</v>
      </c>
      <c r="E748" s="9">
        <v>3</v>
      </c>
      <c r="F748" s="11">
        <v>114500</v>
      </c>
      <c r="G748" s="9" t="str">
        <f>INDEX(Products!$B$2:$B$9,MATCH(D748,Products!$A$2:$A$9,0))</f>
        <v>Trà gừng mật ong</v>
      </c>
      <c r="H748" s="9" t="str">
        <f>INDEX(Products!$C$2:$C$9,MATCH(D748,Products!$A$2:$A$9,0))</f>
        <v>Giữ ấm</v>
      </c>
      <c r="I748" s="11">
        <f>INDEX(Products!$D$2:$D$9,MATCH(D748,Products!$A$2:$A$9,0))</f>
        <v>11000</v>
      </c>
      <c r="J748" s="10">
        <f>IFERROR(INDEX(PlatformFees!$C$2:$C$5,MATCH(C748,PlatformFees!$A$2:$A$5,0)),0)</f>
        <v>0.16</v>
      </c>
      <c r="K748" s="11">
        <f t="shared" si="44"/>
        <v>33000</v>
      </c>
      <c r="L748" s="11">
        <f t="shared" si="45"/>
        <v>18320</v>
      </c>
      <c r="M748" s="11">
        <f t="shared" si="46"/>
        <v>63180</v>
      </c>
      <c r="N748" s="10">
        <f t="shared" si="47"/>
        <v>0.5517903930131004</v>
      </c>
    </row>
    <row r="749" spans="1:14" x14ac:dyDescent="0.3">
      <c r="A749" s="9" t="s">
        <v>840</v>
      </c>
      <c r="B749" s="9" t="s">
        <v>832</v>
      </c>
      <c r="C749" s="9" t="s">
        <v>36</v>
      </c>
      <c r="D749" s="9" t="s">
        <v>30</v>
      </c>
      <c r="E749" s="9">
        <v>2</v>
      </c>
      <c r="F749" s="11">
        <v>70100</v>
      </c>
      <c r="G749" s="9" t="str">
        <f>INDEX(Products!$B$2:$B$9,MATCH(D749,Products!$A$2:$A$9,0))</f>
        <v>Trà mâm xôi vitamin</v>
      </c>
      <c r="H749" s="9" t="str">
        <f>INDEX(Products!$C$2:$C$9,MATCH(D749,Products!$A$2:$A$9,0))</f>
        <v>Bổ sung dưỡng chất</v>
      </c>
      <c r="I749" s="11">
        <f>INDEX(Products!$D$2:$D$9,MATCH(D749,Products!$A$2:$A$9,0))</f>
        <v>9800</v>
      </c>
      <c r="J749" s="10">
        <f>IFERROR(INDEX(PlatformFees!$C$2:$C$5,MATCH(C749,PlatformFees!$A$2:$A$5,0)),0)</f>
        <v>0.13</v>
      </c>
      <c r="K749" s="11">
        <f t="shared" si="44"/>
        <v>19600</v>
      </c>
      <c r="L749" s="11">
        <f t="shared" si="45"/>
        <v>9113</v>
      </c>
      <c r="M749" s="11">
        <f t="shared" si="46"/>
        <v>41387</v>
      </c>
      <c r="N749" s="10">
        <f t="shared" si="47"/>
        <v>0.59039942938659062</v>
      </c>
    </row>
    <row r="750" spans="1:14" x14ac:dyDescent="0.3">
      <c r="A750" s="9" t="s">
        <v>841</v>
      </c>
      <c r="B750" s="9" t="s">
        <v>832</v>
      </c>
      <c r="C750" s="9" t="s">
        <v>36</v>
      </c>
      <c r="D750" s="9" t="s">
        <v>30</v>
      </c>
      <c r="E750" s="9">
        <v>3</v>
      </c>
      <c r="F750" s="11">
        <v>102700</v>
      </c>
      <c r="G750" s="9" t="str">
        <f>INDEX(Products!$B$2:$B$9,MATCH(D750,Products!$A$2:$A$9,0))</f>
        <v>Trà mâm xôi vitamin</v>
      </c>
      <c r="H750" s="9" t="str">
        <f>INDEX(Products!$C$2:$C$9,MATCH(D750,Products!$A$2:$A$9,0))</f>
        <v>Bổ sung dưỡng chất</v>
      </c>
      <c r="I750" s="11">
        <f>INDEX(Products!$D$2:$D$9,MATCH(D750,Products!$A$2:$A$9,0))</f>
        <v>9800</v>
      </c>
      <c r="J750" s="10">
        <f>IFERROR(INDEX(PlatformFees!$C$2:$C$5,MATCH(C750,PlatformFees!$A$2:$A$5,0)),0)</f>
        <v>0.13</v>
      </c>
      <c r="K750" s="11">
        <f t="shared" si="44"/>
        <v>29400</v>
      </c>
      <c r="L750" s="11">
        <f t="shared" si="45"/>
        <v>13351</v>
      </c>
      <c r="M750" s="11">
        <f t="shared" si="46"/>
        <v>59949</v>
      </c>
      <c r="N750" s="10">
        <f t="shared" si="47"/>
        <v>0.58372930866601758</v>
      </c>
    </row>
    <row r="751" spans="1:14" x14ac:dyDescent="0.3">
      <c r="A751" s="9" t="s">
        <v>842</v>
      </c>
      <c r="B751" s="9" t="s">
        <v>832</v>
      </c>
      <c r="C751" s="9" t="s">
        <v>36</v>
      </c>
      <c r="D751" s="9" t="s">
        <v>17</v>
      </c>
      <c r="E751" s="9">
        <v>2</v>
      </c>
      <c r="F751" s="11">
        <v>81100</v>
      </c>
      <c r="G751" s="9" t="str">
        <f>INDEX(Products!$B$2:$B$9,MATCH(D751,Products!$A$2:$A$9,0))</f>
        <v>Trà diếp cá rau má</v>
      </c>
      <c r="H751" s="9" t="str">
        <f>INDEX(Products!$C$2:$C$9,MATCH(D751,Products!$A$2:$A$9,0))</f>
        <v>Detox</v>
      </c>
      <c r="I751" s="11">
        <f>INDEX(Products!$D$2:$D$9,MATCH(D751,Products!$A$2:$A$9,0))</f>
        <v>10500</v>
      </c>
      <c r="J751" s="10">
        <f>IFERROR(INDEX(PlatformFees!$C$2:$C$5,MATCH(C751,PlatformFees!$A$2:$A$5,0)),0)</f>
        <v>0.13</v>
      </c>
      <c r="K751" s="11">
        <f t="shared" si="44"/>
        <v>21000</v>
      </c>
      <c r="L751" s="11">
        <f t="shared" si="45"/>
        <v>10543</v>
      </c>
      <c r="M751" s="11">
        <f t="shared" si="46"/>
        <v>49557</v>
      </c>
      <c r="N751" s="10">
        <f t="shared" si="47"/>
        <v>0.61106041923551169</v>
      </c>
    </row>
    <row r="752" spans="1:14" x14ac:dyDescent="0.3">
      <c r="A752" s="9" t="s">
        <v>843</v>
      </c>
      <c r="B752" s="9" t="s">
        <v>832</v>
      </c>
      <c r="C752" s="9" t="s">
        <v>39</v>
      </c>
      <c r="D752" s="9" t="s">
        <v>22</v>
      </c>
      <c r="E752" s="9">
        <v>3</v>
      </c>
      <c r="F752" s="11">
        <v>105900</v>
      </c>
      <c r="G752" s="9" t="str">
        <f>INDEX(Products!$B$2:$B$9,MATCH(D752,Products!$A$2:$A$9,0))</f>
        <v>Trà hoa cúc an thần</v>
      </c>
      <c r="H752" s="9" t="str">
        <f>INDEX(Products!$C$2:$C$9,MATCH(D752,Products!$A$2:$A$9,0))</f>
        <v>An thần</v>
      </c>
      <c r="I752" s="11">
        <f>INDEX(Products!$D$2:$D$9,MATCH(D752,Products!$A$2:$A$9,0))</f>
        <v>9500</v>
      </c>
      <c r="J752" s="10">
        <f>IFERROR(INDEX(PlatformFees!$C$2:$C$5,MATCH(C752,PlatformFees!$A$2:$A$5,0)),0)</f>
        <v>0</v>
      </c>
      <c r="K752" s="11">
        <f t="shared" si="44"/>
        <v>28500</v>
      </c>
      <c r="L752" s="11">
        <f t="shared" si="45"/>
        <v>0</v>
      </c>
      <c r="M752" s="11">
        <f t="shared" si="46"/>
        <v>77400</v>
      </c>
      <c r="N752" s="10">
        <f t="shared" si="47"/>
        <v>0.73087818696883855</v>
      </c>
    </row>
    <row r="753" spans="1:14" x14ac:dyDescent="0.3">
      <c r="A753" s="9" t="s">
        <v>844</v>
      </c>
      <c r="B753" s="9" t="s">
        <v>832</v>
      </c>
      <c r="C753" s="9" t="s">
        <v>36</v>
      </c>
      <c r="D753" s="9" t="s">
        <v>15</v>
      </c>
      <c r="E753" s="9">
        <v>2</v>
      </c>
      <c r="F753" s="11">
        <v>59400</v>
      </c>
      <c r="G753" s="9" t="str">
        <f>INDEX(Products!$B$2:$B$9,MATCH(D753,Products!$A$2:$A$9,0))</f>
        <v>Trà lá nam sen ổi</v>
      </c>
      <c r="H753" s="9" t="str">
        <f>INDEX(Products!$C$2:$C$9,MATCH(D753,Products!$A$2:$A$9,0))</f>
        <v>Thanh lọc</v>
      </c>
      <c r="I753" s="11">
        <f>INDEX(Products!$D$2:$D$9,MATCH(D753,Products!$A$2:$A$9,0))</f>
        <v>8500</v>
      </c>
      <c r="J753" s="10">
        <f>IFERROR(INDEX(PlatformFees!$C$2:$C$5,MATCH(C753,PlatformFees!$A$2:$A$5,0)),0)</f>
        <v>0.13</v>
      </c>
      <c r="K753" s="11">
        <f t="shared" si="44"/>
        <v>17000</v>
      </c>
      <c r="L753" s="11">
        <f t="shared" si="45"/>
        <v>7722</v>
      </c>
      <c r="M753" s="11">
        <f t="shared" si="46"/>
        <v>34678</v>
      </c>
      <c r="N753" s="10">
        <f t="shared" si="47"/>
        <v>0.58380471380471377</v>
      </c>
    </row>
    <row r="754" spans="1:14" x14ac:dyDescent="0.3">
      <c r="A754" s="9" t="s">
        <v>845</v>
      </c>
      <c r="B754" s="9" t="s">
        <v>832</v>
      </c>
      <c r="C754" s="9" t="s">
        <v>38</v>
      </c>
      <c r="D754" s="9" t="s">
        <v>20</v>
      </c>
      <c r="E754" s="9">
        <v>1</v>
      </c>
      <c r="F754" s="11">
        <v>52000</v>
      </c>
      <c r="G754" s="9" t="str">
        <f>INDEX(Products!$B$2:$B$9,MATCH(D754,Products!$A$2:$A$9,0))</f>
        <v>Trà cà leo gai giảm cân</v>
      </c>
      <c r="H754" s="9" t="str">
        <f>INDEX(Products!$C$2:$C$9,MATCH(D754,Products!$A$2:$A$9,0))</f>
        <v>Detox</v>
      </c>
      <c r="I754" s="11">
        <f>INDEX(Products!$D$2:$D$9,MATCH(D754,Products!$A$2:$A$9,0))</f>
        <v>15000</v>
      </c>
      <c r="J754" s="10">
        <f>IFERROR(INDEX(PlatformFees!$C$2:$C$5,MATCH(C754,PlatformFees!$A$2:$A$5,0)),0)</f>
        <v>0.16</v>
      </c>
      <c r="K754" s="11">
        <f t="shared" si="44"/>
        <v>15000</v>
      </c>
      <c r="L754" s="11">
        <f t="shared" si="45"/>
        <v>8320</v>
      </c>
      <c r="M754" s="11">
        <f t="shared" si="46"/>
        <v>28680</v>
      </c>
      <c r="N754" s="10">
        <f t="shared" si="47"/>
        <v>0.55153846153846153</v>
      </c>
    </row>
    <row r="755" spans="1:14" x14ac:dyDescent="0.3">
      <c r="A755" s="9" t="s">
        <v>846</v>
      </c>
      <c r="B755" s="9" t="s">
        <v>832</v>
      </c>
      <c r="C755" s="9" t="s">
        <v>36</v>
      </c>
      <c r="D755" s="9" t="s">
        <v>17</v>
      </c>
      <c r="E755" s="9">
        <v>2</v>
      </c>
      <c r="F755" s="11">
        <v>83800</v>
      </c>
      <c r="G755" s="9" t="str">
        <f>INDEX(Products!$B$2:$B$9,MATCH(D755,Products!$A$2:$A$9,0))</f>
        <v>Trà diếp cá rau má</v>
      </c>
      <c r="H755" s="9" t="str">
        <f>INDEX(Products!$C$2:$C$9,MATCH(D755,Products!$A$2:$A$9,0))</f>
        <v>Detox</v>
      </c>
      <c r="I755" s="11">
        <f>INDEX(Products!$D$2:$D$9,MATCH(D755,Products!$A$2:$A$9,0))</f>
        <v>10500</v>
      </c>
      <c r="J755" s="10">
        <f>IFERROR(INDEX(PlatformFees!$C$2:$C$5,MATCH(C755,PlatformFees!$A$2:$A$5,0)),0)</f>
        <v>0.13</v>
      </c>
      <c r="K755" s="11">
        <f t="shared" si="44"/>
        <v>21000</v>
      </c>
      <c r="L755" s="11">
        <f t="shared" si="45"/>
        <v>10894</v>
      </c>
      <c r="M755" s="11">
        <f t="shared" si="46"/>
        <v>51906</v>
      </c>
      <c r="N755" s="10">
        <f t="shared" si="47"/>
        <v>0.61940334128878283</v>
      </c>
    </row>
    <row r="756" spans="1:14" x14ac:dyDescent="0.3">
      <c r="A756" s="9" t="s">
        <v>847</v>
      </c>
      <c r="B756" s="9" t="s">
        <v>832</v>
      </c>
      <c r="C756" s="9" t="s">
        <v>39</v>
      </c>
      <c r="D756" s="9" t="s">
        <v>17</v>
      </c>
      <c r="E756" s="9">
        <v>1</v>
      </c>
      <c r="F756" s="11">
        <v>39700</v>
      </c>
      <c r="G756" s="9" t="str">
        <f>INDEX(Products!$B$2:$B$9,MATCH(D756,Products!$A$2:$A$9,0))</f>
        <v>Trà diếp cá rau má</v>
      </c>
      <c r="H756" s="9" t="str">
        <f>INDEX(Products!$C$2:$C$9,MATCH(D756,Products!$A$2:$A$9,0))</f>
        <v>Detox</v>
      </c>
      <c r="I756" s="11">
        <f>INDEX(Products!$D$2:$D$9,MATCH(D756,Products!$A$2:$A$9,0))</f>
        <v>10500</v>
      </c>
      <c r="J756" s="10">
        <f>IFERROR(INDEX(PlatformFees!$C$2:$C$5,MATCH(C756,PlatformFees!$A$2:$A$5,0)),0)</f>
        <v>0</v>
      </c>
      <c r="K756" s="11">
        <f t="shared" si="44"/>
        <v>10500</v>
      </c>
      <c r="L756" s="11">
        <f t="shared" si="45"/>
        <v>0</v>
      </c>
      <c r="M756" s="11">
        <f t="shared" si="46"/>
        <v>29200</v>
      </c>
      <c r="N756" s="10">
        <f t="shared" si="47"/>
        <v>0.73551637279596982</v>
      </c>
    </row>
    <row r="757" spans="1:14" x14ac:dyDescent="0.3">
      <c r="A757" s="9" t="s">
        <v>848</v>
      </c>
      <c r="B757" s="9" t="s">
        <v>832</v>
      </c>
      <c r="C757" s="9" t="s">
        <v>40</v>
      </c>
      <c r="D757" s="9" t="s">
        <v>12</v>
      </c>
      <c r="E757" s="9">
        <v>2</v>
      </c>
      <c r="F757" s="11">
        <v>65200</v>
      </c>
      <c r="G757" s="9" t="str">
        <f>INDEX(Products!$B$2:$B$9,MATCH(D757,Products!$A$2:$A$9,0))</f>
        <v>Trà atiso thanh lọc</v>
      </c>
      <c r="H757" s="9" t="str">
        <f>INDEX(Products!$C$2:$C$9,MATCH(D757,Products!$A$2:$A$9,0))</f>
        <v>Thanh lọc</v>
      </c>
      <c r="I757" s="11">
        <f>INDEX(Products!$D$2:$D$9,MATCH(D757,Products!$A$2:$A$9,0))</f>
        <v>9000</v>
      </c>
      <c r="J757" s="10">
        <f>IFERROR(INDEX(PlatformFees!$C$2:$C$5,MATCH(C757,PlatformFees!$A$2:$A$5,0)),0)</f>
        <v>0</v>
      </c>
      <c r="K757" s="11">
        <f t="shared" si="44"/>
        <v>18000</v>
      </c>
      <c r="L757" s="11">
        <f t="shared" si="45"/>
        <v>0</v>
      </c>
      <c r="M757" s="11">
        <f t="shared" si="46"/>
        <v>47200</v>
      </c>
      <c r="N757" s="10">
        <f t="shared" si="47"/>
        <v>0.7239263803680982</v>
      </c>
    </row>
    <row r="758" spans="1:14" x14ac:dyDescent="0.3">
      <c r="A758" s="9" t="s">
        <v>849</v>
      </c>
      <c r="B758" s="9" t="s">
        <v>850</v>
      </c>
      <c r="C758" s="9" t="s">
        <v>36</v>
      </c>
      <c r="D758" s="9" t="s">
        <v>20</v>
      </c>
      <c r="E758" s="9">
        <v>2</v>
      </c>
      <c r="F758" s="11">
        <v>102700</v>
      </c>
      <c r="G758" s="9" t="str">
        <f>INDEX(Products!$B$2:$B$9,MATCH(D758,Products!$A$2:$A$9,0))</f>
        <v>Trà cà leo gai giảm cân</v>
      </c>
      <c r="H758" s="9" t="str">
        <f>INDEX(Products!$C$2:$C$9,MATCH(D758,Products!$A$2:$A$9,0))</f>
        <v>Detox</v>
      </c>
      <c r="I758" s="11">
        <f>INDEX(Products!$D$2:$D$9,MATCH(D758,Products!$A$2:$A$9,0))</f>
        <v>15000</v>
      </c>
      <c r="J758" s="10">
        <f>IFERROR(INDEX(PlatformFees!$C$2:$C$5,MATCH(C758,PlatformFees!$A$2:$A$5,0)),0)</f>
        <v>0.13</v>
      </c>
      <c r="K758" s="11">
        <f t="shared" si="44"/>
        <v>30000</v>
      </c>
      <c r="L758" s="11">
        <f t="shared" si="45"/>
        <v>13351</v>
      </c>
      <c r="M758" s="11">
        <f t="shared" si="46"/>
        <v>59349</v>
      </c>
      <c r="N758" s="10">
        <f t="shared" si="47"/>
        <v>0.57788704965920157</v>
      </c>
    </row>
    <row r="759" spans="1:14" x14ac:dyDescent="0.3">
      <c r="A759" s="9" t="s">
        <v>851</v>
      </c>
      <c r="B759" s="9" t="s">
        <v>850</v>
      </c>
      <c r="C759" s="9" t="s">
        <v>36</v>
      </c>
      <c r="D759" s="9" t="s">
        <v>25</v>
      </c>
      <c r="E759" s="9">
        <v>2</v>
      </c>
      <c r="F759" s="11">
        <v>64900</v>
      </c>
      <c r="G759" s="9" t="str">
        <f>INDEX(Products!$B$2:$B$9,MATCH(D759,Products!$A$2:$A$9,0))</f>
        <v>Trà hoa đậu biếc</v>
      </c>
      <c r="H759" s="9" t="str">
        <f>INDEX(Products!$C$2:$C$9,MATCH(D759,Products!$A$2:$A$9,0))</f>
        <v>An thần</v>
      </c>
      <c r="I759" s="11">
        <f>INDEX(Products!$D$2:$D$9,MATCH(D759,Products!$A$2:$A$9,0))</f>
        <v>8800</v>
      </c>
      <c r="J759" s="10">
        <f>IFERROR(INDEX(PlatformFees!$C$2:$C$5,MATCH(C759,PlatformFees!$A$2:$A$5,0)),0)</f>
        <v>0.13</v>
      </c>
      <c r="K759" s="11">
        <f t="shared" si="44"/>
        <v>17600</v>
      </c>
      <c r="L759" s="11">
        <f t="shared" si="45"/>
        <v>8437</v>
      </c>
      <c r="M759" s="11">
        <f t="shared" si="46"/>
        <v>38863</v>
      </c>
      <c r="N759" s="10">
        <f t="shared" si="47"/>
        <v>0.59881355932203395</v>
      </c>
    </row>
    <row r="760" spans="1:14" x14ac:dyDescent="0.3">
      <c r="A760" s="9" t="s">
        <v>852</v>
      </c>
      <c r="B760" s="9" t="s">
        <v>850</v>
      </c>
      <c r="C760" s="9" t="s">
        <v>36</v>
      </c>
      <c r="D760" s="9" t="s">
        <v>15</v>
      </c>
      <c r="E760" s="9">
        <v>1</v>
      </c>
      <c r="F760" s="11">
        <v>32300</v>
      </c>
      <c r="G760" s="9" t="str">
        <f>INDEX(Products!$B$2:$B$9,MATCH(D760,Products!$A$2:$A$9,0))</f>
        <v>Trà lá nam sen ổi</v>
      </c>
      <c r="H760" s="9" t="str">
        <f>INDEX(Products!$C$2:$C$9,MATCH(D760,Products!$A$2:$A$9,0))</f>
        <v>Thanh lọc</v>
      </c>
      <c r="I760" s="11">
        <f>INDEX(Products!$D$2:$D$9,MATCH(D760,Products!$A$2:$A$9,0))</f>
        <v>8500</v>
      </c>
      <c r="J760" s="10">
        <f>IFERROR(INDEX(PlatformFees!$C$2:$C$5,MATCH(C760,PlatformFees!$A$2:$A$5,0)),0)</f>
        <v>0.13</v>
      </c>
      <c r="K760" s="11">
        <f t="shared" si="44"/>
        <v>8500</v>
      </c>
      <c r="L760" s="11">
        <f t="shared" si="45"/>
        <v>4199</v>
      </c>
      <c r="M760" s="11">
        <f t="shared" si="46"/>
        <v>19601</v>
      </c>
      <c r="N760" s="10">
        <f t="shared" si="47"/>
        <v>0.60684210526315785</v>
      </c>
    </row>
    <row r="761" spans="1:14" x14ac:dyDescent="0.3">
      <c r="A761" s="9" t="s">
        <v>853</v>
      </c>
      <c r="B761" s="9" t="s">
        <v>850</v>
      </c>
      <c r="C761" s="9" t="s">
        <v>36</v>
      </c>
      <c r="D761" s="9" t="s">
        <v>25</v>
      </c>
      <c r="E761" s="9">
        <v>2</v>
      </c>
      <c r="F761" s="11">
        <v>62900</v>
      </c>
      <c r="G761" s="9" t="str">
        <f>INDEX(Products!$B$2:$B$9,MATCH(D761,Products!$A$2:$A$9,0))</f>
        <v>Trà hoa đậu biếc</v>
      </c>
      <c r="H761" s="9" t="str">
        <f>INDEX(Products!$C$2:$C$9,MATCH(D761,Products!$A$2:$A$9,0))</f>
        <v>An thần</v>
      </c>
      <c r="I761" s="11">
        <f>INDEX(Products!$D$2:$D$9,MATCH(D761,Products!$A$2:$A$9,0))</f>
        <v>8800</v>
      </c>
      <c r="J761" s="10">
        <f>IFERROR(INDEX(PlatformFees!$C$2:$C$5,MATCH(C761,PlatformFees!$A$2:$A$5,0)),0)</f>
        <v>0.13</v>
      </c>
      <c r="K761" s="11">
        <f t="shared" si="44"/>
        <v>17600</v>
      </c>
      <c r="L761" s="11">
        <f t="shared" si="45"/>
        <v>8177</v>
      </c>
      <c r="M761" s="11">
        <f t="shared" si="46"/>
        <v>37123</v>
      </c>
      <c r="N761" s="10">
        <f t="shared" si="47"/>
        <v>0.59019077901430839</v>
      </c>
    </row>
    <row r="762" spans="1:14" x14ac:dyDescent="0.3">
      <c r="A762" s="9" t="s">
        <v>854</v>
      </c>
      <c r="B762" s="9" t="s">
        <v>850</v>
      </c>
      <c r="C762" s="9" t="s">
        <v>39</v>
      </c>
      <c r="D762" s="9" t="s">
        <v>17</v>
      </c>
      <c r="E762" s="9">
        <v>1</v>
      </c>
      <c r="F762" s="11">
        <v>41900</v>
      </c>
      <c r="G762" s="9" t="str">
        <f>INDEX(Products!$B$2:$B$9,MATCH(D762,Products!$A$2:$A$9,0))</f>
        <v>Trà diếp cá rau má</v>
      </c>
      <c r="H762" s="9" t="str">
        <f>INDEX(Products!$C$2:$C$9,MATCH(D762,Products!$A$2:$A$9,0))</f>
        <v>Detox</v>
      </c>
      <c r="I762" s="11">
        <f>INDEX(Products!$D$2:$D$9,MATCH(D762,Products!$A$2:$A$9,0))</f>
        <v>10500</v>
      </c>
      <c r="J762" s="10">
        <f>IFERROR(INDEX(PlatformFees!$C$2:$C$5,MATCH(C762,PlatformFees!$A$2:$A$5,0)),0)</f>
        <v>0</v>
      </c>
      <c r="K762" s="11">
        <f t="shared" si="44"/>
        <v>10500</v>
      </c>
      <c r="L762" s="11">
        <f t="shared" si="45"/>
        <v>0</v>
      </c>
      <c r="M762" s="11">
        <f t="shared" si="46"/>
        <v>31400</v>
      </c>
      <c r="N762" s="10">
        <f t="shared" si="47"/>
        <v>0.74940334128878283</v>
      </c>
    </row>
    <row r="763" spans="1:14" x14ac:dyDescent="0.3">
      <c r="A763" s="9" t="s">
        <v>855</v>
      </c>
      <c r="B763" s="9" t="s">
        <v>850</v>
      </c>
      <c r="C763" s="9" t="s">
        <v>40</v>
      </c>
      <c r="D763" s="9" t="s">
        <v>20</v>
      </c>
      <c r="E763" s="9">
        <v>1</v>
      </c>
      <c r="F763" s="11">
        <v>54700</v>
      </c>
      <c r="G763" s="9" t="str">
        <f>INDEX(Products!$B$2:$B$9,MATCH(D763,Products!$A$2:$A$9,0))</f>
        <v>Trà cà leo gai giảm cân</v>
      </c>
      <c r="H763" s="9" t="str">
        <f>INDEX(Products!$C$2:$C$9,MATCH(D763,Products!$A$2:$A$9,0))</f>
        <v>Detox</v>
      </c>
      <c r="I763" s="11">
        <f>INDEX(Products!$D$2:$D$9,MATCH(D763,Products!$A$2:$A$9,0))</f>
        <v>15000</v>
      </c>
      <c r="J763" s="10">
        <f>IFERROR(INDEX(PlatformFees!$C$2:$C$5,MATCH(C763,PlatformFees!$A$2:$A$5,0)),0)</f>
        <v>0</v>
      </c>
      <c r="K763" s="11">
        <f t="shared" si="44"/>
        <v>15000</v>
      </c>
      <c r="L763" s="11">
        <f t="shared" si="45"/>
        <v>0</v>
      </c>
      <c r="M763" s="11">
        <f t="shared" si="46"/>
        <v>39700</v>
      </c>
      <c r="N763" s="10">
        <f t="shared" si="47"/>
        <v>0.72577696526508229</v>
      </c>
    </row>
    <row r="764" spans="1:14" x14ac:dyDescent="0.3">
      <c r="A764" s="9" t="s">
        <v>856</v>
      </c>
      <c r="B764" s="9" t="s">
        <v>850</v>
      </c>
      <c r="C764" s="9" t="s">
        <v>36</v>
      </c>
      <c r="D764" s="9" t="s">
        <v>30</v>
      </c>
      <c r="E764" s="9">
        <v>1</v>
      </c>
      <c r="F764" s="11">
        <v>36900</v>
      </c>
      <c r="G764" s="9" t="str">
        <f>INDEX(Products!$B$2:$B$9,MATCH(D764,Products!$A$2:$A$9,0))</f>
        <v>Trà mâm xôi vitamin</v>
      </c>
      <c r="H764" s="9" t="str">
        <f>INDEX(Products!$C$2:$C$9,MATCH(D764,Products!$A$2:$A$9,0))</f>
        <v>Bổ sung dưỡng chất</v>
      </c>
      <c r="I764" s="11">
        <f>INDEX(Products!$D$2:$D$9,MATCH(D764,Products!$A$2:$A$9,0))</f>
        <v>9800</v>
      </c>
      <c r="J764" s="10">
        <f>IFERROR(INDEX(PlatformFees!$C$2:$C$5,MATCH(C764,PlatformFees!$A$2:$A$5,0)),0)</f>
        <v>0.13</v>
      </c>
      <c r="K764" s="11">
        <f t="shared" si="44"/>
        <v>9800</v>
      </c>
      <c r="L764" s="11">
        <f t="shared" si="45"/>
        <v>4797</v>
      </c>
      <c r="M764" s="11">
        <f t="shared" si="46"/>
        <v>22303</v>
      </c>
      <c r="N764" s="10">
        <f t="shared" si="47"/>
        <v>0.60441734417344173</v>
      </c>
    </row>
    <row r="765" spans="1:14" x14ac:dyDescent="0.3">
      <c r="A765" s="9" t="s">
        <v>857</v>
      </c>
      <c r="B765" s="9" t="s">
        <v>850</v>
      </c>
      <c r="C765" s="9" t="s">
        <v>39</v>
      </c>
      <c r="D765" s="9" t="s">
        <v>22</v>
      </c>
      <c r="E765" s="9">
        <v>2</v>
      </c>
      <c r="F765" s="11">
        <v>72000</v>
      </c>
      <c r="G765" s="9" t="str">
        <f>INDEX(Products!$B$2:$B$9,MATCH(D765,Products!$A$2:$A$9,0))</f>
        <v>Trà hoa cúc an thần</v>
      </c>
      <c r="H765" s="9" t="str">
        <f>INDEX(Products!$C$2:$C$9,MATCH(D765,Products!$A$2:$A$9,0))</f>
        <v>An thần</v>
      </c>
      <c r="I765" s="11">
        <f>INDEX(Products!$D$2:$D$9,MATCH(D765,Products!$A$2:$A$9,0))</f>
        <v>9500</v>
      </c>
      <c r="J765" s="10">
        <f>IFERROR(INDEX(PlatformFees!$C$2:$C$5,MATCH(C765,PlatformFees!$A$2:$A$5,0)),0)</f>
        <v>0</v>
      </c>
      <c r="K765" s="11">
        <f t="shared" si="44"/>
        <v>19000</v>
      </c>
      <c r="L765" s="11">
        <f t="shared" si="45"/>
        <v>0</v>
      </c>
      <c r="M765" s="11">
        <f t="shared" si="46"/>
        <v>53000</v>
      </c>
      <c r="N765" s="10">
        <f t="shared" si="47"/>
        <v>0.73611111111111116</v>
      </c>
    </row>
    <row r="766" spans="1:14" x14ac:dyDescent="0.3">
      <c r="A766" s="9" t="s">
        <v>858</v>
      </c>
      <c r="B766" s="9" t="s">
        <v>850</v>
      </c>
      <c r="C766" s="9" t="s">
        <v>38</v>
      </c>
      <c r="D766" s="9" t="s">
        <v>27</v>
      </c>
      <c r="E766" s="9">
        <v>1</v>
      </c>
      <c r="F766" s="11">
        <v>37300</v>
      </c>
      <c r="G766" s="9" t="str">
        <f>INDEX(Products!$B$2:$B$9,MATCH(D766,Products!$A$2:$A$9,0))</f>
        <v>Trà gừng mật ong</v>
      </c>
      <c r="H766" s="9" t="str">
        <f>INDEX(Products!$C$2:$C$9,MATCH(D766,Products!$A$2:$A$9,0))</f>
        <v>Giữ ấm</v>
      </c>
      <c r="I766" s="11">
        <f>INDEX(Products!$D$2:$D$9,MATCH(D766,Products!$A$2:$A$9,0))</f>
        <v>11000</v>
      </c>
      <c r="J766" s="10">
        <f>IFERROR(INDEX(PlatformFees!$C$2:$C$5,MATCH(C766,PlatformFees!$A$2:$A$5,0)),0)</f>
        <v>0.16</v>
      </c>
      <c r="K766" s="11">
        <f t="shared" si="44"/>
        <v>11000</v>
      </c>
      <c r="L766" s="11">
        <f t="shared" si="45"/>
        <v>5968</v>
      </c>
      <c r="M766" s="11">
        <f t="shared" si="46"/>
        <v>20332</v>
      </c>
      <c r="N766" s="10">
        <f t="shared" si="47"/>
        <v>0.54509383378016085</v>
      </c>
    </row>
    <row r="767" spans="1:14" x14ac:dyDescent="0.3">
      <c r="A767" s="9" t="s">
        <v>859</v>
      </c>
      <c r="B767" s="9" t="s">
        <v>850</v>
      </c>
      <c r="C767" s="9" t="s">
        <v>36</v>
      </c>
      <c r="D767" s="9" t="s">
        <v>25</v>
      </c>
      <c r="E767" s="9">
        <v>1</v>
      </c>
      <c r="F767" s="11">
        <v>31800</v>
      </c>
      <c r="G767" s="9" t="str">
        <f>INDEX(Products!$B$2:$B$9,MATCH(D767,Products!$A$2:$A$9,0))</f>
        <v>Trà hoa đậu biếc</v>
      </c>
      <c r="H767" s="9" t="str">
        <f>INDEX(Products!$C$2:$C$9,MATCH(D767,Products!$A$2:$A$9,0))</f>
        <v>An thần</v>
      </c>
      <c r="I767" s="11">
        <f>INDEX(Products!$D$2:$D$9,MATCH(D767,Products!$A$2:$A$9,0))</f>
        <v>8800</v>
      </c>
      <c r="J767" s="10">
        <f>IFERROR(INDEX(PlatformFees!$C$2:$C$5,MATCH(C767,PlatformFees!$A$2:$A$5,0)),0)</f>
        <v>0.13</v>
      </c>
      <c r="K767" s="11">
        <f t="shared" si="44"/>
        <v>8800</v>
      </c>
      <c r="L767" s="11">
        <f t="shared" si="45"/>
        <v>4134</v>
      </c>
      <c r="M767" s="11">
        <f t="shared" si="46"/>
        <v>18866</v>
      </c>
      <c r="N767" s="10">
        <f t="shared" si="47"/>
        <v>0.59327044025157227</v>
      </c>
    </row>
    <row r="768" spans="1:14" x14ac:dyDescent="0.3">
      <c r="A768" s="9" t="s">
        <v>860</v>
      </c>
      <c r="B768" s="9" t="s">
        <v>850</v>
      </c>
      <c r="C768" s="9" t="s">
        <v>39</v>
      </c>
      <c r="D768" s="9" t="s">
        <v>20</v>
      </c>
      <c r="E768" s="9">
        <v>3</v>
      </c>
      <c r="F768" s="11">
        <v>168800</v>
      </c>
      <c r="G768" s="9" t="str">
        <f>INDEX(Products!$B$2:$B$9,MATCH(D768,Products!$A$2:$A$9,0))</f>
        <v>Trà cà leo gai giảm cân</v>
      </c>
      <c r="H768" s="9" t="str">
        <f>INDEX(Products!$C$2:$C$9,MATCH(D768,Products!$A$2:$A$9,0))</f>
        <v>Detox</v>
      </c>
      <c r="I768" s="11">
        <f>INDEX(Products!$D$2:$D$9,MATCH(D768,Products!$A$2:$A$9,0))</f>
        <v>15000</v>
      </c>
      <c r="J768" s="10">
        <f>IFERROR(INDEX(PlatformFees!$C$2:$C$5,MATCH(C768,PlatformFees!$A$2:$A$5,0)),0)</f>
        <v>0</v>
      </c>
      <c r="K768" s="11">
        <f t="shared" si="44"/>
        <v>45000</v>
      </c>
      <c r="L768" s="11">
        <f t="shared" si="45"/>
        <v>0</v>
      </c>
      <c r="M768" s="11">
        <f t="shared" si="46"/>
        <v>123800</v>
      </c>
      <c r="N768" s="10">
        <f t="shared" si="47"/>
        <v>0.73341232227488151</v>
      </c>
    </row>
    <row r="769" spans="1:14" x14ac:dyDescent="0.3">
      <c r="A769" s="9" t="s">
        <v>861</v>
      </c>
      <c r="B769" s="9" t="s">
        <v>862</v>
      </c>
      <c r="C769" s="9" t="s">
        <v>38</v>
      </c>
      <c r="D769" s="9" t="s">
        <v>17</v>
      </c>
      <c r="E769" s="9">
        <v>1</v>
      </c>
      <c r="F769" s="11">
        <v>38700</v>
      </c>
      <c r="G769" s="9" t="str">
        <f>INDEX(Products!$B$2:$B$9,MATCH(D769,Products!$A$2:$A$9,0))</f>
        <v>Trà diếp cá rau má</v>
      </c>
      <c r="H769" s="9" t="str">
        <f>INDEX(Products!$C$2:$C$9,MATCH(D769,Products!$A$2:$A$9,0))</f>
        <v>Detox</v>
      </c>
      <c r="I769" s="11">
        <f>INDEX(Products!$D$2:$D$9,MATCH(D769,Products!$A$2:$A$9,0))</f>
        <v>10500</v>
      </c>
      <c r="J769" s="10">
        <f>IFERROR(INDEX(PlatformFees!$C$2:$C$5,MATCH(C769,PlatformFees!$A$2:$A$5,0)),0)</f>
        <v>0.16</v>
      </c>
      <c r="K769" s="11">
        <f t="shared" si="44"/>
        <v>10500</v>
      </c>
      <c r="L769" s="11">
        <f t="shared" si="45"/>
        <v>6192</v>
      </c>
      <c r="M769" s="11">
        <f t="shared" si="46"/>
        <v>22008</v>
      </c>
      <c r="N769" s="10">
        <f t="shared" si="47"/>
        <v>0.5686821705426357</v>
      </c>
    </row>
    <row r="770" spans="1:14" x14ac:dyDescent="0.3">
      <c r="A770" s="9" t="s">
        <v>863</v>
      </c>
      <c r="B770" s="9" t="s">
        <v>862</v>
      </c>
      <c r="C770" s="9" t="s">
        <v>36</v>
      </c>
      <c r="D770" s="9" t="s">
        <v>30</v>
      </c>
      <c r="E770" s="9">
        <v>2</v>
      </c>
      <c r="F770" s="11">
        <v>72600</v>
      </c>
      <c r="G770" s="9" t="str">
        <f>INDEX(Products!$B$2:$B$9,MATCH(D770,Products!$A$2:$A$9,0))</f>
        <v>Trà mâm xôi vitamin</v>
      </c>
      <c r="H770" s="9" t="str">
        <f>INDEX(Products!$C$2:$C$9,MATCH(D770,Products!$A$2:$A$9,0))</f>
        <v>Bổ sung dưỡng chất</v>
      </c>
      <c r="I770" s="11">
        <f>INDEX(Products!$D$2:$D$9,MATCH(D770,Products!$A$2:$A$9,0))</f>
        <v>9800</v>
      </c>
      <c r="J770" s="10">
        <f>IFERROR(INDEX(PlatformFees!$C$2:$C$5,MATCH(C770,PlatformFees!$A$2:$A$5,0)),0)</f>
        <v>0.13</v>
      </c>
      <c r="K770" s="11">
        <f t="shared" ref="K770:K833" si="48">E770*I770</f>
        <v>19600</v>
      </c>
      <c r="L770" s="11">
        <f t="shared" ref="L770:L833" si="49">F770*J770</f>
        <v>9438</v>
      </c>
      <c r="M770" s="11">
        <f t="shared" ref="M770:M833" si="50">F770-L770-K770</f>
        <v>43562</v>
      </c>
      <c r="N770" s="10">
        <f t="shared" ref="N770:N833" si="51">IFERROR(M770/F770,0)</f>
        <v>0.60002754820936643</v>
      </c>
    </row>
    <row r="771" spans="1:14" x14ac:dyDescent="0.3">
      <c r="A771" s="9" t="s">
        <v>864</v>
      </c>
      <c r="B771" s="9" t="s">
        <v>862</v>
      </c>
      <c r="C771" s="9" t="s">
        <v>36</v>
      </c>
      <c r="D771" s="9" t="s">
        <v>27</v>
      </c>
      <c r="E771" s="9">
        <v>1</v>
      </c>
      <c r="F771" s="11">
        <v>37300</v>
      </c>
      <c r="G771" s="9" t="str">
        <f>INDEX(Products!$B$2:$B$9,MATCH(D771,Products!$A$2:$A$9,0))</f>
        <v>Trà gừng mật ong</v>
      </c>
      <c r="H771" s="9" t="str">
        <f>INDEX(Products!$C$2:$C$9,MATCH(D771,Products!$A$2:$A$9,0))</f>
        <v>Giữ ấm</v>
      </c>
      <c r="I771" s="11">
        <f>INDEX(Products!$D$2:$D$9,MATCH(D771,Products!$A$2:$A$9,0))</f>
        <v>11000</v>
      </c>
      <c r="J771" s="10">
        <f>IFERROR(INDEX(PlatformFees!$C$2:$C$5,MATCH(C771,PlatformFees!$A$2:$A$5,0)),0)</f>
        <v>0.13</v>
      </c>
      <c r="K771" s="11">
        <f t="shared" si="48"/>
        <v>11000</v>
      </c>
      <c r="L771" s="11">
        <f t="shared" si="49"/>
        <v>4849</v>
      </c>
      <c r="M771" s="11">
        <f t="shared" si="50"/>
        <v>21451</v>
      </c>
      <c r="N771" s="10">
        <f t="shared" si="51"/>
        <v>0.57509383378016088</v>
      </c>
    </row>
    <row r="772" spans="1:14" x14ac:dyDescent="0.3">
      <c r="A772" s="9" t="s">
        <v>865</v>
      </c>
      <c r="B772" s="9" t="s">
        <v>862</v>
      </c>
      <c r="C772" s="9" t="s">
        <v>40</v>
      </c>
      <c r="D772" s="9" t="s">
        <v>12</v>
      </c>
      <c r="E772" s="9">
        <v>2</v>
      </c>
      <c r="F772" s="11">
        <v>67700</v>
      </c>
      <c r="G772" s="9" t="str">
        <f>INDEX(Products!$B$2:$B$9,MATCH(D772,Products!$A$2:$A$9,0))</f>
        <v>Trà atiso thanh lọc</v>
      </c>
      <c r="H772" s="9" t="str">
        <f>INDEX(Products!$C$2:$C$9,MATCH(D772,Products!$A$2:$A$9,0))</f>
        <v>Thanh lọc</v>
      </c>
      <c r="I772" s="11">
        <f>INDEX(Products!$D$2:$D$9,MATCH(D772,Products!$A$2:$A$9,0))</f>
        <v>9000</v>
      </c>
      <c r="J772" s="10">
        <f>IFERROR(INDEX(PlatformFees!$C$2:$C$5,MATCH(C772,PlatformFees!$A$2:$A$5,0)),0)</f>
        <v>0</v>
      </c>
      <c r="K772" s="11">
        <f t="shared" si="48"/>
        <v>18000</v>
      </c>
      <c r="L772" s="11">
        <f t="shared" si="49"/>
        <v>0</v>
      </c>
      <c r="M772" s="11">
        <f t="shared" si="50"/>
        <v>49700</v>
      </c>
      <c r="N772" s="10">
        <f t="shared" si="51"/>
        <v>0.73412112259970463</v>
      </c>
    </row>
    <row r="773" spans="1:14" x14ac:dyDescent="0.3">
      <c r="A773" s="9" t="s">
        <v>866</v>
      </c>
      <c r="B773" s="9" t="s">
        <v>862</v>
      </c>
      <c r="C773" s="9" t="s">
        <v>39</v>
      </c>
      <c r="D773" s="9" t="s">
        <v>22</v>
      </c>
      <c r="E773" s="9">
        <v>2</v>
      </c>
      <c r="F773" s="11">
        <v>75600</v>
      </c>
      <c r="G773" s="9" t="str">
        <f>INDEX(Products!$B$2:$B$9,MATCH(D773,Products!$A$2:$A$9,0))</f>
        <v>Trà hoa cúc an thần</v>
      </c>
      <c r="H773" s="9" t="str">
        <f>INDEX(Products!$C$2:$C$9,MATCH(D773,Products!$A$2:$A$9,0))</f>
        <v>An thần</v>
      </c>
      <c r="I773" s="11">
        <f>INDEX(Products!$D$2:$D$9,MATCH(D773,Products!$A$2:$A$9,0))</f>
        <v>9500</v>
      </c>
      <c r="J773" s="10">
        <f>IFERROR(INDEX(PlatformFees!$C$2:$C$5,MATCH(C773,PlatformFees!$A$2:$A$5,0)),0)</f>
        <v>0</v>
      </c>
      <c r="K773" s="11">
        <f t="shared" si="48"/>
        <v>19000</v>
      </c>
      <c r="L773" s="11">
        <f t="shared" si="49"/>
        <v>0</v>
      </c>
      <c r="M773" s="11">
        <f t="shared" si="50"/>
        <v>56600</v>
      </c>
      <c r="N773" s="10">
        <f t="shared" si="51"/>
        <v>0.74867724867724872</v>
      </c>
    </row>
    <row r="774" spans="1:14" x14ac:dyDescent="0.3">
      <c r="A774" s="9" t="s">
        <v>867</v>
      </c>
      <c r="B774" s="9" t="s">
        <v>862</v>
      </c>
      <c r="C774" s="9" t="s">
        <v>36</v>
      </c>
      <c r="D774" s="9" t="s">
        <v>17</v>
      </c>
      <c r="E774" s="9">
        <v>1</v>
      </c>
      <c r="F774" s="11">
        <v>39900</v>
      </c>
      <c r="G774" s="9" t="str">
        <f>INDEX(Products!$B$2:$B$9,MATCH(D774,Products!$A$2:$A$9,0))</f>
        <v>Trà diếp cá rau má</v>
      </c>
      <c r="H774" s="9" t="str">
        <f>INDEX(Products!$C$2:$C$9,MATCH(D774,Products!$A$2:$A$9,0))</f>
        <v>Detox</v>
      </c>
      <c r="I774" s="11">
        <f>INDEX(Products!$D$2:$D$9,MATCH(D774,Products!$A$2:$A$9,0))</f>
        <v>10500</v>
      </c>
      <c r="J774" s="10">
        <f>IFERROR(INDEX(PlatformFees!$C$2:$C$5,MATCH(C774,PlatformFees!$A$2:$A$5,0)),0)</f>
        <v>0.13</v>
      </c>
      <c r="K774" s="11">
        <f t="shared" si="48"/>
        <v>10500</v>
      </c>
      <c r="L774" s="11">
        <f t="shared" si="49"/>
        <v>5187</v>
      </c>
      <c r="M774" s="11">
        <f t="shared" si="50"/>
        <v>24213</v>
      </c>
      <c r="N774" s="10">
        <f t="shared" si="51"/>
        <v>0.60684210526315785</v>
      </c>
    </row>
    <row r="775" spans="1:14" x14ac:dyDescent="0.3">
      <c r="A775" s="9" t="s">
        <v>868</v>
      </c>
      <c r="B775" s="9" t="s">
        <v>862</v>
      </c>
      <c r="C775" s="9" t="s">
        <v>36</v>
      </c>
      <c r="D775" s="9" t="s">
        <v>15</v>
      </c>
      <c r="E775" s="9">
        <v>2</v>
      </c>
      <c r="F775" s="11">
        <v>63200</v>
      </c>
      <c r="G775" s="9" t="str">
        <f>INDEX(Products!$B$2:$B$9,MATCH(D775,Products!$A$2:$A$9,0))</f>
        <v>Trà lá nam sen ổi</v>
      </c>
      <c r="H775" s="9" t="str">
        <f>INDEX(Products!$C$2:$C$9,MATCH(D775,Products!$A$2:$A$9,0))</f>
        <v>Thanh lọc</v>
      </c>
      <c r="I775" s="11">
        <f>INDEX(Products!$D$2:$D$9,MATCH(D775,Products!$A$2:$A$9,0))</f>
        <v>8500</v>
      </c>
      <c r="J775" s="10">
        <f>IFERROR(INDEX(PlatformFees!$C$2:$C$5,MATCH(C775,PlatformFees!$A$2:$A$5,0)),0)</f>
        <v>0.13</v>
      </c>
      <c r="K775" s="11">
        <f t="shared" si="48"/>
        <v>17000</v>
      </c>
      <c r="L775" s="11">
        <f t="shared" si="49"/>
        <v>8216</v>
      </c>
      <c r="M775" s="11">
        <f t="shared" si="50"/>
        <v>37984</v>
      </c>
      <c r="N775" s="10">
        <f t="shared" si="51"/>
        <v>0.60101265822784811</v>
      </c>
    </row>
    <row r="776" spans="1:14" x14ac:dyDescent="0.3">
      <c r="A776" s="9" t="s">
        <v>869</v>
      </c>
      <c r="B776" s="9" t="s">
        <v>862</v>
      </c>
      <c r="C776" s="9" t="s">
        <v>36</v>
      </c>
      <c r="D776" s="9" t="s">
        <v>17</v>
      </c>
      <c r="E776" s="9">
        <v>2</v>
      </c>
      <c r="F776" s="11">
        <v>85400</v>
      </c>
      <c r="G776" s="9" t="str">
        <f>INDEX(Products!$B$2:$B$9,MATCH(D776,Products!$A$2:$A$9,0))</f>
        <v>Trà diếp cá rau má</v>
      </c>
      <c r="H776" s="9" t="str">
        <f>INDEX(Products!$C$2:$C$9,MATCH(D776,Products!$A$2:$A$9,0))</f>
        <v>Detox</v>
      </c>
      <c r="I776" s="11">
        <f>INDEX(Products!$D$2:$D$9,MATCH(D776,Products!$A$2:$A$9,0))</f>
        <v>10500</v>
      </c>
      <c r="J776" s="10">
        <f>IFERROR(INDEX(PlatformFees!$C$2:$C$5,MATCH(C776,PlatformFees!$A$2:$A$5,0)),0)</f>
        <v>0.13</v>
      </c>
      <c r="K776" s="11">
        <f t="shared" si="48"/>
        <v>21000</v>
      </c>
      <c r="L776" s="11">
        <f t="shared" si="49"/>
        <v>11102</v>
      </c>
      <c r="M776" s="11">
        <f t="shared" si="50"/>
        <v>53298</v>
      </c>
      <c r="N776" s="10">
        <f t="shared" si="51"/>
        <v>0.62409836065573765</v>
      </c>
    </row>
    <row r="777" spans="1:14" x14ac:dyDescent="0.3">
      <c r="A777" s="9" t="s">
        <v>870</v>
      </c>
      <c r="B777" s="9" t="s">
        <v>862</v>
      </c>
      <c r="C777" s="9" t="s">
        <v>38</v>
      </c>
      <c r="D777" s="9" t="s">
        <v>12</v>
      </c>
      <c r="E777" s="9">
        <v>2</v>
      </c>
      <c r="F777" s="11">
        <v>65500</v>
      </c>
      <c r="G777" s="9" t="str">
        <f>INDEX(Products!$B$2:$B$9,MATCH(D777,Products!$A$2:$A$9,0))</f>
        <v>Trà atiso thanh lọc</v>
      </c>
      <c r="H777" s="9" t="str">
        <f>INDEX(Products!$C$2:$C$9,MATCH(D777,Products!$A$2:$A$9,0))</f>
        <v>Thanh lọc</v>
      </c>
      <c r="I777" s="11">
        <f>INDEX(Products!$D$2:$D$9,MATCH(D777,Products!$A$2:$A$9,0))</f>
        <v>9000</v>
      </c>
      <c r="J777" s="10">
        <f>IFERROR(INDEX(PlatformFees!$C$2:$C$5,MATCH(C777,PlatformFees!$A$2:$A$5,0)),0)</f>
        <v>0.16</v>
      </c>
      <c r="K777" s="11">
        <f t="shared" si="48"/>
        <v>18000</v>
      </c>
      <c r="L777" s="11">
        <f t="shared" si="49"/>
        <v>10480</v>
      </c>
      <c r="M777" s="11">
        <f t="shared" si="50"/>
        <v>37020</v>
      </c>
      <c r="N777" s="10">
        <f t="shared" si="51"/>
        <v>0.56519083969465644</v>
      </c>
    </row>
    <row r="778" spans="1:14" x14ac:dyDescent="0.3">
      <c r="A778" s="9" t="s">
        <v>871</v>
      </c>
      <c r="B778" s="9" t="s">
        <v>862</v>
      </c>
      <c r="C778" s="9" t="s">
        <v>36</v>
      </c>
      <c r="D778" s="9" t="s">
        <v>27</v>
      </c>
      <c r="E778" s="9">
        <v>2</v>
      </c>
      <c r="F778" s="11">
        <v>75800</v>
      </c>
      <c r="G778" s="9" t="str">
        <f>INDEX(Products!$B$2:$B$9,MATCH(D778,Products!$A$2:$A$9,0))</f>
        <v>Trà gừng mật ong</v>
      </c>
      <c r="H778" s="9" t="str">
        <f>INDEX(Products!$C$2:$C$9,MATCH(D778,Products!$A$2:$A$9,0))</f>
        <v>Giữ ấm</v>
      </c>
      <c r="I778" s="11">
        <f>INDEX(Products!$D$2:$D$9,MATCH(D778,Products!$A$2:$A$9,0))</f>
        <v>11000</v>
      </c>
      <c r="J778" s="10">
        <f>IFERROR(INDEX(PlatformFees!$C$2:$C$5,MATCH(C778,PlatformFees!$A$2:$A$5,0)),0)</f>
        <v>0.13</v>
      </c>
      <c r="K778" s="11">
        <f t="shared" si="48"/>
        <v>22000</v>
      </c>
      <c r="L778" s="11">
        <f t="shared" si="49"/>
        <v>9854</v>
      </c>
      <c r="M778" s="11">
        <f t="shared" si="50"/>
        <v>43946</v>
      </c>
      <c r="N778" s="10">
        <f t="shared" si="51"/>
        <v>0.57976253298153035</v>
      </c>
    </row>
    <row r="779" spans="1:14" x14ac:dyDescent="0.3">
      <c r="A779" s="9" t="s">
        <v>872</v>
      </c>
      <c r="B779" s="9" t="s">
        <v>862</v>
      </c>
      <c r="C779" s="9" t="s">
        <v>40</v>
      </c>
      <c r="D779" s="9" t="s">
        <v>22</v>
      </c>
      <c r="E779" s="9">
        <v>1</v>
      </c>
      <c r="F779" s="11">
        <v>39100</v>
      </c>
      <c r="G779" s="9" t="str">
        <f>INDEX(Products!$B$2:$B$9,MATCH(D779,Products!$A$2:$A$9,0))</f>
        <v>Trà hoa cúc an thần</v>
      </c>
      <c r="H779" s="9" t="str">
        <f>INDEX(Products!$C$2:$C$9,MATCH(D779,Products!$A$2:$A$9,0))</f>
        <v>An thần</v>
      </c>
      <c r="I779" s="11">
        <f>INDEX(Products!$D$2:$D$9,MATCH(D779,Products!$A$2:$A$9,0))</f>
        <v>9500</v>
      </c>
      <c r="J779" s="10">
        <f>IFERROR(INDEX(PlatformFees!$C$2:$C$5,MATCH(C779,PlatformFees!$A$2:$A$5,0)),0)</f>
        <v>0</v>
      </c>
      <c r="K779" s="11">
        <f t="shared" si="48"/>
        <v>9500</v>
      </c>
      <c r="L779" s="11">
        <f t="shared" si="49"/>
        <v>0</v>
      </c>
      <c r="M779" s="11">
        <f t="shared" si="50"/>
        <v>29600</v>
      </c>
      <c r="N779" s="10">
        <f t="shared" si="51"/>
        <v>0.75703324808184147</v>
      </c>
    </row>
    <row r="780" spans="1:14" x14ac:dyDescent="0.3">
      <c r="A780" s="9" t="s">
        <v>873</v>
      </c>
      <c r="B780" s="9" t="s">
        <v>874</v>
      </c>
      <c r="C780" s="9" t="s">
        <v>39</v>
      </c>
      <c r="D780" s="9" t="s">
        <v>22</v>
      </c>
      <c r="E780" s="9">
        <v>2</v>
      </c>
      <c r="F780" s="11">
        <v>72800</v>
      </c>
      <c r="G780" s="9" t="str">
        <f>INDEX(Products!$B$2:$B$9,MATCH(D780,Products!$A$2:$A$9,0))</f>
        <v>Trà hoa cúc an thần</v>
      </c>
      <c r="H780" s="9" t="str">
        <f>INDEX(Products!$C$2:$C$9,MATCH(D780,Products!$A$2:$A$9,0))</f>
        <v>An thần</v>
      </c>
      <c r="I780" s="11">
        <f>INDEX(Products!$D$2:$D$9,MATCH(D780,Products!$A$2:$A$9,0))</f>
        <v>9500</v>
      </c>
      <c r="J780" s="10">
        <f>IFERROR(INDEX(PlatformFees!$C$2:$C$5,MATCH(C780,PlatformFees!$A$2:$A$5,0)),0)</f>
        <v>0</v>
      </c>
      <c r="K780" s="11">
        <f t="shared" si="48"/>
        <v>19000</v>
      </c>
      <c r="L780" s="11">
        <f t="shared" si="49"/>
        <v>0</v>
      </c>
      <c r="M780" s="11">
        <f t="shared" si="50"/>
        <v>53800</v>
      </c>
      <c r="N780" s="10">
        <f t="shared" si="51"/>
        <v>0.73901098901098905</v>
      </c>
    </row>
    <row r="781" spans="1:14" x14ac:dyDescent="0.3">
      <c r="A781" s="9" t="s">
        <v>875</v>
      </c>
      <c r="B781" s="9" t="s">
        <v>874</v>
      </c>
      <c r="C781" s="9" t="s">
        <v>38</v>
      </c>
      <c r="D781" s="9" t="s">
        <v>17</v>
      </c>
      <c r="E781" s="9">
        <v>1</v>
      </c>
      <c r="F781" s="11">
        <v>39500</v>
      </c>
      <c r="G781" s="9" t="str">
        <f>INDEX(Products!$B$2:$B$9,MATCH(D781,Products!$A$2:$A$9,0))</f>
        <v>Trà diếp cá rau má</v>
      </c>
      <c r="H781" s="9" t="str">
        <f>INDEX(Products!$C$2:$C$9,MATCH(D781,Products!$A$2:$A$9,0))</f>
        <v>Detox</v>
      </c>
      <c r="I781" s="11">
        <f>INDEX(Products!$D$2:$D$9,MATCH(D781,Products!$A$2:$A$9,0))</f>
        <v>10500</v>
      </c>
      <c r="J781" s="10">
        <f>IFERROR(INDEX(PlatformFees!$C$2:$C$5,MATCH(C781,PlatformFees!$A$2:$A$5,0)),0)</f>
        <v>0.16</v>
      </c>
      <c r="K781" s="11">
        <f t="shared" si="48"/>
        <v>10500</v>
      </c>
      <c r="L781" s="11">
        <f t="shared" si="49"/>
        <v>6320</v>
      </c>
      <c r="M781" s="11">
        <f t="shared" si="50"/>
        <v>22680</v>
      </c>
      <c r="N781" s="10">
        <f t="shared" si="51"/>
        <v>0.57417721518987341</v>
      </c>
    </row>
    <row r="782" spans="1:14" x14ac:dyDescent="0.3">
      <c r="A782" s="9" t="s">
        <v>876</v>
      </c>
      <c r="B782" s="9" t="s">
        <v>874</v>
      </c>
      <c r="C782" s="9" t="s">
        <v>36</v>
      </c>
      <c r="D782" s="9" t="s">
        <v>17</v>
      </c>
      <c r="E782" s="9">
        <v>1</v>
      </c>
      <c r="F782" s="11">
        <v>38900</v>
      </c>
      <c r="G782" s="9" t="str">
        <f>INDEX(Products!$B$2:$B$9,MATCH(D782,Products!$A$2:$A$9,0))</f>
        <v>Trà diếp cá rau má</v>
      </c>
      <c r="H782" s="9" t="str">
        <f>INDEX(Products!$C$2:$C$9,MATCH(D782,Products!$A$2:$A$9,0))</f>
        <v>Detox</v>
      </c>
      <c r="I782" s="11">
        <f>INDEX(Products!$D$2:$D$9,MATCH(D782,Products!$A$2:$A$9,0))</f>
        <v>10500</v>
      </c>
      <c r="J782" s="10">
        <f>IFERROR(INDEX(PlatformFees!$C$2:$C$5,MATCH(C782,PlatformFees!$A$2:$A$5,0)),0)</f>
        <v>0.13</v>
      </c>
      <c r="K782" s="11">
        <f t="shared" si="48"/>
        <v>10500</v>
      </c>
      <c r="L782" s="11">
        <f t="shared" si="49"/>
        <v>5057</v>
      </c>
      <c r="M782" s="11">
        <f t="shared" si="50"/>
        <v>23343</v>
      </c>
      <c r="N782" s="10">
        <f t="shared" si="51"/>
        <v>0.6000771208226221</v>
      </c>
    </row>
    <row r="783" spans="1:14" x14ac:dyDescent="0.3">
      <c r="A783" s="9" t="s">
        <v>877</v>
      </c>
      <c r="B783" s="9" t="s">
        <v>874</v>
      </c>
      <c r="C783" s="9" t="s">
        <v>40</v>
      </c>
      <c r="D783" s="9" t="s">
        <v>22</v>
      </c>
      <c r="E783" s="9">
        <v>2</v>
      </c>
      <c r="F783" s="11">
        <v>78300</v>
      </c>
      <c r="G783" s="9" t="str">
        <f>INDEX(Products!$B$2:$B$9,MATCH(D783,Products!$A$2:$A$9,0))</f>
        <v>Trà hoa cúc an thần</v>
      </c>
      <c r="H783" s="9" t="str">
        <f>INDEX(Products!$C$2:$C$9,MATCH(D783,Products!$A$2:$A$9,0))</f>
        <v>An thần</v>
      </c>
      <c r="I783" s="11">
        <f>INDEX(Products!$D$2:$D$9,MATCH(D783,Products!$A$2:$A$9,0))</f>
        <v>9500</v>
      </c>
      <c r="J783" s="10">
        <f>IFERROR(INDEX(PlatformFees!$C$2:$C$5,MATCH(C783,PlatformFees!$A$2:$A$5,0)),0)</f>
        <v>0</v>
      </c>
      <c r="K783" s="11">
        <f t="shared" si="48"/>
        <v>19000</v>
      </c>
      <c r="L783" s="11">
        <f t="shared" si="49"/>
        <v>0</v>
      </c>
      <c r="M783" s="11">
        <f t="shared" si="50"/>
        <v>59300</v>
      </c>
      <c r="N783" s="10">
        <f t="shared" si="51"/>
        <v>0.75734355044699875</v>
      </c>
    </row>
    <row r="784" spans="1:14" x14ac:dyDescent="0.3">
      <c r="A784" s="9" t="s">
        <v>878</v>
      </c>
      <c r="B784" s="9" t="s">
        <v>874</v>
      </c>
      <c r="C784" s="9" t="s">
        <v>40</v>
      </c>
      <c r="D784" s="9" t="s">
        <v>12</v>
      </c>
      <c r="E784" s="9">
        <v>3</v>
      </c>
      <c r="F784" s="11">
        <v>99400</v>
      </c>
      <c r="G784" s="9" t="str">
        <f>INDEX(Products!$B$2:$B$9,MATCH(D784,Products!$A$2:$A$9,0))</f>
        <v>Trà atiso thanh lọc</v>
      </c>
      <c r="H784" s="9" t="str">
        <f>INDEX(Products!$C$2:$C$9,MATCH(D784,Products!$A$2:$A$9,0))</f>
        <v>Thanh lọc</v>
      </c>
      <c r="I784" s="11">
        <f>INDEX(Products!$D$2:$D$9,MATCH(D784,Products!$A$2:$A$9,0))</f>
        <v>9000</v>
      </c>
      <c r="J784" s="10">
        <f>IFERROR(INDEX(PlatformFees!$C$2:$C$5,MATCH(C784,PlatformFees!$A$2:$A$5,0)),0)</f>
        <v>0</v>
      </c>
      <c r="K784" s="11">
        <f t="shared" si="48"/>
        <v>27000</v>
      </c>
      <c r="L784" s="11">
        <f t="shared" si="49"/>
        <v>0</v>
      </c>
      <c r="M784" s="11">
        <f t="shared" si="50"/>
        <v>72400</v>
      </c>
      <c r="N784" s="10">
        <f t="shared" si="51"/>
        <v>0.7283702213279678</v>
      </c>
    </row>
    <row r="785" spans="1:14" x14ac:dyDescent="0.3">
      <c r="A785" s="9" t="s">
        <v>879</v>
      </c>
      <c r="B785" s="9" t="s">
        <v>874</v>
      </c>
      <c r="C785" s="9" t="s">
        <v>38</v>
      </c>
      <c r="D785" s="9" t="s">
        <v>25</v>
      </c>
      <c r="E785" s="9">
        <v>3</v>
      </c>
      <c r="F785" s="11">
        <v>94500</v>
      </c>
      <c r="G785" s="9" t="str">
        <f>INDEX(Products!$B$2:$B$9,MATCH(D785,Products!$A$2:$A$9,0))</f>
        <v>Trà hoa đậu biếc</v>
      </c>
      <c r="H785" s="9" t="str">
        <f>INDEX(Products!$C$2:$C$9,MATCH(D785,Products!$A$2:$A$9,0))</f>
        <v>An thần</v>
      </c>
      <c r="I785" s="11">
        <f>INDEX(Products!$D$2:$D$9,MATCH(D785,Products!$A$2:$A$9,0))</f>
        <v>8800</v>
      </c>
      <c r="J785" s="10">
        <f>IFERROR(INDEX(PlatformFees!$C$2:$C$5,MATCH(C785,PlatformFees!$A$2:$A$5,0)),0)</f>
        <v>0.16</v>
      </c>
      <c r="K785" s="11">
        <f t="shared" si="48"/>
        <v>26400</v>
      </c>
      <c r="L785" s="11">
        <f t="shared" si="49"/>
        <v>15120</v>
      </c>
      <c r="M785" s="11">
        <f t="shared" si="50"/>
        <v>52980</v>
      </c>
      <c r="N785" s="10">
        <f t="shared" si="51"/>
        <v>0.5606349206349206</v>
      </c>
    </row>
    <row r="786" spans="1:14" x14ac:dyDescent="0.3">
      <c r="A786" s="9" t="s">
        <v>880</v>
      </c>
      <c r="B786" s="9" t="s">
        <v>874</v>
      </c>
      <c r="C786" s="9" t="s">
        <v>40</v>
      </c>
      <c r="D786" s="9" t="s">
        <v>15</v>
      </c>
      <c r="E786" s="9">
        <v>2</v>
      </c>
      <c r="F786" s="11">
        <v>61400</v>
      </c>
      <c r="G786" s="9" t="str">
        <f>INDEX(Products!$B$2:$B$9,MATCH(D786,Products!$A$2:$A$9,0))</f>
        <v>Trà lá nam sen ổi</v>
      </c>
      <c r="H786" s="9" t="str">
        <f>INDEX(Products!$C$2:$C$9,MATCH(D786,Products!$A$2:$A$9,0))</f>
        <v>Thanh lọc</v>
      </c>
      <c r="I786" s="11">
        <f>INDEX(Products!$D$2:$D$9,MATCH(D786,Products!$A$2:$A$9,0))</f>
        <v>8500</v>
      </c>
      <c r="J786" s="10">
        <f>IFERROR(INDEX(PlatformFees!$C$2:$C$5,MATCH(C786,PlatformFees!$A$2:$A$5,0)),0)</f>
        <v>0</v>
      </c>
      <c r="K786" s="11">
        <f t="shared" si="48"/>
        <v>17000</v>
      </c>
      <c r="L786" s="11">
        <f t="shared" si="49"/>
        <v>0</v>
      </c>
      <c r="M786" s="11">
        <f t="shared" si="50"/>
        <v>44400</v>
      </c>
      <c r="N786" s="10">
        <f t="shared" si="51"/>
        <v>0.72312703583061888</v>
      </c>
    </row>
    <row r="787" spans="1:14" x14ac:dyDescent="0.3">
      <c r="A787" s="9" t="s">
        <v>881</v>
      </c>
      <c r="B787" s="9" t="s">
        <v>874</v>
      </c>
      <c r="C787" s="9" t="s">
        <v>39</v>
      </c>
      <c r="D787" s="9" t="s">
        <v>27</v>
      </c>
      <c r="E787" s="9">
        <v>1</v>
      </c>
      <c r="F787" s="11">
        <v>37800</v>
      </c>
      <c r="G787" s="9" t="str">
        <f>INDEX(Products!$B$2:$B$9,MATCH(D787,Products!$A$2:$A$9,0))</f>
        <v>Trà gừng mật ong</v>
      </c>
      <c r="H787" s="9" t="str">
        <f>INDEX(Products!$C$2:$C$9,MATCH(D787,Products!$A$2:$A$9,0))</f>
        <v>Giữ ấm</v>
      </c>
      <c r="I787" s="11">
        <f>INDEX(Products!$D$2:$D$9,MATCH(D787,Products!$A$2:$A$9,0))</f>
        <v>11000</v>
      </c>
      <c r="J787" s="10">
        <f>IFERROR(INDEX(PlatformFees!$C$2:$C$5,MATCH(C787,PlatformFees!$A$2:$A$5,0)),0)</f>
        <v>0</v>
      </c>
      <c r="K787" s="11">
        <f t="shared" si="48"/>
        <v>11000</v>
      </c>
      <c r="L787" s="11">
        <f t="shared" si="49"/>
        <v>0</v>
      </c>
      <c r="M787" s="11">
        <f t="shared" si="50"/>
        <v>26800</v>
      </c>
      <c r="N787" s="10">
        <f t="shared" si="51"/>
        <v>0.70899470899470896</v>
      </c>
    </row>
    <row r="788" spans="1:14" x14ac:dyDescent="0.3">
      <c r="A788" s="9" t="s">
        <v>882</v>
      </c>
      <c r="B788" s="9" t="s">
        <v>874</v>
      </c>
      <c r="C788" s="9" t="s">
        <v>36</v>
      </c>
      <c r="D788" s="9" t="s">
        <v>25</v>
      </c>
      <c r="E788" s="9">
        <v>1</v>
      </c>
      <c r="F788" s="11">
        <v>34700</v>
      </c>
      <c r="G788" s="9" t="str">
        <f>INDEX(Products!$B$2:$B$9,MATCH(D788,Products!$A$2:$A$9,0))</f>
        <v>Trà hoa đậu biếc</v>
      </c>
      <c r="H788" s="9" t="str">
        <f>INDEX(Products!$C$2:$C$9,MATCH(D788,Products!$A$2:$A$9,0))</f>
        <v>An thần</v>
      </c>
      <c r="I788" s="11">
        <f>INDEX(Products!$D$2:$D$9,MATCH(D788,Products!$A$2:$A$9,0))</f>
        <v>8800</v>
      </c>
      <c r="J788" s="10">
        <f>IFERROR(INDEX(PlatformFees!$C$2:$C$5,MATCH(C788,PlatformFees!$A$2:$A$5,0)),0)</f>
        <v>0.13</v>
      </c>
      <c r="K788" s="11">
        <f t="shared" si="48"/>
        <v>8800</v>
      </c>
      <c r="L788" s="11">
        <f t="shared" si="49"/>
        <v>4511</v>
      </c>
      <c r="M788" s="11">
        <f t="shared" si="50"/>
        <v>21389</v>
      </c>
      <c r="N788" s="10">
        <f t="shared" si="51"/>
        <v>0.61639769452449567</v>
      </c>
    </row>
    <row r="789" spans="1:14" x14ac:dyDescent="0.3">
      <c r="A789" s="9" t="s">
        <v>883</v>
      </c>
      <c r="B789" s="9" t="s">
        <v>874</v>
      </c>
      <c r="C789" s="9" t="s">
        <v>36</v>
      </c>
      <c r="D789" s="9" t="s">
        <v>25</v>
      </c>
      <c r="E789" s="9">
        <v>2</v>
      </c>
      <c r="F789" s="11">
        <v>66800</v>
      </c>
      <c r="G789" s="9" t="str">
        <f>INDEX(Products!$B$2:$B$9,MATCH(D789,Products!$A$2:$A$9,0))</f>
        <v>Trà hoa đậu biếc</v>
      </c>
      <c r="H789" s="9" t="str">
        <f>INDEX(Products!$C$2:$C$9,MATCH(D789,Products!$A$2:$A$9,0))</f>
        <v>An thần</v>
      </c>
      <c r="I789" s="11">
        <f>INDEX(Products!$D$2:$D$9,MATCH(D789,Products!$A$2:$A$9,0))</f>
        <v>8800</v>
      </c>
      <c r="J789" s="10">
        <f>IFERROR(INDEX(PlatformFees!$C$2:$C$5,MATCH(C789,PlatformFees!$A$2:$A$5,0)),0)</f>
        <v>0.13</v>
      </c>
      <c r="K789" s="11">
        <f t="shared" si="48"/>
        <v>17600</v>
      </c>
      <c r="L789" s="11">
        <f t="shared" si="49"/>
        <v>8684</v>
      </c>
      <c r="M789" s="11">
        <f t="shared" si="50"/>
        <v>40516</v>
      </c>
      <c r="N789" s="10">
        <f t="shared" si="51"/>
        <v>0.60652694610778446</v>
      </c>
    </row>
    <row r="790" spans="1:14" x14ac:dyDescent="0.3">
      <c r="A790" s="9" t="s">
        <v>884</v>
      </c>
      <c r="B790" s="9" t="s">
        <v>874</v>
      </c>
      <c r="C790" s="9" t="s">
        <v>38</v>
      </c>
      <c r="D790" s="9" t="s">
        <v>15</v>
      </c>
      <c r="E790" s="9">
        <v>2</v>
      </c>
      <c r="F790" s="11">
        <v>62700</v>
      </c>
      <c r="G790" s="9" t="str">
        <f>INDEX(Products!$B$2:$B$9,MATCH(D790,Products!$A$2:$A$9,0))</f>
        <v>Trà lá nam sen ổi</v>
      </c>
      <c r="H790" s="9" t="str">
        <f>INDEX(Products!$C$2:$C$9,MATCH(D790,Products!$A$2:$A$9,0))</f>
        <v>Thanh lọc</v>
      </c>
      <c r="I790" s="11">
        <f>INDEX(Products!$D$2:$D$9,MATCH(D790,Products!$A$2:$A$9,0))</f>
        <v>8500</v>
      </c>
      <c r="J790" s="10">
        <f>IFERROR(INDEX(PlatformFees!$C$2:$C$5,MATCH(C790,PlatformFees!$A$2:$A$5,0)),0)</f>
        <v>0.16</v>
      </c>
      <c r="K790" s="11">
        <f t="shared" si="48"/>
        <v>17000</v>
      </c>
      <c r="L790" s="11">
        <f t="shared" si="49"/>
        <v>10032</v>
      </c>
      <c r="M790" s="11">
        <f t="shared" si="50"/>
        <v>35668</v>
      </c>
      <c r="N790" s="10">
        <f t="shared" si="51"/>
        <v>0.56886762360446574</v>
      </c>
    </row>
    <row r="791" spans="1:14" x14ac:dyDescent="0.3">
      <c r="A791" s="9" t="s">
        <v>885</v>
      </c>
      <c r="B791" s="9" t="s">
        <v>874</v>
      </c>
      <c r="C791" s="9" t="s">
        <v>36</v>
      </c>
      <c r="D791" s="9" t="s">
        <v>12</v>
      </c>
      <c r="E791" s="9">
        <v>1</v>
      </c>
      <c r="F791" s="11">
        <v>33100</v>
      </c>
      <c r="G791" s="9" t="str">
        <f>INDEX(Products!$B$2:$B$9,MATCH(D791,Products!$A$2:$A$9,0))</f>
        <v>Trà atiso thanh lọc</v>
      </c>
      <c r="H791" s="9" t="str">
        <f>INDEX(Products!$C$2:$C$9,MATCH(D791,Products!$A$2:$A$9,0))</f>
        <v>Thanh lọc</v>
      </c>
      <c r="I791" s="11">
        <f>INDEX(Products!$D$2:$D$9,MATCH(D791,Products!$A$2:$A$9,0))</f>
        <v>9000</v>
      </c>
      <c r="J791" s="10">
        <f>IFERROR(INDEX(PlatformFees!$C$2:$C$5,MATCH(C791,PlatformFees!$A$2:$A$5,0)),0)</f>
        <v>0.13</v>
      </c>
      <c r="K791" s="11">
        <f t="shared" si="48"/>
        <v>9000</v>
      </c>
      <c r="L791" s="11">
        <f t="shared" si="49"/>
        <v>4303</v>
      </c>
      <c r="M791" s="11">
        <f t="shared" si="50"/>
        <v>19797</v>
      </c>
      <c r="N791" s="10">
        <f t="shared" si="51"/>
        <v>0.59809667673716016</v>
      </c>
    </row>
    <row r="792" spans="1:14" x14ac:dyDescent="0.3">
      <c r="A792" s="9" t="s">
        <v>886</v>
      </c>
      <c r="B792" s="9" t="s">
        <v>874</v>
      </c>
      <c r="C792" s="9" t="s">
        <v>36</v>
      </c>
      <c r="D792" s="9" t="s">
        <v>20</v>
      </c>
      <c r="E792" s="9">
        <v>1</v>
      </c>
      <c r="F792" s="11">
        <v>52600</v>
      </c>
      <c r="G792" s="9" t="str">
        <f>INDEX(Products!$B$2:$B$9,MATCH(D792,Products!$A$2:$A$9,0))</f>
        <v>Trà cà leo gai giảm cân</v>
      </c>
      <c r="H792" s="9" t="str">
        <f>INDEX(Products!$C$2:$C$9,MATCH(D792,Products!$A$2:$A$9,0))</f>
        <v>Detox</v>
      </c>
      <c r="I792" s="11">
        <f>INDEX(Products!$D$2:$D$9,MATCH(D792,Products!$A$2:$A$9,0))</f>
        <v>15000</v>
      </c>
      <c r="J792" s="10">
        <f>IFERROR(INDEX(PlatformFees!$C$2:$C$5,MATCH(C792,PlatformFees!$A$2:$A$5,0)),0)</f>
        <v>0.13</v>
      </c>
      <c r="K792" s="11">
        <f t="shared" si="48"/>
        <v>15000</v>
      </c>
      <c r="L792" s="11">
        <f t="shared" si="49"/>
        <v>6838</v>
      </c>
      <c r="M792" s="11">
        <f t="shared" si="50"/>
        <v>30762</v>
      </c>
      <c r="N792" s="10">
        <f t="shared" si="51"/>
        <v>0.58482889733840304</v>
      </c>
    </row>
    <row r="793" spans="1:14" x14ac:dyDescent="0.3">
      <c r="A793" s="9" t="s">
        <v>887</v>
      </c>
      <c r="B793" s="9" t="s">
        <v>874</v>
      </c>
      <c r="C793" s="9" t="s">
        <v>38</v>
      </c>
      <c r="D793" s="9" t="s">
        <v>27</v>
      </c>
      <c r="E793" s="9">
        <v>1</v>
      </c>
      <c r="F793" s="11">
        <v>40000</v>
      </c>
      <c r="G793" s="9" t="str">
        <f>INDEX(Products!$B$2:$B$9,MATCH(D793,Products!$A$2:$A$9,0))</f>
        <v>Trà gừng mật ong</v>
      </c>
      <c r="H793" s="9" t="str">
        <f>INDEX(Products!$C$2:$C$9,MATCH(D793,Products!$A$2:$A$9,0))</f>
        <v>Giữ ấm</v>
      </c>
      <c r="I793" s="11">
        <f>INDEX(Products!$D$2:$D$9,MATCH(D793,Products!$A$2:$A$9,0))</f>
        <v>11000</v>
      </c>
      <c r="J793" s="10">
        <f>IFERROR(INDEX(PlatformFees!$C$2:$C$5,MATCH(C793,PlatformFees!$A$2:$A$5,0)),0)</f>
        <v>0.16</v>
      </c>
      <c r="K793" s="11">
        <f t="shared" si="48"/>
        <v>11000</v>
      </c>
      <c r="L793" s="11">
        <f t="shared" si="49"/>
        <v>6400</v>
      </c>
      <c r="M793" s="11">
        <f t="shared" si="50"/>
        <v>22600</v>
      </c>
      <c r="N793" s="10">
        <f t="shared" si="51"/>
        <v>0.56499999999999995</v>
      </c>
    </row>
    <row r="794" spans="1:14" x14ac:dyDescent="0.3">
      <c r="A794" s="9" t="s">
        <v>888</v>
      </c>
      <c r="B794" s="9" t="s">
        <v>874</v>
      </c>
      <c r="C794" s="9" t="s">
        <v>40</v>
      </c>
      <c r="D794" s="9" t="s">
        <v>27</v>
      </c>
      <c r="E794" s="9">
        <v>1</v>
      </c>
      <c r="F794" s="11">
        <v>37100</v>
      </c>
      <c r="G794" s="9" t="str">
        <f>INDEX(Products!$B$2:$B$9,MATCH(D794,Products!$A$2:$A$9,0))</f>
        <v>Trà gừng mật ong</v>
      </c>
      <c r="H794" s="9" t="str">
        <f>INDEX(Products!$C$2:$C$9,MATCH(D794,Products!$A$2:$A$9,0))</f>
        <v>Giữ ấm</v>
      </c>
      <c r="I794" s="11">
        <f>INDEX(Products!$D$2:$D$9,MATCH(D794,Products!$A$2:$A$9,0))</f>
        <v>11000</v>
      </c>
      <c r="J794" s="10">
        <f>IFERROR(INDEX(PlatformFees!$C$2:$C$5,MATCH(C794,PlatformFees!$A$2:$A$5,0)),0)</f>
        <v>0</v>
      </c>
      <c r="K794" s="11">
        <f t="shared" si="48"/>
        <v>11000</v>
      </c>
      <c r="L794" s="11">
        <f t="shared" si="49"/>
        <v>0</v>
      </c>
      <c r="M794" s="11">
        <f t="shared" si="50"/>
        <v>26100</v>
      </c>
      <c r="N794" s="10">
        <f t="shared" si="51"/>
        <v>0.70350404312668469</v>
      </c>
    </row>
    <row r="795" spans="1:14" x14ac:dyDescent="0.3">
      <c r="A795" s="9" t="s">
        <v>889</v>
      </c>
      <c r="B795" s="9" t="s">
        <v>874</v>
      </c>
      <c r="C795" s="9" t="s">
        <v>36</v>
      </c>
      <c r="D795" s="9" t="s">
        <v>25</v>
      </c>
      <c r="E795" s="9">
        <v>1</v>
      </c>
      <c r="F795" s="11">
        <v>34200</v>
      </c>
      <c r="G795" s="9" t="str">
        <f>INDEX(Products!$B$2:$B$9,MATCH(D795,Products!$A$2:$A$9,0))</f>
        <v>Trà hoa đậu biếc</v>
      </c>
      <c r="H795" s="9" t="str">
        <f>INDEX(Products!$C$2:$C$9,MATCH(D795,Products!$A$2:$A$9,0))</f>
        <v>An thần</v>
      </c>
      <c r="I795" s="11">
        <f>INDEX(Products!$D$2:$D$9,MATCH(D795,Products!$A$2:$A$9,0))</f>
        <v>8800</v>
      </c>
      <c r="J795" s="10">
        <f>IFERROR(INDEX(PlatformFees!$C$2:$C$5,MATCH(C795,PlatformFees!$A$2:$A$5,0)),0)</f>
        <v>0.13</v>
      </c>
      <c r="K795" s="11">
        <f t="shared" si="48"/>
        <v>8800</v>
      </c>
      <c r="L795" s="11">
        <f t="shared" si="49"/>
        <v>4446</v>
      </c>
      <c r="M795" s="11">
        <f t="shared" si="50"/>
        <v>20954</v>
      </c>
      <c r="N795" s="10">
        <f t="shared" si="51"/>
        <v>0.61269005847953217</v>
      </c>
    </row>
    <row r="796" spans="1:14" x14ac:dyDescent="0.3">
      <c r="A796" s="9" t="s">
        <v>890</v>
      </c>
      <c r="B796" s="9" t="s">
        <v>874</v>
      </c>
      <c r="C796" s="9" t="s">
        <v>39</v>
      </c>
      <c r="D796" s="9" t="s">
        <v>30</v>
      </c>
      <c r="E796" s="9">
        <v>1</v>
      </c>
      <c r="F796" s="11">
        <v>34600</v>
      </c>
      <c r="G796" s="9" t="str">
        <f>INDEX(Products!$B$2:$B$9,MATCH(D796,Products!$A$2:$A$9,0))</f>
        <v>Trà mâm xôi vitamin</v>
      </c>
      <c r="H796" s="9" t="str">
        <f>INDEX(Products!$C$2:$C$9,MATCH(D796,Products!$A$2:$A$9,0))</f>
        <v>Bổ sung dưỡng chất</v>
      </c>
      <c r="I796" s="11">
        <f>INDEX(Products!$D$2:$D$9,MATCH(D796,Products!$A$2:$A$9,0))</f>
        <v>9800</v>
      </c>
      <c r="J796" s="10">
        <f>IFERROR(INDEX(PlatformFees!$C$2:$C$5,MATCH(C796,PlatformFees!$A$2:$A$5,0)),0)</f>
        <v>0</v>
      </c>
      <c r="K796" s="11">
        <f t="shared" si="48"/>
        <v>9800</v>
      </c>
      <c r="L796" s="11">
        <f t="shared" si="49"/>
        <v>0</v>
      </c>
      <c r="M796" s="11">
        <f t="shared" si="50"/>
        <v>24800</v>
      </c>
      <c r="N796" s="10">
        <f t="shared" si="51"/>
        <v>0.7167630057803468</v>
      </c>
    </row>
    <row r="797" spans="1:14" x14ac:dyDescent="0.3">
      <c r="A797" s="9" t="s">
        <v>891</v>
      </c>
      <c r="B797" s="9" t="s">
        <v>874</v>
      </c>
      <c r="C797" s="9" t="s">
        <v>40</v>
      </c>
      <c r="D797" s="9" t="s">
        <v>20</v>
      </c>
      <c r="E797" s="9">
        <v>1</v>
      </c>
      <c r="F797" s="11">
        <v>52600</v>
      </c>
      <c r="G797" s="9" t="str">
        <f>INDEX(Products!$B$2:$B$9,MATCH(D797,Products!$A$2:$A$9,0))</f>
        <v>Trà cà leo gai giảm cân</v>
      </c>
      <c r="H797" s="9" t="str">
        <f>INDEX(Products!$C$2:$C$9,MATCH(D797,Products!$A$2:$A$9,0))</f>
        <v>Detox</v>
      </c>
      <c r="I797" s="11">
        <f>INDEX(Products!$D$2:$D$9,MATCH(D797,Products!$A$2:$A$9,0))</f>
        <v>15000</v>
      </c>
      <c r="J797" s="10">
        <f>IFERROR(INDEX(PlatformFees!$C$2:$C$5,MATCH(C797,PlatformFees!$A$2:$A$5,0)),0)</f>
        <v>0</v>
      </c>
      <c r="K797" s="11">
        <f t="shared" si="48"/>
        <v>15000</v>
      </c>
      <c r="L797" s="11">
        <f t="shared" si="49"/>
        <v>0</v>
      </c>
      <c r="M797" s="11">
        <f t="shared" si="50"/>
        <v>37600</v>
      </c>
      <c r="N797" s="10">
        <f t="shared" si="51"/>
        <v>0.71482889733840305</v>
      </c>
    </row>
    <row r="798" spans="1:14" x14ac:dyDescent="0.3">
      <c r="A798" s="9" t="s">
        <v>892</v>
      </c>
      <c r="B798" s="9" t="s">
        <v>874</v>
      </c>
      <c r="C798" s="9" t="s">
        <v>36</v>
      </c>
      <c r="D798" s="9" t="s">
        <v>30</v>
      </c>
      <c r="E798" s="9">
        <v>3</v>
      </c>
      <c r="F798" s="11">
        <v>110600</v>
      </c>
      <c r="G798" s="9" t="str">
        <f>INDEX(Products!$B$2:$B$9,MATCH(D798,Products!$A$2:$A$9,0))</f>
        <v>Trà mâm xôi vitamin</v>
      </c>
      <c r="H798" s="9" t="str">
        <f>INDEX(Products!$C$2:$C$9,MATCH(D798,Products!$A$2:$A$9,0))</f>
        <v>Bổ sung dưỡng chất</v>
      </c>
      <c r="I798" s="11">
        <f>INDEX(Products!$D$2:$D$9,MATCH(D798,Products!$A$2:$A$9,0))</f>
        <v>9800</v>
      </c>
      <c r="J798" s="10">
        <f>IFERROR(INDEX(PlatformFees!$C$2:$C$5,MATCH(C798,PlatformFees!$A$2:$A$5,0)),0)</f>
        <v>0.13</v>
      </c>
      <c r="K798" s="11">
        <f t="shared" si="48"/>
        <v>29400</v>
      </c>
      <c r="L798" s="11">
        <f t="shared" si="49"/>
        <v>14378</v>
      </c>
      <c r="M798" s="11">
        <f t="shared" si="50"/>
        <v>66822</v>
      </c>
      <c r="N798" s="10">
        <f t="shared" si="51"/>
        <v>0.60417721518987344</v>
      </c>
    </row>
    <row r="799" spans="1:14" x14ac:dyDescent="0.3">
      <c r="A799" s="9" t="s">
        <v>893</v>
      </c>
      <c r="B799" s="9" t="s">
        <v>874</v>
      </c>
      <c r="C799" s="9" t="s">
        <v>39</v>
      </c>
      <c r="D799" s="9" t="s">
        <v>30</v>
      </c>
      <c r="E799" s="9">
        <v>3</v>
      </c>
      <c r="F799" s="11">
        <v>103100</v>
      </c>
      <c r="G799" s="9" t="str">
        <f>INDEX(Products!$B$2:$B$9,MATCH(D799,Products!$A$2:$A$9,0))</f>
        <v>Trà mâm xôi vitamin</v>
      </c>
      <c r="H799" s="9" t="str">
        <f>INDEX(Products!$C$2:$C$9,MATCH(D799,Products!$A$2:$A$9,0))</f>
        <v>Bổ sung dưỡng chất</v>
      </c>
      <c r="I799" s="11">
        <f>INDEX(Products!$D$2:$D$9,MATCH(D799,Products!$A$2:$A$9,0))</f>
        <v>9800</v>
      </c>
      <c r="J799" s="10">
        <f>IFERROR(INDEX(PlatformFees!$C$2:$C$5,MATCH(C799,PlatformFees!$A$2:$A$5,0)),0)</f>
        <v>0</v>
      </c>
      <c r="K799" s="11">
        <f t="shared" si="48"/>
        <v>29400</v>
      </c>
      <c r="L799" s="11">
        <f t="shared" si="49"/>
        <v>0</v>
      </c>
      <c r="M799" s="11">
        <f t="shared" si="50"/>
        <v>73700</v>
      </c>
      <c r="N799" s="10">
        <f t="shared" si="51"/>
        <v>0.71483996120271576</v>
      </c>
    </row>
    <row r="800" spans="1:14" x14ac:dyDescent="0.3">
      <c r="A800" s="9" t="s">
        <v>894</v>
      </c>
      <c r="B800" s="9" t="s">
        <v>874</v>
      </c>
      <c r="C800" s="9" t="s">
        <v>39</v>
      </c>
      <c r="D800" s="9" t="s">
        <v>22</v>
      </c>
      <c r="E800" s="9">
        <v>2</v>
      </c>
      <c r="F800" s="11">
        <v>76500</v>
      </c>
      <c r="G800" s="9" t="str">
        <f>INDEX(Products!$B$2:$B$9,MATCH(D800,Products!$A$2:$A$9,0))</f>
        <v>Trà hoa cúc an thần</v>
      </c>
      <c r="H800" s="9" t="str">
        <f>INDEX(Products!$C$2:$C$9,MATCH(D800,Products!$A$2:$A$9,0))</f>
        <v>An thần</v>
      </c>
      <c r="I800" s="11">
        <f>INDEX(Products!$D$2:$D$9,MATCH(D800,Products!$A$2:$A$9,0))</f>
        <v>9500</v>
      </c>
      <c r="J800" s="10">
        <f>IFERROR(INDEX(PlatformFees!$C$2:$C$5,MATCH(C800,PlatformFees!$A$2:$A$5,0)),0)</f>
        <v>0</v>
      </c>
      <c r="K800" s="11">
        <f t="shared" si="48"/>
        <v>19000</v>
      </c>
      <c r="L800" s="11">
        <f t="shared" si="49"/>
        <v>0</v>
      </c>
      <c r="M800" s="11">
        <f t="shared" si="50"/>
        <v>57500</v>
      </c>
      <c r="N800" s="10">
        <f t="shared" si="51"/>
        <v>0.75163398692810457</v>
      </c>
    </row>
    <row r="801" spans="1:14" x14ac:dyDescent="0.3">
      <c r="A801" s="9" t="s">
        <v>895</v>
      </c>
      <c r="B801" s="9" t="s">
        <v>874</v>
      </c>
      <c r="C801" s="9" t="s">
        <v>36</v>
      </c>
      <c r="D801" s="9" t="s">
        <v>20</v>
      </c>
      <c r="E801" s="9">
        <v>1</v>
      </c>
      <c r="F801" s="11">
        <v>52900</v>
      </c>
      <c r="G801" s="9" t="str">
        <f>INDEX(Products!$B$2:$B$9,MATCH(D801,Products!$A$2:$A$9,0))</f>
        <v>Trà cà leo gai giảm cân</v>
      </c>
      <c r="H801" s="9" t="str">
        <f>INDEX(Products!$C$2:$C$9,MATCH(D801,Products!$A$2:$A$9,0))</f>
        <v>Detox</v>
      </c>
      <c r="I801" s="11">
        <f>INDEX(Products!$D$2:$D$9,MATCH(D801,Products!$A$2:$A$9,0))</f>
        <v>15000</v>
      </c>
      <c r="J801" s="10">
        <f>IFERROR(INDEX(PlatformFees!$C$2:$C$5,MATCH(C801,PlatformFees!$A$2:$A$5,0)),0)</f>
        <v>0.13</v>
      </c>
      <c r="K801" s="11">
        <f t="shared" si="48"/>
        <v>15000</v>
      </c>
      <c r="L801" s="11">
        <f t="shared" si="49"/>
        <v>6877</v>
      </c>
      <c r="M801" s="11">
        <f t="shared" si="50"/>
        <v>31023</v>
      </c>
      <c r="N801" s="10">
        <f t="shared" si="51"/>
        <v>0.58644612476370506</v>
      </c>
    </row>
    <row r="802" spans="1:14" x14ac:dyDescent="0.3">
      <c r="A802" s="9" t="s">
        <v>896</v>
      </c>
      <c r="B802" s="9" t="s">
        <v>897</v>
      </c>
      <c r="C802" s="9" t="s">
        <v>38</v>
      </c>
      <c r="D802" s="9" t="s">
        <v>15</v>
      </c>
      <c r="E802" s="9">
        <v>3</v>
      </c>
      <c r="F802" s="11">
        <v>88300</v>
      </c>
      <c r="G802" s="9" t="str">
        <f>INDEX(Products!$B$2:$B$9,MATCH(D802,Products!$A$2:$A$9,0))</f>
        <v>Trà lá nam sen ổi</v>
      </c>
      <c r="H802" s="9" t="str">
        <f>INDEX(Products!$C$2:$C$9,MATCH(D802,Products!$A$2:$A$9,0))</f>
        <v>Thanh lọc</v>
      </c>
      <c r="I802" s="11">
        <f>INDEX(Products!$D$2:$D$9,MATCH(D802,Products!$A$2:$A$9,0))</f>
        <v>8500</v>
      </c>
      <c r="J802" s="10">
        <f>IFERROR(INDEX(PlatformFees!$C$2:$C$5,MATCH(C802,PlatformFees!$A$2:$A$5,0)),0)</f>
        <v>0.16</v>
      </c>
      <c r="K802" s="11">
        <f t="shared" si="48"/>
        <v>25500</v>
      </c>
      <c r="L802" s="11">
        <f t="shared" si="49"/>
        <v>14128</v>
      </c>
      <c r="M802" s="11">
        <f t="shared" si="50"/>
        <v>48672</v>
      </c>
      <c r="N802" s="10">
        <f t="shared" si="51"/>
        <v>0.5512117780294451</v>
      </c>
    </row>
    <row r="803" spans="1:14" x14ac:dyDescent="0.3">
      <c r="A803" s="9" t="s">
        <v>898</v>
      </c>
      <c r="B803" s="9" t="s">
        <v>897</v>
      </c>
      <c r="C803" s="9" t="s">
        <v>39</v>
      </c>
      <c r="D803" s="9" t="s">
        <v>25</v>
      </c>
      <c r="E803" s="9">
        <v>2</v>
      </c>
      <c r="F803" s="11">
        <v>62800</v>
      </c>
      <c r="G803" s="9" t="str">
        <f>INDEX(Products!$B$2:$B$9,MATCH(D803,Products!$A$2:$A$9,0))</f>
        <v>Trà hoa đậu biếc</v>
      </c>
      <c r="H803" s="9" t="str">
        <f>INDEX(Products!$C$2:$C$9,MATCH(D803,Products!$A$2:$A$9,0))</f>
        <v>An thần</v>
      </c>
      <c r="I803" s="11">
        <f>INDEX(Products!$D$2:$D$9,MATCH(D803,Products!$A$2:$A$9,0))</f>
        <v>8800</v>
      </c>
      <c r="J803" s="10">
        <f>IFERROR(INDEX(PlatformFees!$C$2:$C$5,MATCH(C803,PlatformFees!$A$2:$A$5,0)),0)</f>
        <v>0</v>
      </c>
      <c r="K803" s="11">
        <f t="shared" si="48"/>
        <v>17600</v>
      </c>
      <c r="L803" s="11">
        <f t="shared" si="49"/>
        <v>0</v>
      </c>
      <c r="M803" s="11">
        <f t="shared" si="50"/>
        <v>45200</v>
      </c>
      <c r="N803" s="10">
        <f t="shared" si="51"/>
        <v>0.71974522292993626</v>
      </c>
    </row>
    <row r="804" spans="1:14" x14ac:dyDescent="0.3">
      <c r="A804" s="9" t="s">
        <v>899</v>
      </c>
      <c r="B804" s="9" t="s">
        <v>897</v>
      </c>
      <c r="C804" s="9" t="s">
        <v>38</v>
      </c>
      <c r="D804" s="9" t="s">
        <v>30</v>
      </c>
      <c r="E804" s="9">
        <v>2</v>
      </c>
      <c r="F804" s="11">
        <v>68000</v>
      </c>
      <c r="G804" s="9" t="str">
        <f>INDEX(Products!$B$2:$B$9,MATCH(D804,Products!$A$2:$A$9,0))</f>
        <v>Trà mâm xôi vitamin</v>
      </c>
      <c r="H804" s="9" t="str">
        <f>INDEX(Products!$C$2:$C$9,MATCH(D804,Products!$A$2:$A$9,0))</f>
        <v>Bổ sung dưỡng chất</v>
      </c>
      <c r="I804" s="11">
        <f>INDEX(Products!$D$2:$D$9,MATCH(D804,Products!$A$2:$A$9,0))</f>
        <v>9800</v>
      </c>
      <c r="J804" s="10">
        <f>IFERROR(INDEX(PlatformFees!$C$2:$C$5,MATCH(C804,PlatformFees!$A$2:$A$5,0)),0)</f>
        <v>0.16</v>
      </c>
      <c r="K804" s="11">
        <f t="shared" si="48"/>
        <v>19600</v>
      </c>
      <c r="L804" s="11">
        <f t="shared" si="49"/>
        <v>10880</v>
      </c>
      <c r="M804" s="11">
        <f t="shared" si="50"/>
        <v>37520</v>
      </c>
      <c r="N804" s="10">
        <f t="shared" si="51"/>
        <v>0.55176470588235293</v>
      </c>
    </row>
    <row r="805" spans="1:14" x14ac:dyDescent="0.3">
      <c r="A805" s="9" t="s">
        <v>900</v>
      </c>
      <c r="B805" s="9" t="s">
        <v>897</v>
      </c>
      <c r="C805" s="9" t="s">
        <v>38</v>
      </c>
      <c r="D805" s="9" t="s">
        <v>30</v>
      </c>
      <c r="E805" s="9">
        <v>1</v>
      </c>
      <c r="F805" s="11">
        <v>34400</v>
      </c>
      <c r="G805" s="9" t="str">
        <f>INDEX(Products!$B$2:$B$9,MATCH(D805,Products!$A$2:$A$9,0))</f>
        <v>Trà mâm xôi vitamin</v>
      </c>
      <c r="H805" s="9" t="str">
        <f>INDEX(Products!$C$2:$C$9,MATCH(D805,Products!$A$2:$A$9,0))</f>
        <v>Bổ sung dưỡng chất</v>
      </c>
      <c r="I805" s="11">
        <f>INDEX(Products!$D$2:$D$9,MATCH(D805,Products!$A$2:$A$9,0))</f>
        <v>9800</v>
      </c>
      <c r="J805" s="10">
        <f>IFERROR(INDEX(PlatformFees!$C$2:$C$5,MATCH(C805,PlatformFees!$A$2:$A$5,0)),0)</f>
        <v>0.16</v>
      </c>
      <c r="K805" s="11">
        <f t="shared" si="48"/>
        <v>9800</v>
      </c>
      <c r="L805" s="11">
        <f t="shared" si="49"/>
        <v>5504</v>
      </c>
      <c r="M805" s="11">
        <f t="shared" si="50"/>
        <v>19096</v>
      </c>
      <c r="N805" s="10">
        <f t="shared" si="51"/>
        <v>0.55511627906976746</v>
      </c>
    </row>
    <row r="806" spans="1:14" x14ac:dyDescent="0.3">
      <c r="A806" s="9" t="s">
        <v>901</v>
      </c>
      <c r="B806" s="9" t="s">
        <v>897</v>
      </c>
      <c r="C806" s="9" t="s">
        <v>36</v>
      </c>
      <c r="D806" s="9" t="s">
        <v>17</v>
      </c>
      <c r="E806" s="9">
        <v>1</v>
      </c>
      <c r="F806" s="11">
        <v>39400</v>
      </c>
      <c r="G806" s="9" t="str">
        <f>INDEX(Products!$B$2:$B$9,MATCH(D806,Products!$A$2:$A$9,0))</f>
        <v>Trà diếp cá rau má</v>
      </c>
      <c r="H806" s="9" t="str">
        <f>INDEX(Products!$C$2:$C$9,MATCH(D806,Products!$A$2:$A$9,0))</f>
        <v>Detox</v>
      </c>
      <c r="I806" s="11">
        <f>INDEX(Products!$D$2:$D$9,MATCH(D806,Products!$A$2:$A$9,0))</f>
        <v>10500</v>
      </c>
      <c r="J806" s="10">
        <f>IFERROR(INDEX(PlatformFees!$C$2:$C$5,MATCH(C806,PlatformFees!$A$2:$A$5,0)),0)</f>
        <v>0.13</v>
      </c>
      <c r="K806" s="11">
        <f t="shared" si="48"/>
        <v>10500</v>
      </c>
      <c r="L806" s="11">
        <f t="shared" si="49"/>
        <v>5122</v>
      </c>
      <c r="M806" s="11">
        <f t="shared" si="50"/>
        <v>23778</v>
      </c>
      <c r="N806" s="10">
        <f t="shared" si="51"/>
        <v>0.60350253807106602</v>
      </c>
    </row>
    <row r="807" spans="1:14" x14ac:dyDescent="0.3">
      <c r="A807" s="9" t="s">
        <v>902</v>
      </c>
      <c r="B807" s="9" t="s">
        <v>897</v>
      </c>
      <c r="C807" s="9" t="s">
        <v>39</v>
      </c>
      <c r="D807" s="9" t="s">
        <v>12</v>
      </c>
      <c r="E807" s="9">
        <v>3</v>
      </c>
      <c r="F807" s="11">
        <v>104300</v>
      </c>
      <c r="G807" s="9" t="str">
        <f>INDEX(Products!$B$2:$B$9,MATCH(D807,Products!$A$2:$A$9,0))</f>
        <v>Trà atiso thanh lọc</v>
      </c>
      <c r="H807" s="9" t="str">
        <f>INDEX(Products!$C$2:$C$9,MATCH(D807,Products!$A$2:$A$9,0))</f>
        <v>Thanh lọc</v>
      </c>
      <c r="I807" s="11">
        <f>INDEX(Products!$D$2:$D$9,MATCH(D807,Products!$A$2:$A$9,0))</f>
        <v>9000</v>
      </c>
      <c r="J807" s="10">
        <f>IFERROR(INDEX(PlatformFees!$C$2:$C$5,MATCH(C807,PlatformFees!$A$2:$A$5,0)),0)</f>
        <v>0</v>
      </c>
      <c r="K807" s="11">
        <f t="shared" si="48"/>
        <v>27000</v>
      </c>
      <c r="L807" s="11">
        <f t="shared" si="49"/>
        <v>0</v>
      </c>
      <c r="M807" s="11">
        <f t="shared" si="50"/>
        <v>77300</v>
      </c>
      <c r="N807" s="10">
        <f t="shared" si="51"/>
        <v>0.74113135186960688</v>
      </c>
    </row>
    <row r="808" spans="1:14" x14ac:dyDescent="0.3">
      <c r="A808" s="9" t="s">
        <v>903</v>
      </c>
      <c r="B808" s="9" t="s">
        <v>897</v>
      </c>
      <c r="C808" s="9" t="s">
        <v>39</v>
      </c>
      <c r="D808" s="9" t="s">
        <v>17</v>
      </c>
      <c r="E808" s="9">
        <v>1</v>
      </c>
      <c r="F808" s="11">
        <v>39900</v>
      </c>
      <c r="G808" s="9" t="str">
        <f>INDEX(Products!$B$2:$B$9,MATCH(D808,Products!$A$2:$A$9,0))</f>
        <v>Trà diếp cá rau má</v>
      </c>
      <c r="H808" s="9" t="str">
        <f>INDEX(Products!$C$2:$C$9,MATCH(D808,Products!$A$2:$A$9,0))</f>
        <v>Detox</v>
      </c>
      <c r="I808" s="11">
        <f>INDEX(Products!$D$2:$D$9,MATCH(D808,Products!$A$2:$A$9,0))</f>
        <v>10500</v>
      </c>
      <c r="J808" s="10">
        <f>IFERROR(INDEX(PlatformFees!$C$2:$C$5,MATCH(C808,PlatformFees!$A$2:$A$5,0)),0)</f>
        <v>0</v>
      </c>
      <c r="K808" s="11">
        <f t="shared" si="48"/>
        <v>10500</v>
      </c>
      <c r="L808" s="11">
        <f t="shared" si="49"/>
        <v>0</v>
      </c>
      <c r="M808" s="11">
        <f t="shared" si="50"/>
        <v>29400</v>
      </c>
      <c r="N808" s="10">
        <f t="shared" si="51"/>
        <v>0.73684210526315785</v>
      </c>
    </row>
    <row r="809" spans="1:14" x14ac:dyDescent="0.3">
      <c r="A809" s="9" t="s">
        <v>904</v>
      </c>
      <c r="B809" s="9" t="s">
        <v>897</v>
      </c>
      <c r="C809" s="9" t="s">
        <v>36</v>
      </c>
      <c r="D809" s="9" t="s">
        <v>12</v>
      </c>
      <c r="E809" s="9">
        <v>1</v>
      </c>
      <c r="F809" s="11">
        <v>35200</v>
      </c>
      <c r="G809" s="9" t="str">
        <f>INDEX(Products!$B$2:$B$9,MATCH(D809,Products!$A$2:$A$9,0))</f>
        <v>Trà atiso thanh lọc</v>
      </c>
      <c r="H809" s="9" t="str">
        <f>INDEX(Products!$C$2:$C$9,MATCH(D809,Products!$A$2:$A$9,0))</f>
        <v>Thanh lọc</v>
      </c>
      <c r="I809" s="11">
        <f>INDEX(Products!$D$2:$D$9,MATCH(D809,Products!$A$2:$A$9,0))</f>
        <v>9000</v>
      </c>
      <c r="J809" s="10">
        <f>IFERROR(INDEX(PlatformFees!$C$2:$C$5,MATCH(C809,PlatformFees!$A$2:$A$5,0)),0)</f>
        <v>0.13</v>
      </c>
      <c r="K809" s="11">
        <f t="shared" si="48"/>
        <v>9000</v>
      </c>
      <c r="L809" s="11">
        <f t="shared" si="49"/>
        <v>4576</v>
      </c>
      <c r="M809" s="11">
        <f t="shared" si="50"/>
        <v>21624</v>
      </c>
      <c r="N809" s="10">
        <f t="shared" si="51"/>
        <v>0.61431818181818176</v>
      </c>
    </row>
    <row r="810" spans="1:14" x14ac:dyDescent="0.3">
      <c r="A810" s="9" t="s">
        <v>905</v>
      </c>
      <c r="B810" s="9" t="s">
        <v>897</v>
      </c>
      <c r="C810" s="9" t="s">
        <v>39</v>
      </c>
      <c r="D810" s="9" t="s">
        <v>12</v>
      </c>
      <c r="E810" s="9">
        <v>2</v>
      </c>
      <c r="F810" s="11">
        <v>70000</v>
      </c>
      <c r="G810" s="9" t="str">
        <f>INDEX(Products!$B$2:$B$9,MATCH(D810,Products!$A$2:$A$9,0))</f>
        <v>Trà atiso thanh lọc</v>
      </c>
      <c r="H810" s="9" t="str">
        <f>INDEX(Products!$C$2:$C$9,MATCH(D810,Products!$A$2:$A$9,0))</f>
        <v>Thanh lọc</v>
      </c>
      <c r="I810" s="11">
        <f>INDEX(Products!$D$2:$D$9,MATCH(D810,Products!$A$2:$A$9,0))</f>
        <v>9000</v>
      </c>
      <c r="J810" s="10">
        <f>IFERROR(INDEX(PlatformFees!$C$2:$C$5,MATCH(C810,PlatformFees!$A$2:$A$5,0)),0)</f>
        <v>0</v>
      </c>
      <c r="K810" s="11">
        <f t="shared" si="48"/>
        <v>18000</v>
      </c>
      <c r="L810" s="11">
        <f t="shared" si="49"/>
        <v>0</v>
      </c>
      <c r="M810" s="11">
        <f t="shared" si="50"/>
        <v>52000</v>
      </c>
      <c r="N810" s="10">
        <f t="shared" si="51"/>
        <v>0.74285714285714288</v>
      </c>
    </row>
    <row r="811" spans="1:14" x14ac:dyDescent="0.3">
      <c r="A811" s="9" t="s">
        <v>906</v>
      </c>
      <c r="B811" s="9" t="s">
        <v>897</v>
      </c>
      <c r="C811" s="9" t="s">
        <v>40</v>
      </c>
      <c r="D811" s="9" t="s">
        <v>30</v>
      </c>
      <c r="E811" s="9">
        <v>2</v>
      </c>
      <c r="F811" s="11">
        <v>73200</v>
      </c>
      <c r="G811" s="9" t="str">
        <f>INDEX(Products!$B$2:$B$9,MATCH(D811,Products!$A$2:$A$9,0))</f>
        <v>Trà mâm xôi vitamin</v>
      </c>
      <c r="H811" s="9" t="str">
        <f>INDEX(Products!$C$2:$C$9,MATCH(D811,Products!$A$2:$A$9,0))</f>
        <v>Bổ sung dưỡng chất</v>
      </c>
      <c r="I811" s="11">
        <f>INDEX(Products!$D$2:$D$9,MATCH(D811,Products!$A$2:$A$9,0))</f>
        <v>9800</v>
      </c>
      <c r="J811" s="10">
        <f>IFERROR(INDEX(PlatformFees!$C$2:$C$5,MATCH(C811,PlatformFees!$A$2:$A$5,0)),0)</f>
        <v>0</v>
      </c>
      <c r="K811" s="11">
        <f t="shared" si="48"/>
        <v>19600</v>
      </c>
      <c r="L811" s="11">
        <f t="shared" si="49"/>
        <v>0</v>
      </c>
      <c r="M811" s="11">
        <f t="shared" si="50"/>
        <v>53600</v>
      </c>
      <c r="N811" s="10">
        <f t="shared" si="51"/>
        <v>0.73224043715846998</v>
      </c>
    </row>
    <row r="812" spans="1:14" x14ac:dyDescent="0.3">
      <c r="A812" s="9" t="s">
        <v>907</v>
      </c>
      <c r="B812" s="9" t="s">
        <v>897</v>
      </c>
      <c r="C812" s="9" t="s">
        <v>36</v>
      </c>
      <c r="D812" s="9" t="s">
        <v>17</v>
      </c>
      <c r="E812" s="9">
        <v>2</v>
      </c>
      <c r="F812" s="11">
        <v>84600</v>
      </c>
      <c r="G812" s="9" t="str">
        <f>INDEX(Products!$B$2:$B$9,MATCH(D812,Products!$A$2:$A$9,0))</f>
        <v>Trà diếp cá rau má</v>
      </c>
      <c r="H812" s="9" t="str">
        <f>INDEX(Products!$C$2:$C$9,MATCH(D812,Products!$A$2:$A$9,0))</f>
        <v>Detox</v>
      </c>
      <c r="I812" s="11">
        <f>INDEX(Products!$D$2:$D$9,MATCH(D812,Products!$A$2:$A$9,0))</f>
        <v>10500</v>
      </c>
      <c r="J812" s="10">
        <f>IFERROR(INDEX(PlatformFees!$C$2:$C$5,MATCH(C812,PlatformFees!$A$2:$A$5,0)),0)</f>
        <v>0.13</v>
      </c>
      <c r="K812" s="11">
        <f t="shared" si="48"/>
        <v>21000</v>
      </c>
      <c r="L812" s="11">
        <f t="shared" si="49"/>
        <v>10998</v>
      </c>
      <c r="M812" s="11">
        <f t="shared" si="50"/>
        <v>52602</v>
      </c>
      <c r="N812" s="10">
        <f t="shared" si="51"/>
        <v>0.62177304964539004</v>
      </c>
    </row>
    <row r="813" spans="1:14" x14ac:dyDescent="0.3">
      <c r="A813" s="9" t="s">
        <v>908</v>
      </c>
      <c r="B813" s="9" t="s">
        <v>897</v>
      </c>
      <c r="C813" s="9" t="s">
        <v>38</v>
      </c>
      <c r="D813" s="9" t="s">
        <v>25</v>
      </c>
      <c r="E813" s="9">
        <v>1</v>
      </c>
      <c r="F813" s="11">
        <v>31900</v>
      </c>
      <c r="G813" s="9" t="str">
        <f>INDEX(Products!$B$2:$B$9,MATCH(D813,Products!$A$2:$A$9,0))</f>
        <v>Trà hoa đậu biếc</v>
      </c>
      <c r="H813" s="9" t="str">
        <f>INDEX(Products!$C$2:$C$9,MATCH(D813,Products!$A$2:$A$9,0))</f>
        <v>An thần</v>
      </c>
      <c r="I813" s="11">
        <f>INDEX(Products!$D$2:$D$9,MATCH(D813,Products!$A$2:$A$9,0))</f>
        <v>8800</v>
      </c>
      <c r="J813" s="10">
        <f>IFERROR(INDEX(PlatformFees!$C$2:$C$5,MATCH(C813,PlatformFees!$A$2:$A$5,0)),0)</f>
        <v>0.16</v>
      </c>
      <c r="K813" s="11">
        <f t="shared" si="48"/>
        <v>8800</v>
      </c>
      <c r="L813" s="11">
        <f t="shared" si="49"/>
        <v>5104</v>
      </c>
      <c r="M813" s="11">
        <f t="shared" si="50"/>
        <v>17996</v>
      </c>
      <c r="N813" s="10">
        <f t="shared" si="51"/>
        <v>0.56413793103448273</v>
      </c>
    </row>
    <row r="814" spans="1:14" x14ac:dyDescent="0.3">
      <c r="A814" s="9" t="s">
        <v>909</v>
      </c>
      <c r="B814" s="9" t="s">
        <v>897</v>
      </c>
      <c r="C814" s="9" t="s">
        <v>36</v>
      </c>
      <c r="D814" s="9" t="s">
        <v>27</v>
      </c>
      <c r="E814" s="9">
        <v>1</v>
      </c>
      <c r="F814" s="11">
        <v>36900</v>
      </c>
      <c r="G814" s="9" t="str">
        <f>INDEX(Products!$B$2:$B$9,MATCH(D814,Products!$A$2:$A$9,0))</f>
        <v>Trà gừng mật ong</v>
      </c>
      <c r="H814" s="9" t="str">
        <f>INDEX(Products!$C$2:$C$9,MATCH(D814,Products!$A$2:$A$9,0))</f>
        <v>Giữ ấm</v>
      </c>
      <c r="I814" s="11">
        <f>INDEX(Products!$D$2:$D$9,MATCH(D814,Products!$A$2:$A$9,0))</f>
        <v>11000</v>
      </c>
      <c r="J814" s="10">
        <f>IFERROR(INDEX(PlatformFees!$C$2:$C$5,MATCH(C814,PlatformFees!$A$2:$A$5,0)),0)</f>
        <v>0.13</v>
      </c>
      <c r="K814" s="11">
        <f t="shared" si="48"/>
        <v>11000</v>
      </c>
      <c r="L814" s="11">
        <f t="shared" si="49"/>
        <v>4797</v>
      </c>
      <c r="M814" s="11">
        <f t="shared" si="50"/>
        <v>21103</v>
      </c>
      <c r="N814" s="10">
        <f t="shared" si="51"/>
        <v>0.57189701897018974</v>
      </c>
    </row>
    <row r="815" spans="1:14" x14ac:dyDescent="0.3">
      <c r="A815" s="9" t="s">
        <v>910</v>
      </c>
      <c r="B815" s="9" t="s">
        <v>897</v>
      </c>
      <c r="C815" s="9" t="s">
        <v>36</v>
      </c>
      <c r="D815" s="9" t="s">
        <v>15</v>
      </c>
      <c r="E815" s="9">
        <v>1</v>
      </c>
      <c r="F815" s="11">
        <v>30000</v>
      </c>
      <c r="G815" s="9" t="str">
        <f>INDEX(Products!$B$2:$B$9,MATCH(D815,Products!$A$2:$A$9,0))</f>
        <v>Trà lá nam sen ổi</v>
      </c>
      <c r="H815" s="9" t="str">
        <f>INDEX(Products!$C$2:$C$9,MATCH(D815,Products!$A$2:$A$9,0))</f>
        <v>Thanh lọc</v>
      </c>
      <c r="I815" s="11">
        <f>INDEX(Products!$D$2:$D$9,MATCH(D815,Products!$A$2:$A$9,0))</f>
        <v>8500</v>
      </c>
      <c r="J815" s="10">
        <f>IFERROR(INDEX(PlatformFees!$C$2:$C$5,MATCH(C815,PlatformFees!$A$2:$A$5,0)),0)</f>
        <v>0.13</v>
      </c>
      <c r="K815" s="11">
        <f t="shared" si="48"/>
        <v>8500</v>
      </c>
      <c r="L815" s="11">
        <f t="shared" si="49"/>
        <v>3900</v>
      </c>
      <c r="M815" s="11">
        <f t="shared" si="50"/>
        <v>17600</v>
      </c>
      <c r="N815" s="10">
        <f t="shared" si="51"/>
        <v>0.58666666666666667</v>
      </c>
    </row>
    <row r="816" spans="1:14" x14ac:dyDescent="0.3">
      <c r="A816" s="9" t="s">
        <v>911</v>
      </c>
      <c r="B816" s="9" t="s">
        <v>897</v>
      </c>
      <c r="C816" s="9" t="s">
        <v>36</v>
      </c>
      <c r="D816" s="9" t="s">
        <v>25</v>
      </c>
      <c r="E816" s="9">
        <v>2</v>
      </c>
      <c r="F816" s="11">
        <v>69600</v>
      </c>
      <c r="G816" s="9" t="str">
        <f>INDEX(Products!$B$2:$B$9,MATCH(D816,Products!$A$2:$A$9,0))</f>
        <v>Trà hoa đậu biếc</v>
      </c>
      <c r="H816" s="9" t="str">
        <f>INDEX(Products!$C$2:$C$9,MATCH(D816,Products!$A$2:$A$9,0))</f>
        <v>An thần</v>
      </c>
      <c r="I816" s="11">
        <f>INDEX(Products!$D$2:$D$9,MATCH(D816,Products!$A$2:$A$9,0))</f>
        <v>8800</v>
      </c>
      <c r="J816" s="10">
        <f>IFERROR(INDEX(PlatformFees!$C$2:$C$5,MATCH(C816,PlatformFees!$A$2:$A$5,0)),0)</f>
        <v>0.13</v>
      </c>
      <c r="K816" s="11">
        <f t="shared" si="48"/>
        <v>17600</v>
      </c>
      <c r="L816" s="11">
        <f t="shared" si="49"/>
        <v>9048</v>
      </c>
      <c r="M816" s="11">
        <f t="shared" si="50"/>
        <v>42952</v>
      </c>
      <c r="N816" s="10">
        <f t="shared" si="51"/>
        <v>0.61712643678160917</v>
      </c>
    </row>
    <row r="817" spans="1:14" x14ac:dyDescent="0.3">
      <c r="A817" s="9" t="s">
        <v>912</v>
      </c>
      <c r="B817" s="9" t="s">
        <v>897</v>
      </c>
      <c r="C817" s="9" t="s">
        <v>40</v>
      </c>
      <c r="D817" s="9" t="s">
        <v>17</v>
      </c>
      <c r="E817" s="9">
        <v>2</v>
      </c>
      <c r="F817" s="11">
        <v>85500</v>
      </c>
      <c r="G817" s="9" t="str">
        <f>INDEX(Products!$B$2:$B$9,MATCH(D817,Products!$A$2:$A$9,0))</f>
        <v>Trà diếp cá rau má</v>
      </c>
      <c r="H817" s="9" t="str">
        <f>INDEX(Products!$C$2:$C$9,MATCH(D817,Products!$A$2:$A$9,0))</f>
        <v>Detox</v>
      </c>
      <c r="I817" s="11">
        <f>INDEX(Products!$D$2:$D$9,MATCH(D817,Products!$A$2:$A$9,0))</f>
        <v>10500</v>
      </c>
      <c r="J817" s="10">
        <f>IFERROR(INDEX(PlatformFees!$C$2:$C$5,MATCH(C817,PlatformFees!$A$2:$A$5,0)),0)</f>
        <v>0</v>
      </c>
      <c r="K817" s="11">
        <f t="shared" si="48"/>
        <v>21000</v>
      </c>
      <c r="L817" s="11">
        <f t="shared" si="49"/>
        <v>0</v>
      </c>
      <c r="M817" s="11">
        <f t="shared" si="50"/>
        <v>64500</v>
      </c>
      <c r="N817" s="10">
        <f t="shared" si="51"/>
        <v>0.75438596491228072</v>
      </c>
    </row>
    <row r="818" spans="1:14" x14ac:dyDescent="0.3">
      <c r="A818" s="9" t="s">
        <v>913</v>
      </c>
      <c r="B818" s="9" t="s">
        <v>897</v>
      </c>
      <c r="C818" s="9" t="s">
        <v>39</v>
      </c>
      <c r="D818" s="9" t="s">
        <v>22</v>
      </c>
      <c r="E818" s="9">
        <v>3</v>
      </c>
      <c r="F818" s="11">
        <v>106900</v>
      </c>
      <c r="G818" s="9" t="str">
        <f>INDEX(Products!$B$2:$B$9,MATCH(D818,Products!$A$2:$A$9,0))</f>
        <v>Trà hoa cúc an thần</v>
      </c>
      <c r="H818" s="9" t="str">
        <f>INDEX(Products!$C$2:$C$9,MATCH(D818,Products!$A$2:$A$9,0))</f>
        <v>An thần</v>
      </c>
      <c r="I818" s="11">
        <f>INDEX(Products!$D$2:$D$9,MATCH(D818,Products!$A$2:$A$9,0))</f>
        <v>9500</v>
      </c>
      <c r="J818" s="10">
        <f>IFERROR(INDEX(PlatformFees!$C$2:$C$5,MATCH(C818,PlatformFees!$A$2:$A$5,0)),0)</f>
        <v>0</v>
      </c>
      <c r="K818" s="11">
        <f t="shared" si="48"/>
        <v>28500</v>
      </c>
      <c r="L818" s="11">
        <f t="shared" si="49"/>
        <v>0</v>
      </c>
      <c r="M818" s="11">
        <f t="shared" si="50"/>
        <v>78400</v>
      </c>
      <c r="N818" s="10">
        <f t="shared" si="51"/>
        <v>0.73339569691300277</v>
      </c>
    </row>
    <row r="819" spans="1:14" x14ac:dyDescent="0.3">
      <c r="A819" s="9" t="s">
        <v>914</v>
      </c>
      <c r="B819" s="9" t="s">
        <v>897</v>
      </c>
      <c r="C819" s="9" t="s">
        <v>39</v>
      </c>
      <c r="D819" s="9" t="s">
        <v>15</v>
      </c>
      <c r="E819" s="9">
        <v>1</v>
      </c>
      <c r="F819" s="11">
        <v>30600</v>
      </c>
      <c r="G819" s="9" t="str">
        <f>INDEX(Products!$B$2:$B$9,MATCH(D819,Products!$A$2:$A$9,0))</f>
        <v>Trà lá nam sen ổi</v>
      </c>
      <c r="H819" s="9" t="str">
        <f>INDEX(Products!$C$2:$C$9,MATCH(D819,Products!$A$2:$A$9,0))</f>
        <v>Thanh lọc</v>
      </c>
      <c r="I819" s="11">
        <f>INDEX(Products!$D$2:$D$9,MATCH(D819,Products!$A$2:$A$9,0))</f>
        <v>8500</v>
      </c>
      <c r="J819" s="10">
        <f>IFERROR(INDEX(PlatformFees!$C$2:$C$5,MATCH(C819,PlatformFees!$A$2:$A$5,0)),0)</f>
        <v>0</v>
      </c>
      <c r="K819" s="11">
        <f t="shared" si="48"/>
        <v>8500</v>
      </c>
      <c r="L819" s="11">
        <f t="shared" si="49"/>
        <v>0</v>
      </c>
      <c r="M819" s="11">
        <f t="shared" si="50"/>
        <v>22100</v>
      </c>
      <c r="N819" s="10">
        <f t="shared" si="51"/>
        <v>0.72222222222222221</v>
      </c>
    </row>
    <row r="820" spans="1:14" x14ac:dyDescent="0.3">
      <c r="A820" s="9" t="s">
        <v>915</v>
      </c>
      <c r="B820" s="9" t="s">
        <v>897</v>
      </c>
      <c r="C820" s="9" t="s">
        <v>40</v>
      </c>
      <c r="D820" s="9" t="s">
        <v>20</v>
      </c>
      <c r="E820" s="9">
        <v>2</v>
      </c>
      <c r="F820" s="11">
        <v>109900</v>
      </c>
      <c r="G820" s="9" t="str">
        <f>INDEX(Products!$B$2:$B$9,MATCH(D820,Products!$A$2:$A$9,0))</f>
        <v>Trà cà leo gai giảm cân</v>
      </c>
      <c r="H820" s="9" t="str">
        <f>INDEX(Products!$C$2:$C$9,MATCH(D820,Products!$A$2:$A$9,0))</f>
        <v>Detox</v>
      </c>
      <c r="I820" s="11">
        <f>INDEX(Products!$D$2:$D$9,MATCH(D820,Products!$A$2:$A$9,0))</f>
        <v>15000</v>
      </c>
      <c r="J820" s="10">
        <f>IFERROR(INDEX(PlatformFees!$C$2:$C$5,MATCH(C820,PlatformFees!$A$2:$A$5,0)),0)</f>
        <v>0</v>
      </c>
      <c r="K820" s="11">
        <f t="shared" si="48"/>
        <v>30000</v>
      </c>
      <c r="L820" s="11">
        <f t="shared" si="49"/>
        <v>0</v>
      </c>
      <c r="M820" s="11">
        <f t="shared" si="50"/>
        <v>79900</v>
      </c>
      <c r="N820" s="10">
        <f t="shared" si="51"/>
        <v>0.72702456778889901</v>
      </c>
    </row>
    <row r="821" spans="1:14" x14ac:dyDescent="0.3">
      <c r="A821" s="9" t="s">
        <v>916</v>
      </c>
      <c r="B821" s="9" t="s">
        <v>897</v>
      </c>
      <c r="C821" s="9" t="s">
        <v>39</v>
      </c>
      <c r="D821" s="9" t="s">
        <v>15</v>
      </c>
      <c r="E821" s="9">
        <v>1</v>
      </c>
      <c r="F821" s="11">
        <v>30500</v>
      </c>
      <c r="G821" s="9" t="str">
        <f>INDEX(Products!$B$2:$B$9,MATCH(D821,Products!$A$2:$A$9,0))</f>
        <v>Trà lá nam sen ổi</v>
      </c>
      <c r="H821" s="9" t="str">
        <f>INDEX(Products!$C$2:$C$9,MATCH(D821,Products!$A$2:$A$9,0))</f>
        <v>Thanh lọc</v>
      </c>
      <c r="I821" s="11">
        <f>INDEX(Products!$D$2:$D$9,MATCH(D821,Products!$A$2:$A$9,0))</f>
        <v>8500</v>
      </c>
      <c r="J821" s="10">
        <f>IFERROR(INDEX(PlatformFees!$C$2:$C$5,MATCH(C821,PlatformFees!$A$2:$A$5,0)),0)</f>
        <v>0</v>
      </c>
      <c r="K821" s="11">
        <f t="shared" si="48"/>
        <v>8500</v>
      </c>
      <c r="L821" s="11">
        <f t="shared" si="49"/>
        <v>0</v>
      </c>
      <c r="M821" s="11">
        <f t="shared" si="50"/>
        <v>22000</v>
      </c>
      <c r="N821" s="10">
        <f t="shared" si="51"/>
        <v>0.72131147540983609</v>
      </c>
    </row>
    <row r="822" spans="1:14" x14ac:dyDescent="0.3">
      <c r="A822" s="9" t="s">
        <v>917</v>
      </c>
      <c r="B822" s="9" t="s">
        <v>897</v>
      </c>
      <c r="C822" s="9" t="s">
        <v>36</v>
      </c>
      <c r="D822" s="9" t="s">
        <v>17</v>
      </c>
      <c r="E822" s="9">
        <v>2</v>
      </c>
      <c r="F822" s="11">
        <v>85000</v>
      </c>
      <c r="G822" s="9" t="str">
        <f>INDEX(Products!$B$2:$B$9,MATCH(D822,Products!$A$2:$A$9,0))</f>
        <v>Trà diếp cá rau má</v>
      </c>
      <c r="H822" s="9" t="str">
        <f>INDEX(Products!$C$2:$C$9,MATCH(D822,Products!$A$2:$A$9,0))</f>
        <v>Detox</v>
      </c>
      <c r="I822" s="11">
        <f>INDEX(Products!$D$2:$D$9,MATCH(D822,Products!$A$2:$A$9,0))</f>
        <v>10500</v>
      </c>
      <c r="J822" s="10">
        <f>IFERROR(INDEX(PlatformFees!$C$2:$C$5,MATCH(C822,PlatformFees!$A$2:$A$5,0)),0)</f>
        <v>0.13</v>
      </c>
      <c r="K822" s="11">
        <f t="shared" si="48"/>
        <v>21000</v>
      </c>
      <c r="L822" s="11">
        <f t="shared" si="49"/>
        <v>11050</v>
      </c>
      <c r="M822" s="11">
        <f t="shared" si="50"/>
        <v>52950</v>
      </c>
      <c r="N822" s="10">
        <f t="shared" si="51"/>
        <v>0.62294117647058822</v>
      </c>
    </row>
    <row r="823" spans="1:14" x14ac:dyDescent="0.3">
      <c r="A823" s="9" t="s">
        <v>918</v>
      </c>
      <c r="B823" s="9" t="s">
        <v>897</v>
      </c>
      <c r="C823" s="9" t="s">
        <v>36</v>
      </c>
      <c r="D823" s="9" t="s">
        <v>17</v>
      </c>
      <c r="E823" s="9">
        <v>2</v>
      </c>
      <c r="F823" s="11">
        <v>78100</v>
      </c>
      <c r="G823" s="9" t="str">
        <f>INDEX(Products!$B$2:$B$9,MATCH(D823,Products!$A$2:$A$9,0))</f>
        <v>Trà diếp cá rau má</v>
      </c>
      <c r="H823" s="9" t="str">
        <f>INDEX(Products!$C$2:$C$9,MATCH(D823,Products!$A$2:$A$9,0))</f>
        <v>Detox</v>
      </c>
      <c r="I823" s="11">
        <f>INDEX(Products!$D$2:$D$9,MATCH(D823,Products!$A$2:$A$9,0))</f>
        <v>10500</v>
      </c>
      <c r="J823" s="10">
        <f>IFERROR(INDEX(PlatformFees!$C$2:$C$5,MATCH(C823,PlatformFees!$A$2:$A$5,0)),0)</f>
        <v>0.13</v>
      </c>
      <c r="K823" s="11">
        <f t="shared" si="48"/>
        <v>21000</v>
      </c>
      <c r="L823" s="11">
        <f t="shared" si="49"/>
        <v>10153</v>
      </c>
      <c r="M823" s="11">
        <f t="shared" si="50"/>
        <v>46947</v>
      </c>
      <c r="N823" s="10">
        <f t="shared" si="51"/>
        <v>0.60111395646606913</v>
      </c>
    </row>
    <row r="824" spans="1:14" x14ac:dyDescent="0.3">
      <c r="A824" s="9" t="s">
        <v>919</v>
      </c>
      <c r="B824" s="9" t="s">
        <v>897</v>
      </c>
      <c r="C824" s="9" t="s">
        <v>39</v>
      </c>
      <c r="D824" s="9" t="s">
        <v>25</v>
      </c>
      <c r="E824" s="9">
        <v>2</v>
      </c>
      <c r="F824" s="11">
        <v>64100</v>
      </c>
      <c r="G824" s="9" t="str">
        <f>INDEX(Products!$B$2:$B$9,MATCH(D824,Products!$A$2:$A$9,0))</f>
        <v>Trà hoa đậu biếc</v>
      </c>
      <c r="H824" s="9" t="str">
        <f>INDEX(Products!$C$2:$C$9,MATCH(D824,Products!$A$2:$A$9,0))</f>
        <v>An thần</v>
      </c>
      <c r="I824" s="11">
        <f>INDEX(Products!$D$2:$D$9,MATCH(D824,Products!$A$2:$A$9,0))</f>
        <v>8800</v>
      </c>
      <c r="J824" s="10">
        <f>IFERROR(INDEX(PlatformFees!$C$2:$C$5,MATCH(C824,PlatformFees!$A$2:$A$5,0)),0)</f>
        <v>0</v>
      </c>
      <c r="K824" s="11">
        <f t="shared" si="48"/>
        <v>17600</v>
      </c>
      <c r="L824" s="11">
        <f t="shared" si="49"/>
        <v>0</v>
      </c>
      <c r="M824" s="11">
        <f t="shared" si="50"/>
        <v>46500</v>
      </c>
      <c r="N824" s="10">
        <f t="shared" si="51"/>
        <v>0.72542901716068642</v>
      </c>
    </row>
    <row r="825" spans="1:14" x14ac:dyDescent="0.3">
      <c r="A825" s="9" t="s">
        <v>920</v>
      </c>
      <c r="B825" s="9" t="s">
        <v>897</v>
      </c>
      <c r="C825" s="9" t="s">
        <v>36</v>
      </c>
      <c r="D825" s="9" t="s">
        <v>15</v>
      </c>
      <c r="E825" s="9">
        <v>1</v>
      </c>
      <c r="F825" s="11">
        <v>32900</v>
      </c>
      <c r="G825" s="9" t="str">
        <f>INDEX(Products!$B$2:$B$9,MATCH(D825,Products!$A$2:$A$9,0))</f>
        <v>Trà lá nam sen ổi</v>
      </c>
      <c r="H825" s="9" t="str">
        <f>INDEX(Products!$C$2:$C$9,MATCH(D825,Products!$A$2:$A$9,0))</f>
        <v>Thanh lọc</v>
      </c>
      <c r="I825" s="11">
        <f>INDEX(Products!$D$2:$D$9,MATCH(D825,Products!$A$2:$A$9,0))</f>
        <v>8500</v>
      </c>
      <c r="J825" s="10">
        <f>IFERROR(INDEX(PlatformFees!$C$2:$C$5,MATCH(C825,PlatformFees!$A$2:$A$5,0)),0)</f>
        <v>0.13</v>
      </c>
      <c r="K825" s="11">
        <f t="shared" si="48"/>
        <v>8500</v>
      </c>
      <c r="L825" s="11">
        <f t="shared" si="49"/>
        <v>4277</v>
      </c>
      <c r="M825" s="11">
        <f t="shared" si="50"/>
        <v>20123</v>
      </c>
      <c r="N825" s="10">
        <f t="shared" si="51"/>
        <v>0.61164133738601822</v>
      </c>
    </row>
    <row r="826" spans="1:14" x14ac:dyDescent="0.3">
      <c r="A826" s="9" t="s">
        <v>921</v>
      </c>
      <c r="B826" s="9" t="s">
        <v>897</v>
      </c>
      <c r="C826" s="9" t="s">
        <v>38</v>
      </c>
      <c r="D826" s="9" t="s">
        <v>15</v>
      </c>
      <c r="E826" s="9">
        <v>2</v>
      </c>
      <c r="F826" s="11">
        <v>62200</v>
      </c>
      <c r="G826" s="9" t="str">
        <f>INDEX(Products!$B$2:$B$9,MATCH(D826,Products!$A$2:$A$9,0))</f>
        <v>Trà lá nam sen ổi</v>
      </c>
      <c r="H826" s="9" t="str">
        <f>INDEX(Products!$C$2:$C$9,MATCH(D826,Products!$A$2:$A$9,0))</f>
        <v>Thanh lọc</v>
      </c>
      <c r="I826" s="11">
        <f>INDEX(Products!$D$2:$D$9,MATCH(D826,Products!$A$2:$A$9,0))</f>
        <v>8500</v>
      </c>
      <c r="J826" s="10">
        <f>IFERROR(INDEX(PlatformFees!$C$2:$C$5,MATCH(C826,PlatformFees!$A$2:$A$5,0)),0)</f>
        <v>0.16</v>
      </c>
      <c r="K826" s="11">
        <f t="shared" si="48"/>
        <v>17000</v>
      </c>
      <c r="L826" s="11">
        <f t="shared" si="49"/>
        <v>9952</v>
      </c>
      <c r="M826" s="11">
        <f t="shared" si="50"/>
        <v>35248</v>
      </c>
      <c r="N826" s="10">
        <f t="shared" si="51"/>
        <v>0.56668810289389071</v>
      </c>
    </row>
    <row r="827" spans="1:14" x14ac:dyDescent="0.3">
      <c r="A827" s="9" t="s">
        <v>922</v>
      </c>
      <c r="B827" s="9" t="s">
        <v>897</v>
      </c>
      <c r="C827" s="9" t="s">
        <v>39</v>
      </c>
      <c r="D827" s="9" t="s">
        <v>15</v>
      </c>
      <c r="E827" s="9">
        <v>3</v>
      </c>
      <c r="F827" s="11">
        <v>94100</v>
      </c>
      <c r="G827" s="9" t="str">
        <f>INDEX(Products!$B$2:$B$9,MATCH(D827,Products!$A$2:$A$9,0))</f>
        <v>Trà lá nam sen ổi</v>
      </c>
      <c r="H827" s="9" t="str">
        <f>INDEX(Products!$C$2:$C$9,MATCH(D827,Products!$A$2:$A$9,0))</f>
        <v>Thanh lọc</v>
      </c>
      <c r="I827" s="11">
        <f>INDEX(Products!$D$2:$D$9,MATCH(D827,Products!$A$2:$A$9,0))</f>
        <v>8500</v>
      </c>
      <c r="J827" s="10">
        <f>IFERROR(INDEX(PlatformFees!$C$2:$C$5,MATCH(C827,PlatformFees!$A$2:$A$5,0)),0)</f>
        <v>0</v>
      </c>
      <c r="K827" s="11">
        <f t="shared" si="48"/>
        <v>25500</v>
      </c>
      <c r="L827" s="11">
        <f t="shared" si="49"/>
        <v>0</v>
      </c>
      <c r="M827" s="11">
        <f t="shared" si="50"/>
        <v>68600</v>
      </c>
      <c r="N827" s="10">
        <f t="shared" si="51"/>
        <v>0.72901168969181718</v>
      </c>
    </row>
    <row r="828" spans="1:14" x14ac:dyDescent="0.3">
      <c r="A828" s="9" t="s">
        <v>923</v>
      </c>
      <c r="B828" s="9" t="s">
        <v>924</v>
      </c>
      <c r="C828" s="9" t="s">
        <v>36</v>
      </c>
      <c r="D828" s="9" t="s">
        <v>17</v>
      </c>
      <c r="E828" s="9">
        <v>1</v>
      </c>
      <c r="F828" s="11">
        <v>40700</v>
      </c>
      <c r="G828" s="9" t="str">
        <f>INDEX(Products!$B$2:$B$9,MATCH(D828,Products!$A$2:$A$9,0))</f>
        <v>Trà diếp cá rau má</v>
      </c>
      <c r="H828" s="9" t="str">
        <f>INDEX(Products!$C$2:$C$9,MATCH(D828,Products!$A$2:$A$9,0))</f>
        <v>Detox</v>
      </c>
      <c r="I828" s="11">
        <f>INDEX(Products!$D$2:$D$9,MATCH(D828,Products!$A$2:$A$9,0))</f>
        <v>10500</v>
      </c>
      <c r="J828" s="10">
        <f>IFERROR(INDEX(PlatformFees!$C$2:$C$5,MATCH(C828,PlatformFees!$A$2:$A$5,0)),0)</f>
        <v>0.13</v>
      </c>
      <c r="K828" s="11">
        <f t="shared" si="48"/>
        <v>10500</v>
      </c>
      <c r="L828" s="11">
        <f t="shared" si="49"/>
        <v>5291</v>
      </c>
      <c r="M828" s="11">
        <f t="shared" si="50"/>
        <v>24909</v>
      </c>
      <c r="N828" s="10">
        <f t="shared" si="51"/>
        <v>0.61201474201474204</v>
      </c>
    </row>
    <row r="829" spans="1:14" x14ac:dyDescent="0.3">
      <c r="A829" s="9" t="s">
        <v>925</v>
      </c>
      <c r="B829" s="9" t="s">
        <v>924</v>
      </c>
      <c r="C829" s="9" t="s">
        <v>36</v>
      </c>
      <c r="D829" s="9" t="s">
        <v>20</v>
      </c>
      <c r="E829" s="9">
        <v>1</v>
      </c>
      <c r="F829" s="11">
        <v>55700</v>
      </c>
      <c r="G829" s="9" t="str">
        <f>INDEX(Products!$B$2:$B$9,MATCH(D829,Products!$A$2:$A$9,0))</f>
        <v>Trà cà leo gai giảm cân</v>
      </c>
      <c r="H829" s="9" t="str">
        <f>INDEX(Products!$C$2:$C$9,MATCH(D829,Products!$A$2:$A$9,0))</f>
        <v>Detox</v>
      </c>
      <c r="I829" s="11">
        <f>INDEX(Products!$D$2:$D$9,MATCH(D829,Products!$A$2:$A$9,0))</f>
        <v>15000</v>
      </c>
      <c r="J829" s="10">
        <f>IFERROR(INDEX(PlatformFees!$C$2:$C$5,MATCH(C829,PlatformFees!$A$2:$A$5,0)),0)</f>
        <v>0.13</v>
      </c>
      <c r="K829" s="11">
        <f t="shared" si="48"/>
        <v>15000</v>
      </c>
      <c r="L829" s="11">
        <f t="shared" si="49"/>
        <v>7241</v>
      </c>
      <c r="M829" s="11">
        <f t="shared" si="50"/>
        <v>33459</v>
      </c>
      <c r="N829" s="10">
        <f t="shared" si="51"/>
        <v>0.60070017953321364</v>
      </c>
    </row>
    <row r="830" spans="1:14" x14ac:dyDescent="0.3">
      <c r="A830" s="9" t="s">
        <v>926</v>
      </c>
      <c r="B830" s="9" t="s">
        <v>924</v>
      </c>
      <c r="C830" s="9" t="s">
        <v>38</v>
      </c>
      <c r="D830" s="9" t="s">
        <v>15</v>
      </c>
      <c r="E830" s="9">
        <v>3</v>
      </c>
      <c r="F830" s="11">
        <v>95400</v>
      </c>
      <c r="G830" s="9" t="str">
        <f>INDEX(Products!$B$2:$B$9,MATCH(D830,Products!$A$2:$A$9,0))</f>
        <v>Trà lá nam sen ổi</v>
      </c>
      <c r="H830" s="9" t="str">
        <f>INDEX(Products!$C$2:$C$9,MATCH(D830,Products!$A$2:$A$9,0))</f>
        <v>Thanh lọc</v>
      </c>
      <c r="I830" s="11">
        <f>INDEX(Products!$D$2:$D$9,MATCH(D830,Products!$A$2:$A$9,0))</f>
        <v>8500</v>
      </c>
      <c r="J830" s="10">
        <f>IFERROR(INDEX(PlatformFees!$C$2:$C$5,MATCH(C830,PlatformFees!$A$2:$A$5,0)),0)</f>
        <v>0.16</v>
      </c>
      <c r="K830" s="11">
        <f t="shared" si="48"/>
        <v>25500</v>
      </c>
      <c r="L830" s="11">
        <f t="shared" si="49"/>
        <v>15264</v>
      </c>
      <c r="M830" s="11">
        <f t="shared" si="50"/>
        <v>54636</v>
      </c>
      <c r="N830" s="10">
        <f t="shared" si="51"/>
        <v>0.5727044025157233</v>
      </c>
    </row>
    <row r="831" spans="1:14" x14ac:dyDescent="0.3">
      <c r="A831" s="9" t="s">
        <v>927</v>
      </c>
      <c r="B831" s="9" t="s">
        <v>924</v>
      </c>
      <c r="C831" s="9" t="s">
        <v>36</v>
      </c>
      <c r="D831" s="9" t="s">
        <v>17</v>
      </c>
      <c r="E831" s="9">
        <v>2</v>
      </c>
      <c r="F831" s="11">
        <v>81100</v>
      </c>
      <c r="G831" s="9" t="str">
        <f>INDEX(Products!$B$2:$B$9,MATCH(D831,Products!$A$2:$A$9,0))</f>
        <v>Trà diếp cá rau má</v>
      </c>
      <c r="H831" s="9" t="str">
        <f>INDEX(Products!$C$2:$C$9,MATCH(D831,Products!$A$2:$A$9,0))</f>
        <v>Detox</v>
      </c>
      <c r="I831" s="11">
        <f>INDEX(Products!$D$2:$D$9,MATCH(D831,Products!$A$2:$A$9,0))</f>
        <v>10500</v>
      </c>
      <c r="J831" s="10">
        <f>IFERROR(INDEX(PlatformFees!$C$2:$C$5,MATCH(C831,PlatformFees!$A$2:$A$5,0)),0)</f>
        <v>0.13</v>
      </c>
      <c r="K831" s="11">
        <f t="shared" si="48"/>
        <v>21000</v>
      </c>
      <c r="L831" s="11">
        <f t="shared" si="49"/>
        <v>10543</v>
      </c>
      <c r="M831" s="11">
        <f t="shared" si="50"/>
        <v>49557</v>
      </c>
      <c r="N831" s="10">
        <f t="shared" si="51"/>
        <v>0.61106041923551169</v>
      </c>
    </row>
    <row r="832" spans="1:14" x14ac:dyDescent="0.3">
      <c r="A832" s="9" t="s">
        <v>928</v>
      </c>
      <c r="B832" s="9" t="s">
        <v>924</v>
      </c>
      <c r="C832" s="9" t="s">
        <v>39</v>
      </c>
      <c r="D832" s="9" t="s">
        <v>15</v>
      </c>
      <c r="E832" s="9">
        <v>1</v>
      </c>
      <c r="F832" s="11">
        <v>32400</v>
      </c>
      <c r="G832" s="9" t="str">
        <f>INDEX(Products!$B$2:$B$9,MATCH(D832,Products!$A$2:$A$9,0))</f>
        <v>Trà lá nam sen ổi</v>
      </c>
      <c r="H832" s="9" t="str">
        <f>INDEX(Products!$C$2:$C$9,MATCH(D832,Products!$A$2:$A$9,0))</f>
        <v>Thanh lọc</v>
      </c>
      <c r="I832" s="11">
        <f>INDEX(Products!$D$2:$D$9,MATCH(D832,Products!$A$2:$A$9,0))</f>
        <v>8500</v>
      </c>
      <c r="J832" s="10">
        <f>IFERROR(INDEX(PlatformFees!$C$2:$C$5,MATCH(C832,PlatformFees!$A$2:$A$5,0)),0)</f>
        <v>0</v>
      </c>
      <c r="K832" s="11">
        <f t="shared" si="48"/>
        <v>8500</v>
      </c>
      <c r="L832" s="11">
        <f t="shared" si="49"/>
        <v>0</v>
      </c>
      <c r="M832" s="11">
        <f t="shared" si="50"/>
        <v>23900</v>
      </c>
      <c r="N832" s="10">
        <f t="shared" si="51"/>
        <v>0.73765432098765427</v>
      </c>
    </row>
    <row r="833" spans="1:14" x14ac:dyDescent="0.3">
      <c r="A833" s="9" t="s">
        <v>929</v>
      </c>
      <c r="B833" s="9" t="s">
        <v>924</v>
      </c>
      <c r="C833" s="9" t="s">
        <v>39</v>
      </c>
      <c r="D833" s="9" t="s">
        <v>20</v>
      </c>
      <c r="E833" s="9">
        <v>2</v>
      </c>
      <c r="F833" s="11">
        <v>109500</v>
      </c>
      <c r="G833" s="9" t="str">
        <f>INDEX(Products!$B$2:$B$9,MATCH(D833,Products!$A$2:$A$9,0))</f>
        <v>Trà cà leo gai giảm cân</v>
      </c>
      <c r="H833" s="9" t="str">
        <f>INDEX(Products!$C$2:$C$9,MATCH(D833,Products!$A$2:$A$9,0))</f>
        <v>Detox</v>
      </c>
      <c r="I833" s="11">
        <f>INDEX(Products!$D$2:$D$9,MATCH(D833,Products!$A$2:$A$9,0))</f>
        <v>15000</v>
      </c>
      <c r="J833" s="10">
        <f>IFERROR(INDEX(PlatformFees!$C$2:$C$5,MATCH(C833,PlatformFees!$A$2:$A$5,0)),0)</f>
        <v>0</v>
      </c>
      <c r="K833" s="11">
        <f t="shared" si="48"/>
        <v>30000</v>
      </c>
      <c r="L833" s="11">
        <f t="shared" si="49"/>
        <v>0</v>
      </c>
      <c r="M833" s="11">
        <f t="shared" si="50"/>
        <v>79500</v>
      </c>
      <c r="N833" s="10">
        <f t="shared" si="51"/>
        <v>0.72602739726027399</v>
      </c>
    </row>
    <row r="834" spans="1:14" x14ac:dyDescent="0.3">
      <c r="A834" s="9" t="s">
        <v>930</v>
      </c>
      <c r="B834" s="9" t="s">
        <v>924</v>
      </c>
      <c r="C834" s="9" t="s">
        <v>40</v>
      </c>
      <c r="D834" s="9" t="s">
        <v>25</v>
      </c>
      <c r="E834" s="9">
        <v>1</v>
      </c>
      <c r="F834" s="11">
        <v>33100</v>
      </c>
      <c r="G834" s="9" t="str">
        <f>INDEX(Products!$B$2:$B$9,MATCH(D834,Products!$A$2:$A$9,0))</f>
        <v>Trà hoa đậu biếc</v>
      </c>
      <c r="H834" s="9" t="str">
        <f>INDEX(Products!$C$2:$C$9,MATCH(D834,Products!$A$2:$A$9,0))</f>
        <v>An thần</v>
      </c>
      <c r="I834" s="11">
        <f>INDEX(Products!$D$2:$D$9,MATCH(D834,Products!$A$2:$A$9,0))</f>
        <v>8800</v>
      </c>
      <c r="J834" s="10">
        <f>IFERROR(INDEX(PlatformFees!$C$2:$C$5,MATCH(C834,PlatformFees!$A$2:$A$5,0)),0)</f>
        <v>0</v>
      </c>
      <c r="K834" s="11">
        <f t="shared" ref="K834:K897" si="52">E834*I834</f>
        <v>8800</v>
      </c>
      <c r="L834" s="11">
        <f t="shared" ref="L834:L897" si="53">F834*J834</f>
        <v>0</v>
      </c>
      <c r="M834" s="11">
        <f t="shared" ref="M834:M897" si="54">F834-L834-K834</f>
        <v>24300</v>
      </c>
      <c r="N834" s="10">
        <f t="shared" ref="N834:N897" si="55">IFERROR(M834/F834,0)</f>
        <v>0.73413897280966767</v>
      </c>
    </row>
    <row r="835" spans="1:14" x14ac:dyDescent="0.3">
      <c r="A835" s="9" t="s">
        <v>931</v>
      </c>
      <c r="B835" s="9" t="s">
        <v>924</v>
      </c>
      <c r="C835" s="9" t="s">
        <v>36</v>
      </c>
      <c r="D835" s="9" t="s">
        <v>30</v>
      </c>
      <c r="E835" s="9">
        <v>3</v>
      </c>
      <c r="F835" s="11">
        <v>99800</v>
      </c>
      <c r="G835" s="9" t="str">
        <f>INDEX(Products!$B$2:$B$9,MATCH(D835,Products!$A$2:$A$9,0))</f>
        <v>Trà mâm xôi vitamin</v>
      </c>
      <c r="H835" s="9" t="str">
        <f>INDEX(Products!$C$2:$C$9,MATCH(D835,Products!$A$2:$A$9,0))</f>
        <v>Bổ sung dưỡng chất</v>
      </c>
      <c r="I835" s="11">
        <f>INDEX(Products!$D$2:$D$9,MATCH(D835,Products!$A$2:$A$9,0))</f>
        <v>9800</v>
      </c>
      <c r="J835" s="10">
        <f>IFERROR(INDEX(PlatformFees!$C$2:$C$5,MATCH(C835,PlatformFees!$A$2:$A$5,0)),0)</f>
        <v>0.13</v>
      </c>
      <c r="K835" s="11">
        <f t="shared" si="52"/>
        <v>29400</v>
      </c>
      <c r="L835" s="11">
        <f t="shared" si="53"/>
        <v>12974</v>
      </c>
      <c r="M835" s="11">
        <f t="shared" si="54"/>
        <v>57426</v>
      </c>
      <c r="N835" s="10">
        <f t="shared" si="55"/>
        <v>0.57541082164328661</v>
      </c>
    </row>
    <row r="836" spans="1:14" x14ac:dyDescent="0.3">
      <c r="A836" s="9" t="s">
        <v>932</v>
      </c>
      <c r="B836" s="9" t="s">
        <v>924</v>
      </c>
      <c r="C836" s="9" t="s">
        <v>38</v>
      </c>
      <c r="D836" s="9" t="s">
        <v>20</v>
      </c>
      <c r="E836" s="9">
        <v>2</v>
      </c>
      <c r="F836" s="11">
        <v>109400</v>
      </c>
      <c r="G836" s="9" t="str">
        <f>INDEX(Products!$B$2:$B$9,MATCH(D836,Products!$A$2:$A$9,0))</f>
        <v>Trà cà leo gai giảm cân</v>
      </c>
      <c r="H836" s="9" t="str">
        <f>INDEX(Products!$C$2:$C$9,MATCH(D836,Products!$A$2:$A$9,0))</f>
        <v>Detox</v>
      </c>
      <c r="I836" s="11">
        <f>INDEX(Products!$D$2:$D$9,MATCH(D836,Products!$A$2:$A$9,0))</f>
        <v>15000</v>
      </c>
      <c r="J836" s="10">
        <f>IFERROR(INDEX(PlatformFees!$C$2:$C$5,MATCH(C836,PlatformFees!$A$2:$A$5,0)),0)</f>
        <v>0.16</v>
      </c>
      <c r="K836" s="11">
        <f t="shared" si="52"/>
        <v>30000</v>
      </c>
      <c r="L836" s="11">
        <f t="shared" si="53"/>
        <v>17504</v>
      </c>
      <c r="M836" s="11">
        <f t="shared" si="54"/>
        <v>61896</v>
      </c>
      <c r="N836" s="10">
        <f t="shared" si="55"/>
        <v>0.56577696526508225</v>
      </c>
    </row>
    <row r="837" spans="1:14" x14ac:dyDescent="0.3">
      <c r="A837" s="9" t="s">
        <v>933</v>
      </c>
      <c r="B837" s="9" t="s">
        <v>924</v>
      </c>
      <c r="C837" s="9" t="s">
        <v>38</v>
      </c>
      <c r="D837" s="9" t="s">
        <v>15</v>
      </c>
      <c r="E837" s="9">
        <v>2</v>
      </c>
      <c r="F837" s="11">
        <v>60100</v>
      </c>
      <c r="G837" s="9" t="str">
        <f>INDEX(Products!$B$2:$B$9,MATCH(D837,Products!$A$2:$A$9,0))</f>
        <v>Trà lá nam sen ổi</v>
      </c>
      <c r="H837" s="9" t="str">
        <f>INDEX(Products!$C$2:$C$9,MATCH(D837,Products!$A$2:$A$9,0))</f>
        <v>Thanh lọc</v>
      </c>
      <c r="I837" s="11">
        <f>INDEX(Products!$D$2:$D$9,MATCH(D837,Products!$A$2:$A$9,0))</f>
        <v>8500</v>
      </c>
      <c r="J837" s="10">
        <f>IFERROR(INDEX(PlatformFees!$C$2:$C$5,MATCH(C837,PlatformFees!$A$2:$A$5,0)),0)</f>
        <v>0.16</v>
      </c>
      <c r="K837" s="11">
        <f t="shared" si="52"/>
        <v>17000</v>
      </c>
      <c r="L837" s="11">
        <f t="shared" si="53"/>
        <v>9616</v>
      </c>
      <c r="M837" s="11">
        <f t="shared" si="54"/>
        <v>33484</v>
      </c>
      <c r="N837" s="10">
        <f t="shared" si="55"/>
        <v>0.55713810316139767</v>
      </c>
    </row>
    <row r="838" spans="1:14" x14ac:dyDescent="0.3">
      <c r="A838" s="9" t="s">
        <v>934</v>
      </c>
      <c r="B838" s="9" t="s">
        <v>924</v>
      </c>
      <c r="C838" s="9" t="s">
        <v>40</v>
      </c>
      <c r="D838" s="9" t="s">
        <v>30</v>
      </c>
      <c r="E838" s="9">
        <v>1</v>
      </c>
      <c r="F838" s="11">
        <v>33600</v>
      </c>
      <c r="G838" s="9" t="str">
        <f>INDEX(Products!$B$2:$B$9,MATCH(D838,Products!$A$2:$A$9,0))</f>
        <v>Trà mâm xôi vitamin</v>
      </c>
      <c r="H838" s="9" t="str">
        <f>INDEX(Products!$C$2:$C$9,MATCH(D838,Products!$A$2:$A$9,0))</f>
        <v>Bổ sung dưỡng chất</v>
      </c>
      <c r="I838" s="11">
        <f>INDEX(Products!$D$2:$D$9,MATCH(D838,Products!$A$2:$A$9,0))</f>
        <v>9800</v>
      </c>
      <c r="J838" s="10">
        <f>IFERROR(INDEX(PlatformFees!$C$2:$C$5,MATCH(C838,PlatformFees!$A$2:$A$5,0)),0)</f>
        <v>0</v>
      </c>
      <c r="K838" s="11">
        <f t="shared" si="52"/>
        <v>9800</v>
      </c>
      <c r="L838" s="11">
        <f t="shared" si="53"/>
        <v>0</v>
      </c>
      <c r="M838" s="11">
        <f t="shared" si="54"/>
        <v>23800</v>
      </c>
      <c r="N838" s="10">
        <f t="shared" si="55"/>
        <v>0.70833333333333337</v>
      </c>
    </row>
    <row r="839" spans="1:14" x14ac:dyDescent="0.3">
      <c r="A839" s="9" t="s">
        <v>935</v>
      </c>
      <c r="B839" s="9" t="s">
        <v>924</v>
      </c>
      <c r="C839" s="9" t="s">
        <v>36</v>
      </c>
      <c r="D839" s="9" t="s">
        <v>30</v>
      </c>
      <c r="E839" s="9">
        <v>2</v>
      </c>
      <c r="F839" s="11">
        <v>67800</v>
      </c>
      <c r="G839" s="9" t="str">
        <f>INDEX(Products!$B$2:$B$9,MATCH(D839,Products!$A$2:$A$9,0))</f>
        <v>Trà mâm xôi vitamin</v>
      </c>
      <c r="H839" s="9" t="str">
        <f>INDEX(Products!$C$2:$C$9,MATCH(D839,Products!$A$2:$A$9,0))</f>
        <v>Bổ sung dưỡng chất</v>
      </c>
      <c r="I839" s="11">
        <f>INDEX(Products!$D$2:$D$9,MATCH(D839,Products!$A$2:$A$9,0))</f>
        <v>9800</v>
      </c>
      <c r="J839" s="10">
        <f>IFERROR(INDEX(PlatformFees!$C$2:$C$5,MATCH(C839,PlatformFees!$A$2:$A$5,0)),0)</f>
        <v>0.13</v>
      </c>
      <c r="K839" s="11">
        <f t="shared" si="52"/>
        <v>19600</v>
      </c>
      <c r="L839" s="11">
        <f t="shared" si="53"/>
        <v>8814</v>
      </c>
      <c r="M839" s="11">
        <f t="shared" si="54"/>
        <v>39386</v>
      </c>
      <c r="N839" s="10">
        <f t="shared" si="55"/>
        <v>0.58091445427728616</v>
      </c>
    </row>
    <row r="840" spans="1:14" x14ac:dyDescent="0.3">
      <c r="A840" s="9" t="s">
        <v>936</v>
      </c>
      <c r="B840" s="9" t="s">
        <v>924</v>
      </c>
      <c r="C840" s="9" t="s">
        <v>39</v>
      </c>
      <c r="D840" s="9" t="s">
        <v>15</v>
      </c>
      <c r="E840" s="9">
        <v>2</v>
      </c>
      <c r="F840" s="11">
        <v>60700</v>
      </c>
      <c r="G840" s="9" t="str">
        <f>INDEX(Products!$B$2:$B$9,MATCH(D840,Products!$A$2:$A$9,0))</f>
        <v>Trà lá nam sen ổi</v>
      </c>
      <c r="H840" s="9" t="str">
        <f>INDEX(Products!$C$2:$C$9,MATCH(D840,Products!$A$2:$A$9,0))</f>
        <v>Thanh lọc</v>
      </c>
      <c r="I840" s="11">
        <f>INDEX(Products!$D$2:$D$9,MATCH(D840,Products!$A$2:$A$9,0))</f>
        <v>8500</v>
      </c>
      <c r="J840" s="10">
        <f>IFERROR(INDEX(PlatformFees!$C$2:$C$5,MATCH(C840,PlatformFees!$A$2:$A$5,0)),0)</f>
        <v>0</v>
      </c>
      <c r="K840" s="11">
        <f t="shared" si="52"/>
        <v>17000</v>
      </c>
      <c r="L840" s="11">
        <f t="shared" si="53"/>
        <v>0</v>
      </c>
      <c r="M840" s="11">
        <f t="shared" si="54"/>
        <v>43700</v>
      </c>
      <c r="N840" s="10">
        <f t="shared" si="55"/>
        <v>0.71993410214168041</v>
      </c>
    </row>
    <row r="841" spans="1:14" x14ac:dyDescent="0.3">
      <c r="A841" s="9" t="s">
        <v>937</v>
      </c>
      <c r="B841" s="9" t="s">
        <v>924</v>
      </c>
      <c r="C841" s="9" t="s">
        <v>40</v>
      </c>
      <c r="D841" s="9" t="s">
        <v>30</v>
      </c>
      <c r="E841" s="9">
        <v>1</v>
      </c>
      <c r="F841" s="11">
        <v>33500</v>
      </c>
      <c r="G841" s="9" t="str">
        <f>INDEX(Products!$B$2:$B$9,MATCH(D841,Products!$A$2:$A$9,0))</f>
        <v>Trà mâm xôi vitamin</v>
      </c>
      <c r="H841" s="9" t="str">
        <f>INDEX(Products!$C$2:$C$9,MATCH(D841,Products!$A$2:$A$9,0))</f>
        <v>Bổ sung dưỡng chất</v>
      </c>
      <c r="I841" s="11">
        <f>INDEX(Products!$D$2:$D$9,MATCH(D841,Products!$A$2:$A$9,0))</f>
        <v>9800</v>
      </c>
      <c r="J841" s="10">
        <f>IFERROR(INDEX(PlatformFees!$C$2:$C$5,MATCH(C841,PlatformFees!$A$2:$A$5,0)),0)</f>
        <v>0</v>
      </c>
      <c r="K841" s="11">
        <f t="shared" si="52"/>
        <v>9800</v>
      </c>
      <c r="L841" s="11">
        <f t="shared" si="53"/>
        <v>0</v>
      </c>
      <c r="M841" s="11">
        <f t="shared" si="54"/>
        <v>23700</v>
      </c>
      <c r="N841" s="10">
        <f t="shared" si="55"/>
        <v>0.70746268656716416</v>
      </c>
    </row>
    <row r="842" spans="1:14" x14ac:dyDescent="0.3">
      <c r="A842" s="9" t="s">
        <v>938</v>
      </c>
      <c r="B842" s="9" t="s">
        <v>924</v>
      </c>
      <c r="C842" s="9" t="s">
        <v>38</v>
      </c>
      <c r="D842" s="9" t="s">
        <v>20</v>
      </c>
      <c r="E842" s="9">
        <v>1</v>
      </c>
      <c r="F842" s="11">
        <v>53700</v>
      </c>
      <c r="G842" s="9" t="str">
        <f>INDEX(Products!$B$2:$B$9,MATCH(D842,Products!$A$2:$A$9,0))</f>
        <v>Trà cà leo gai giảm cân</v>
      </c>
      <c r="H842" s="9" t="str">
        <f>INDEX(Products!$C$2:$C$9,MATCH(D842,Products!$A$2:$A$9,0))</f>
        <v>Detox</v>
      </c>
      <c r="I842" s="11">
        <f>INDEX(Products!$D$2:$D$9,MATCH(D842,Products!$A$2:$A$9,0))</f>
        <v>15000</v>
      </c>
      <c r="J842" s="10">
        <f>IFERROR(INDEX(PlatformFees!$C$2:$C$5,MATCH(C842,PlatformFees!$A$2:$A$5,0)),0)</f>
        <v>0.16</v>
      </c>
      <c r="K842" s="11">
        <f t="shared" si="52"/>
        <v>15000</v>
      </c>
      <c r="L842" s="11">
        <f t="shared" si="53"/>
        <v>8592</v>
      </c>
      <c r="M842" s="11">
        <f t="shared" si="54"/>
        <v>30108</v>
      </c>
      <c r="N842" s="10">
        <f t="shared" si="55"/>
        <v>0.56067039106145256</v>
      </c>
    </row>
    <row r="843" spans="1:14" x14ac:dyDescent="0.3">
      <c r="A843" s="9" t="s">
        <v>939</v>
      </c>
      <c r="B843" s="9" t="s">
        <v>924</v>
      </c>
      <c r="C843" s="9" t="s">
        <v>40</v>
      </c>
      <c r="D843" s="9" t="s">
        <v>12</v>
      </c>
      <c r="E843" s="9">
        <v>3</v>
      </c>
      <c r="F843" s="11">
        <v>103800</v>
      </c>
      <c r="G843" s="9" t="str">
        <f>INDEX(Products!$B$2:$B$9,MATCH(D843,Products!$A$2:$A$9,0))</f>
        <v>Trà atiso thanh lọc</v>
      </c>
      <c r="H843" s="9" t="str">
        <f>INDEX(Products!$C$2:$C$9,MATCH(D843,Products!$A$2:$A$9,0))</f>
        <v>Thanh lọc</v>
      </c>
      <c r="I843" s="11">
        <f>INDEX(Products!$D$2:$D$9,MATCH(D843,Products!$A$2:$A$9,0))</f>
        <v>9000</v>
      </c>
      <c r="J843" s="10">
        <f>IFERROR(INDEX(PlatformFees!$C$2:$C$5,MATCH(C843,PlatformFees!$A$2:$A$5,0)),0)</f>
        <v>0</v>
      </c>
      <c r="K843" s="11">
        <f t="shared" si="52"/>
        <v>27000</v>
      </c>
      <c r="L843" s="11">
        <f t="shared" si="53"/>
        <v>0</v>
      </c>
      <c r="M843" s="11">
        <f t="shared" si="54"/>
        <v>76800</v>
      </c>
      <c r="N843" s="10">
        <f t="shared" si="55"/>
        <v>0.73988439306358378</v>
      </c>
    </row>
    <row r="844" spans="1:14" x14ac:dyDescent="0.3">
      <c r="A844" s="9" t="s">
        <v>940</v>
      </c>
      <c r="B844" s="9" t="s">
        <v>924</v>
      </c>
      <c r="C844" s="9" t="s">
        <v>38</v>
      </c>
      <c r="D844" s="9" t="s">
        <v>20</v>
      </c>
      <c r="E844" s="9">
        <v>2</v>
      </c>
      <c r="F844" s="11">
        <v>103000</v>
      </c>
      <c r="G844" s="9" t="str">
        <f>INDEX(Products!$B$2:$B$9,MATCH(D844,Products!$A$2:$A$9,0))</f>
        <v>Trà cà leo gai giảm cân</v>
      </c>
      <c r="H844" s="9" t="str">
        <f>INDEX(Products!$C$2:$C$9,MATCH(D844,Products!$A$2:$A$9,0))</f>
        <v>Detox</v>
      </c>
      <c r="I844" s="11">
        <f>INDEX(Products!$D$2:$D$9,MATCH(D844,Products!$A$2:$A$9,0))</f>
        <v>15000</v>
      </c>
      <c r="J844" s="10">
        <f>IFERROR(INDEX(PlatformFees!$C$2:$C$5,MATCH(C844,PlatformFees!$A$2:$A$5,0)),0)</f>
        <v>0.16</v>
      </c>
      <c r="K844" s="11">
        <f t="shared" si="52"/>
        <v>30000</v>
      </c>
      <c r="L844" s="11">
        <f t="shared" si="53"/>
        <v>16480</v>
      </c>
      <c r="M844" s="11">
        <f t="shared" si="54"/>
        <v>56520</v>
      </c>
      <c r="N844" s="10">
        <f t="shared" si="55"/>
        <v>0.54873786407766989</v>
      </c>
    </row>
    <row r="845" spans="1:14" x14ac:dyDescent="0.3">
      <c r="A845" s="9" t="s">
        <v>941</v>
      </c>
      <c r="B845" s="9" t="s">
        <v>942</v>
      </c>
      <c r="C845" s="9" t="s">
        <v>38</v>
      </c>
      <c r="D845" s="9" t="s">
        <v>25</v>
      </c>
      <c r="E845" s="9">
        <v>1</v>
      </c>
      <c r="F845" s="11">
        <v>34700</v>
      </c>
      <c r="G845" s="9" t="str">
        <f>INDEX(Products!$B$2:$B$9,MATCH(D845,Products!$A$2:$A$9,0))</f>
        <v>Trà hoa đậu biếc</v>
      </c>
      <c r="H845" s="9" t="str">
        <f>INDEX(Products!$C$2:$C$9,MATCH(D845,Products!$A$2:$A$9,0))</f>
        <v>An thần</v>
      </c>
      <c r="I845" s="11">
        <f>INDEX(Products!$D$2:$D$9,MATCH(D845,Products!$A$2:$A$9,0))</f>
        <v>8800</v>
      </c>
      <c r="J845" s="10">
        <f>IFERROR(INDEX(PlatformFees!$C$2:$C$5,MATCH(C845,PlatformFees!$A$2:$A$5,0)),0)</f>
        <v>0.16</v>
      </c>
      <c r="K845" s="11">
        <f t="shared" si="52"/>
        <v>8800</v>
      </c>
      <c r="L845" s="11">
        <f t="shared" si="53"/>
        <v>5552</v>
      </c>
      <c r="M845" s="11">
        <f t="shared" si="54"/>
        <v>20348</v>
      </c>
      <c r="N845" s="10">
        <f t="shared" si="55"/>
        <v>0.58639769452449564</v>
      </c>
    </row>
    <row r="846" spans="1:14" x14ac:dyDescent="0.3">
      <c r="A846" s="9" t="s">
        <v>943</v>
      </c>
      <c r="B846" s="9" t="s">
        <v>942</v>
      </c>
      <c r="C846" s="9" t="s">
        <v>38</v>
      </c>
      <c r="D846" s="9" t="s">
        <v>15</v>
      </c>
      <c r="E846" s="9">
        <v>1</v>
      </c>
      <c r="F846" s="11">
        <v>32500</v>
      </c>
      <c r="G846" s="9" t="str">
        <f>INDEX(Products!$B$2:$B$9,MATCH(D846,Products!$A$2:$A$9,0))</f>
        <v>Trà lá nam sen ổi</v>
      </c>
      <c r="H846" s="9" t="str">
        <f>INDEX(Products!$C$2:$C$9,MATCH(D846,Products!$A$2:$A$9,0))</f>
        <v>Thanh lọc</v>
      </c>
      <c r="I846" s="11">
        <f>INDEX(Products!$D$2:$D$9,MATCH(D846,Products!$A$2:$A$9,0))</f>
        <v>8500</v>
      </c>
      <c r="J846" s="10">
        <f>IFERROR(INDEX(PlatformFees!$C$2:$C$5,MATCH(C846,PlatformFees!$A$2:$A$5,0)),0)</f>
        <v>0.16</v>
      </c>
      <c r="K846" s="11">
        <f t="shared" si="52"/>
        <v>8500</v>
      </c>
      <c r="L846" s="11">
        <f t="shared" si="53"/>
        <v>5200</v>
      </c>
      <c r="M846" s="11">
        <f t="shared" si="54"/>
        <v>18800</v>
      </c>
      <c r="N846" s="10">
        <f t="shared" si="55"/>
        <v>0.57846153846153847</v>
      </c>
    </row>
    <row r="847" spans="1:14" x14ac:dyDescent="0.3">
      <c r="A847" s="9" t="s">
        <v>944</v>
      </c>
      <c r="B847" s="9" t="s">
        <v>942</v>
      </c>
      <c r="C847" s="9" t="s">
        <v>39</v>
      </c>
      <c r="D847" s="9" t="s">
        <v>30</v>
      </c>
      <c r="E847" s="9">
        <v>1</v>
      </c>
      <c r="F847" s="11">
        <v>34600</v>
      </c>
      <c r="G847" s="9" t="str">
        <f>INDEX(Products!$B$2:$B$9,MATCH(D847,Products!$A$2:$A$9,0))</f>
        <v>Trà mâm xôi vitamin</v>
      </c>
      <c r="H847" s="9" t="str">
        <f>INDEX(Products!$C$2:$C$9,MATCH(D847,Products!$A$2:$A$9,0))</f>
        <v>Bổ sung dưỡng chất</v>
      </c>
      <c r="I847" s="11">
        <f>INDEX(Products!$D$2:$D$9,MATCH(D847,Products!$A$2:$A$9,0))</f>
        <v>9800</v>
      </c>
      <c r="J847" s="10">
        <f>IFERROR(INDEX(PlatformFees!$C$2:$C$5,MATCH(C847,PlatformFees!$A$2:$A$5,0)),0)</f>
        <v>0</v>
      </c>
      <c r="K847" s="11">
        <f t="shared" si="52"/>
        <v>9800</v>
      </c>
      <c r="L847" s="11">
        <f t="shared" si="53"/>
        <v>0</v>
      </c>
      <c r="M847" s="11">
        <f t="shared" si="54"/>
        <v>24800</v>
      </c>
      <c r="N847" s="10">
        <f t="shared" si="55"/>
        <v>0.7167630057803468</v>
      </c>
    </row>
    <row r="848" spans="1:14" x14ac:dyDescent="0.3">
      <c r="A848" s="9" t="s">
        <v>945</v>
      </c>
      <c r="B848" s="9" t="s">
        <v>942</v>
      </c>
      <c r="C848" s="9" t="s">
        <v>38</v>
      </c>
      <c r="D848" s="9" t="s">
        <v>22</v>
      </c>
      <c r="E848" s="9">
        <v>1</v>
      </c>
      <c r="F848" s="11">
        <v>35700</v>
      </c>
      <c r="G848" s="9" t="str">
        <f>INDEX(Products!$B$2:$B$9,MATCH(D848,Products!$A$2:$A$9,0))</f>
        <v>Trà hoa cúc an thần</v>
      </c>
      <c r="H848" s="9" t="str">
        <f>INDEX(Products!$C$2:$C$9,MATCH(D848,Products!$A$2:$A$9,0))</f>
        <v>An thần</v>
      </c>
      <c r="I848" s="11">
        <f>INDEX(Products!$D$2:$D$9,MATCH(D848,Products!$A$2:$A$9,0))</f>
        <v>9500</v>
      </c>
      <c r="J848" s="10">
        <f>IFERROR(INDEX(PlatformFees!$C$2:$C$5,MATCH(C848,PlatformFees!$A$2:$A$5,0)),0)</f>
        <v>0.16</v>
      </c>
      <c r="K848" s="11">
        <f t="shared" si="52"/>
        <v>9500</v>
      </c>
      <c r="L848" s="11">
        <f t="shared" si="53"/>
        <v>5712</v>
      </c>
      <c r="M848" s="11">
        <f t="shared" si="54"/>
        <v>20488</v>
      </c>
      <c r="N848" s="10">
        <f t="shared" si="55"/>
        <v>0.57389355742296921</v>
      </c>
    </row>
    <row r="849" spans="1:14" x14ac:dyDescent="0.3">
      <c r="A849" s="9" t="s">
        <v>946</v>
      </c>
      <c r="B849" s="9" t="s">
        <v>942</v>
      </c>
      <c r="C849" s="9" t="s">
        <v>36</v>
      </c>
      <c r="D849" s="9" t="s">
        <v>22</v>
      </c>
      <c r="E849" s="9">
        <v>3</v>
      </c>
      <c r="F849" s="11">
        <v>113600</v>
      </c>
      <c r="G849" s="9" t="str">
        <f>INDEX(Products!$B$2:$B$9,MATCH(D849,Products!$A$2:$A$9,0))</f>
        <v>Trà hoa cúc an thần</v>
      </c>
      <c r="H849" s="9" t="str">
        <f>INDEX(Products!$C$2:$C$9,MATCH(D849,Products!$A$2:$A$9,0))</f>
        <v>An thần</v>
      </c>
      <c r="I849" s="11">
        <f>INDEX(Products!$D$2:$D$9,MATCH(D849,Products!$A$2:$A$9,0))</f>
        <v>9500</v>
      </c>
      <c r="J849" s="10">
        <f>IFERROR(INDEX(PlatformFees!$C$2:$C$5,MATCH(C849,PlatformFees!$A$2:$A$5,0)),0)</f>
        <v>0.13</v>
      </c>
      <c r="K849" s="11">
        <f t="shared" si="52"/>
        <v>28500</v>
      </c>
      <c r="L849" s="11">
        <f t="shared" si="53"/>
        <v>14768</v>
      </c>
      <c r="M849" s="11">
        <f t="shared" si="54"/>
        <v>70332</v>
      </c>
      <c r="N849" s="10">
        <f t="shared" si="55"/>
        <v>0.61911971830985912</v>
      </c>
    </row>
    <row r="850" spans="1:14" x14ac:dyDescent="0.3">
      <c r="A850" s="9" t="s">
        <v>947</v>
      </c>
      <c r="B850" s="9" t="s">
        <v>942</v>
      </c>
      <c r="C850" s="9" t="s">
        <v>36</v>
      </c>
      <c r="D850" s="9" t="s">
        <v>27</v>
      </c>
      <c r="E850" s="9">
        <v>1</v>
      </c>
      <c r="F850" s="11">
        <v>39800</v>
      </c>
      <c r="G850" s="9" t="str">
        <f>INDEX(Products!$B$2:$B$9,MATCH(D850,Products!$A$2:$A$9,0))</f>
        <v>Trà gừng mật ong</v>
      </c>
      <c r="H850" s="9" t="str">
        <f>INDEX(Products!$C$2:$C$9,MATCH(D850,Products!$A$2:$A$9,0))</f>
        <v>Giữ ấm</v>
      </c>
      <c r="I850" s="11">
        <f>INDEX(Products!$D$2:$D$9,MATCH(D850,Products!$A$2:$A$9,0))</f>
        <v>11000</v>
      </c>
      <c r="J850" s="10">
        <f>IFERROR(INDEX(PlatformFees!$C$2:$C$5,MATCH(C850,PlatformFees!$A$2:$A$5,0)),0)</f>
        <v>0.13</v>
      </c>
      <c r="K850" s="11">
        <f t="shared" si="52"/>
        <v>11000</v>
      </c>
      <c r="L850" s="11">
        <f t="shared" si="53"/>
        <v>5174</v>
      </c>
      <c r="M850" s="11">
        <f t="shared" si="54"/>
        <v>23626</v>
      </c>
      <c r="N850" s="10">
        <f t="shared" si="55"/>
        <v>0.59361809045226133</v>
      </c>
    </row>
    <row r="851" spans="1:14" x14ac:dyDescent="0.3">
      <c r="A851" s="9" t="s">
        <v>948</v>
      </c>
      <c r="B851" s="9" t="s">
        <v>942</v>
      </c>
      <c r="C851" s="9" t="s">
        <v>36</v>
      </c>
      <c r="D851" s="9" t="s">
        <v>20</v>
      </c>
      <c r="E851" s="9">
        <v>1</v>
      </c>
      <c r="F851" s="11">
        <v>56000</v>
      </c>
      <c r="G851" s="9" t="str">
        <f>INDEX(Products!$B$2:$B$9,MATCH(D851,Products!$A$2:$A$9,0))</f>
        <v>Trà cà leo gai giảm cân</v>
      </c>
      <c r="H851" s="9" t="str">
        <f>INDEX(Products!$C$2:$C$9,MATCH(D851,Products!$A$2:$A$9,0))</f>
        <v>Detox</v>
      </c>
      <c r="I851" s="11">
        <f>INDEX(Products!$D$2:$D$9,MATCH(D851,Products!$A$2:$A$9,0))</f>
        <v>15000</v>
      </c>
      <c r="J851" s="10">
        <f>IFERROR(INDEX(PlatformFees!$C$2:$C$5,MATCH(C851,PlatformFees!$A$2:$A$5,0)),0)</f>
        <v>0.13</v>
      </c>
      <c r="K851" s="11">
        <f t="shared" si="52"/>
        <v>15000</v>
      </c>
      <c r="L851" s="11">
        <f t="shared" si="53"/>
        <v>7280</v>
      </c>
      <c r="M851" s="11">
        <f t="shared" si="54"/>
        <v>33720</v>
      </c>
      <c r="N851" s="10">
        <f t="shared" si="55"/>
        <v>0.60214285714285709</v>
      </c>
    </row>
    <row r="852" spans="1:14" x14ac:dyDescent="0.3">
      <c r="A852" s="9" t="s">
        <v>949</v>
      </c>
      <c r="B852" s="9" t="s">
        <v>942</v>
      </c>
      <c r="C852" s="9" t="s">
        <v>36</v>
      </c>
      <c r="D852" s="9" t="s">
        <v>27</v>
      </c>
      <c r="E852" s="9">
        <v>1</v>
      </c>
      <c r="F852" s="11">
        <v>38200</v>
      </c>
      <c r="G852" s="9" t="str">
        <f>INDEX(Products!$B$2:$B$9,MATCH(D852,Products!$A$2:$A$9,0))</f>
        <v>Trà gừng mật ong</v>
      </c>
      <c r="H852" s="9" t="str">
        <f>INDEX(Products!$C$2:$C$9,MATCH(D852,Products!$A$2:$A$9,0))</f>
        <v>Giữ ấm</v>
      </c>
      <c r="I852" s="11">
        <f>INDEX(Products!$D$2:$D$9,MATCH(D852,Products!$A$2:$A$9,0))</f>
        <v>11000</v>
      </c>
      <c r="J852" s="10">
        <f>IFERROR(INDEX(PlatformFees!$C$2:$C$5,MATCH(C852,PlatformFees!$A$2:$A$5,0)),0)</f>
        <v>0.13</v>
      </c>
      <c r="K852" s="11">
        <f t="shared" si="52"/>
        <v>11000</v>
      </c>
      <c r="L852" s="11">
        <f t="shared" si="53"/>
        <v>4966</v>
      </c>
      <c r="M852" s="11">
        <f t="shared" si="54"/>
        <v>22234</v>
      </c>
      <c r="N852" s="10">
        <f t="shared" si="55"/>
        <v>0.5820418848167539</v>
      </c>
    </row>
    <row r="853" spans="1:14" x14ac:dyDescent="0.3">
      <c r="A853" s="9" t="s">
        <v>950</v>
      </c>
      <c r="B853" s="9" t="s">
        <v>942</v>
      </c>
      <c r="C853" s="9" t="s">
        <v>39</v>
      </c>
      <c r="D853" s="9" t="s">
        <v>30</v>
      </c>
      <c r="E853" s="9">
        <v>3</v>
      </c>
      <c r="F853" s="11">
        <v>100500</v>
      </c>
      <c r="G853" s="9" t="str">
        <f>INDEX(Products!$B$2:$B$9,MATCH(D853,Products!$A$2:$A$9,0))</f>
        <v>Trà mâm xôi vitamin</v>
      </c>
      <c r="H853" s="9" t="str">
        <f>INDEX(Products!$C$2:$C$9,MATCH(D853,Products!$A$2:$A$9,0))</f>
        <v>Bổ sung dưỡng chất</v>
      </c>
      <c r="I853" s="11">
        <f>INDEX(Products!$D$2:$D$9,MATCH(D853,Products!$A$2:$A$9,0))</f>
        <v>9800</v>
      </c>
      <c r="J853" s="10">
        <f>IFERROR(INDEX(PlatformFees!$C$2:$C$5,MATCH(C853,PlatformFees!$A$2:$A$5,0)),0)</f>
        <v>0</v>
      </c>
      <c r="K853" s="11">
        <f t="shared" si="52"/>
        <v>29400</v>
      </c>
      <c r="L853" s="11">
        <f t="shared" si="53"/>
        <v>0</v>
      </c>
      <c r="M853" s="11">
        <f t="shared" si="54"/>
        <v>71100</v>
      </c>
      <c r="N853" s="10">
        <f t="shared" si="55"/>
        <v>0.70746268656716416</v>
      </c>
    </row>
    <row r="854" spans="1:14" x14ac:dyDescent="0.3">
      <c r="A854" s="9" t="s">
        <v>951</v>
      </c>
      <c r="B854" s="9" t="s">
        <v>942</v>
      </c>
      <c r="C854" s="9" t="s">
        <v>39</v>
      </c>
      <c r="D854" s="9" t="s">
        <v>12</v>
      </c>
      <c r="E854" s="9">
        <v>3</v>
      </c>
      <c r="F854" s="11">
        <v>101700</v>
      </c>
      <c r="G854" s="9" t="str">
        <f>INDEX(Products!$B$2:$B$9,MATCH(D854,Products!$A$2:$A$9,0))</f>
        <v>Trà atiso thanh lọc</v>
      </c>
      <c r="H854" s="9" t="str">
        <f>INDEX(Products!$C$2:$C$9,MATCH(D854,Products!$A$2:$A$9,0))</f>
        <v>Thanh lọc</v>
      </c>
      <c r="I854" s="11">
        <f>INDEX(Products!$D$2:$D$9,MATCH(D854,Products!$A$2:$A$9,0))</f>
        <v>9000</v>
      </c>
      <c r="J854" s="10">
        <f>IFERROR(INDEX(PlatformFees!$C$2:$C$5,MATCH(C854,PlatformFees!$A$2:$A$5,0)),0)</f>
        <v>0</v>
      </c>
      <c r="K854" s="11">
        <f t="shared" si="52"/>
        <v>27000</v>
      </c>
      <c r="L854" s="11">
        <f t="shared" si="53"/>
        <v>0</v>
      </c>
      <c r="M854" s="11">
        <f t="shared" si="54"/>
        <v>74700</v>
      </c>
      <c r="N854" s="10">
        <f t="shared" si="55"/>
        <v>0.73451327433628322</v>
      </c>
    </row>
    <row r="855" spans="1:14" x14ac:dyDescent="0.3">
      <c r="A855" s="9" t="s">
        <v>952</v>
      </c>
      <c r="B855" s="9" t="s">
        <v>942</v>
      </c>
      <c r="C855" s="9" t="s">
        <v>39</v>
      </c>
      <c r="D855" s="9" t="s">
        <v>15</v>
      </c>
      <c r="E855" s="9">
        <v>2</v>
      </c>
      <c r="F855" s="11">
        <v>63100</v>
      </c>
      <c r="G855" s="9" t="str">
        <f>INDEX(Products!$B$2:$B$9,MATCH(D855,Products!$A$2:$A$9,0))</f>
        <v>Trà lá nam sen ổi</v>
      </c>
      <c r="H855" s="9" t="str">
        <f>INDEX(Products!$C$2:$C$9,MATCH(D855,Products!$A$2:$A$9,0))</f>
        <v>Thanh lọc</v>
      </c>
      <c r="I855" s="11">
        <f>INDEX(Products!$D$2:$D$9,MATCH(D855,Products!$A$2:$A$9,0))</f>
        <v>8500</v>
      </c>
      <c r="J855" s="10">
        <f>IFERROR(INDEX(PlatformFees!$C$2:$C$5,MATCH(C855,PlatformFees!$A$2:$A$5,0)),0)</f>
        <v>0</v>
      </c>
      <c r="K855" s="11">
        <f t="shared" si="52"/>
        <v>17000</v>
      </c>
      <c r="L855" s="11">
        <f t="shared" si="53"/>
        <v>0</v>
      </c>
      <c r="M855" s="11">
        <f t="shared" si="54"/>
        <v>46100</v>
      </c>
      <c r="N855" s="10">
        <f t="shared" si="55"/>
        <v>0.73058637083993661</v>
      </c>
    </row>
    <row r="856" spans="1:14" x14ac:dyDescent="0.3">
      <c r="A856" s="9" t="s">
        <v>953</v>
      </c>
      <c r="B856" s="9" t="s">
        <v>942</v>
      </c>
      <c r="C856" s="9" t="s">
        <v>36</v>
      </c>
      <c r="D856" s="9" t="s">
        <v>20</v>
      </c>
      <c r="E856" s="9">
        <v>2</v>
      </c>
      <c r="F856" s="11">
        <v>110200</v>
      </c>
      <c r="G856" s="9" t="str">
        <f>INDEX(Products!$B$2:$B$9,MATCH(D856,Products!$A$2:$A$9,0))</f>
        <v>Trà cà leo gai giảm cân</v>
      </c>
      <c r="H856" s="9" t="str">
        <f>INDEX(Products!$C$2:$C$9,MATCH(D856,Products!$A$2:$A$9,0))</f>
        <v>Detox</v>
      </c>
      <c r="I856" s="11">
        <f>INDEX(Products!$D$2:$D$9,MATCH(D856,Products!$A$2:$A$9,0))</f>
        <v>15000</v>
      </c>
      <c r="J856" s="10">
        <f>IFERROR(INDEX(PlatformFees!$C$2:$C$5,MATCH(C856,PlatformFees!$A$2:$A$5,0)),0)</f>
        <v>0.13</v>
      </c>
      <c r="K856" s="11">
        <f t="shared" si="52"/>
        <v>30000</v>
      </c>
      <c r="L856" s="11">
        <f t="shared" si="53"/>
        <v>14326</v>
      </c>
      <c r="M856" s="11">
        <f t="shared" si="54"/>
        <v>65874</v>
      </c>
      <c r="N856" s="10">
        <f t="shared" si="55"/>
        <v>0.59776769509981853</v>
      </c>
    </row>
    <row r="857" spans="1:14" x14ac:dyDescent="0.3">
      <c r="A857" s="9" t="s">
        <v>954</v>
      </c>
      <c r="B857" s="9" t="s">
        <v>942</v>
      </c>
      <c r="C857" s="9" t="s">
        <v>39</v>
      </c>
      <c r="D857" s="9" t="s">
        <v>30</v>
      </c>
      <c r="E857" s="9">
        <v>1</v>
      </c>
      <c r="F857" s="11">
        <v>35200</v>
      </c>
      <c r="G857" s="9" t="str">
        <f>INDEX(Products!$B$2:$B$9,MATCH(D857,Products!$A$2:$A$9,0))</f>
        <v>Trà mâm xôi vitamin</v>
      </c>
      <c r="H857" s="9" t="str">
        <f>INDEX(Products!$C$2:$C$9,MATCH(D857,Products!$A$2:$A$9,0))</f>
        <v>Bổ sung dưỡng chất</v>
      </c>
      <c r="I857" s="11">
        <f>INDEX(Products!$D$2:$D$9,MATCH(D857,Products!$A$2:$A$9,0))</f>
        <v>9800</v>
      </c>
      <c r="J857" s="10">
        <f>IFERROR(INDEX(PlatformFees!$C$2:$C$5,MATCH(C857,PlatformFees!$A$2:$A$5,0)),0)</f>
        <v>0</v>
      </c>
      <c r="K857" s="11">
        <f t="shared" si="52"/>
        <v>9800</v>
      </c>
      <c r="L857" s="11">
        <f t="shared" si="53"/>
        <v>0</v>
      </c>
      <c r="M857" s="11">
        <f t="shared" si="54"/>
        <v>25400</v>
      </c>
      <c r="N857" s="10">
        <f t="shared" si="55"/>
        <v>0.72159090909090906</v>
      </c>
    </row>
    <row r="858" spans="1:14" x14ac:dyDescent="0.3">
      <c r="A858" s="9" t="s">
        <v>955</v>
      </c>
      <c r="B858" s="9" t="s">
        <v>942</v>
      </c>
      <c r="C858" s="9" t="s">
        <v>36</v>
      </c>
      <c r="D858" s="9" t="s">
        <v>17</v>
      </c>
      <c r="E858" s="9">
        <v>2</v>
      </c>
      <c r="F858" s="11">
        <v>81000</v>
      </c>
      <c r="G858" s="9" t="str">
        <f>INDEX(Products!$B$2:$B$9,MATCH(D858,Products!$A$2:$A$9,0))</f>
        <v>Trà diếp cá rau má</v>
      </c>
      <c r="H858" s="9" t="str">
        <f>INDEX(Products!$C$2:$C$9,MATCH(D858,Products!$A$2:$A$9,0))</f>
        <v>Detox</v>
      </c>
      <c r="I858" s="11">
        <f>INDEX(Products!$D$2:$D$9,MATCH(D858,Products!$A$2:$A$9,0))</f>
        <v>10500</v>
      </c>
      <c r="J858" s="10">
        <f>IFERROR(INDEX(PlatformFees!$C$2:$C$5,MATCH(C858,PlatformFees!$A$2:$A$5,0)),0)</f>
        <v>0.13</v>
      </c>
      <c r="K858" s="11">
        <f t="shared" si="52"/>
        <v>21000</v>
      </c>
      <c r="L858" s="11">
        <f t="shared" si="53"/>
        <v>10530</v>
      </c>
      <c r="M858" s="11">
        <f t="shared" si="54"/>
        <v>49470</v>
      </c>
      <c r="N858" s="10">
        <f t="shared" si="55"/>
        <v>0.6107407407407407</v>
      </c>
    </row>
    <row r="859" spans="1:14" x14ac:dyDescent="0.3">
      <c r="A859" s="9" t="s">
        <v>956</v>
      </c>
      <c r="B859" s="9" t="s">
        <v>942</v>
      </c>
      <c r="C859" s="9" t="s">
        <v>39</v>
      </c>
      <c r="D859" s="9" t="s">
        <v>22</v>
      </c>
      <c r="E859" s="9">
        <v>2</v>
      </c>
      <c r="F859" s="11">
        <v>70200</v>
      </c>
      <c r="G859" s="9" t="str">
        <f>INDEX(Products!$B$2:$B$9,MATCH(D859,Products!$A$2:$A$9,0))</f>
        <v>Trà hoa cúc an thần</v>
      </c>
      <c r="H859" s="9" t="str">
        <f>INDEX(Products!$C$2:$C$9,MATCH(D859,Products!$A$2:$A$9,0))</f>
        <v>An thần</v>
      </c>
      <c r="I859" s="11">
        <f>INDEX(Products!$D$2:$D$9,MATCH(D859,Products!$A$2:$A$9,0))</f>
        <v>9500</v>
      </c>
      <c r="J859" s="10">
        <f>IFERROR(INDEX(PlatformFees!$C$2:$C$5,MATCH(C859,PlatformFees!$A$2:$A$5,0)),0)</f>
        <v>0</v>
      </c>
      <c r="K859" s="11">
        <f t="shared" si="52"/>
        <v>19000</v>
      </c>
      <c r="L859" s="11">
        <f t="shared" si="53"/>
        <v>0</v>
      </c>
      <c r="M859" s="11">
        <f t="shared" si="54"/>
        <v>51200</v>
      </c>
      <c r="N859" s="10">
        <f t="shared" si="55"/>
        <v>0.72934472934472938</v>
      </c>
    </row>
    <row r="860" spans="1:14" x14ac:dyDescent="0.3">
      <c r="A860" s="9" t="s">
        <v>957</v>
      </c>
      <c r="B860" s="9" t="s">
        <v>942</v>
      </c>
      <c r="C860" s="9" t="s">
        <v>36</v>
      </c>
      <c r="D860" s="9" t="s">
        <v>27</v>
      </c>
      <c r="E860" s="9">
        <v>1</v>
      </c>
      <c r="F860" s="11">
        <v>37900</v>
      </c>
      <c r="G860" s="9" t="str">
        <f>INDEX(Products!$B$2:$B$9,MATCH(D860,Products!$A$2:$A$9,0))</f>
        <v>Trà gừng mật ong</v>
      </c>
      <c r="H860" s="9" t="str">
        <f>INDEX(Products!$C$2:$C$9,MATCH(D860,Products!$A$2:$A$9,0))</f>
        <v>Giữ ấm</v>
      </c>
      <c r="I860" s="11">
        <f>INDEX(Products!$D$2:$D$9,MATCH(D860,Products!$A$2:$A$9,0))</f>
        <v>11000</v>
      </c>
      <c r="J860" s="10">
        <f>IFERROR(INDEX(PlatformFees!$C$2:$C$5,MATCH(C860,PlatformFees!$A$2:$A$5,0)),0)</f>
        <v>0.13</v>
      </c>
      <c r="K860" s="11">
        <f t="shared" si="52"/>
        <v>11000</v>
      </c>
      <c r="L860" s="11">
        <f t="shared" si="53"/>
        <v>4927</v>
      </c>
      <c r="M860" s="11">
        <f t="shared" si="54"/>
        <v>21973</v>
      </c>
      <c r="N860" s="10">
        <f t="shared" si="55"/>
        <v>0.57976253298153035</v>
      </c>
    </row>
    <row r="861" spans="1:14" x14ac:dyDescent="0.3">
      <c r="A861" s="9" t="s">
        <v>958</v>
      </c>
      <c r="B861" s="9" t="s">
        <v>942</v>
      </c>
      <c r="C861" s="9" t="s">
        <v>38</v>
      </c>
      <c r="D861" s="9" t="s">
        <v>30</v>
      </c>
      <c r="E861" s="9">
        <v>3</v>
      </c>
      <c r="F861" s="11">
        <v>101700</v>
      </c>
      <c r="G861" s="9" t="str">
        <f>INDEX(Products!$B$2:$B$9,MATCH(D861,Products!$A$2:$A$9,0))</f>
        <v>Trà mâm xôi vitamin</v>
      </c>
      <c r="H861" s="9" t="str">
        <f>INDEX(Products!$C$2:$C$9,MATCH(D861,Products!$A$2:$A$9,0))</f>
        <v>Bổ sung dưỡng chất</v>
      </c>
      <c r="I861" s="11">
        <f>INDEX(Products!$D$2:$D$9,MATCH(D861,Products!$A$2:$A$9,0))</f>
        <v>9800</v>
      </c>
      <c r="J861" s="10">
        <f>IFERROR(INDEX(PlatformFees!$C$2:$C$5,MATCH(C861,PlatformFees!$A$2:$A$5,0)),0)</f>
        <v>0.16</v>
      </c>
      <c r="K861" s="11">
        <f t="shared" si="52"/>
        <v>29400</v>
      </c>
      <c r="L861" s="11">
        <f t="shared" si="53"/>
        <v>16272</v>
      </c>
      <c r="M861" s="11">
        <f t="shared" si="54"/>
        <v>56028</v>
      </c>
      <c r="N861" s="10">
        <f t="shared" si="55"/>
        <v>0.55091445427728614</v>
      </c>
    </row>
    <row r="862" spans="1:14" x14ac:dyDescent="0.3">
      <c r="A862" s="9" t="s">
        <v>959</v>
      </c>
      <c r="B862" s="9" t="s">
        <v>942</v>
      </c>
      <c r="C862" s="9" t="s">
        <v>36</v>
      </c>
      <c r="D862" s="9" t="s">
        <v>20</v>
      </c>
      <c r="E862" s="9">
        <v>2</v>
      </c>
      <c r="F862" s="11">
        <v>108900</v>
      </c>
      <c r="G862" s="9" t="str">
        <f>INDEX(Products!$B$2:$B$9,MATCH(D862,Products!$A$2:$A$9,0))</f>
        <v>Trà cà leo gai giảm cân</v>
      </c>
      <c r="H862" s="9" t="str">
        <f>INDEX(Products!$C$2:$C$9,MATCH(D862,Products!$A$2:$A$9,0))</f>
        <v>Detox</v>
      </c>
      <c r="I862" s="11">
        <f>INDEX(Products!$D$2:$D$9,MATCH(D862,Products!$A$2:$A$9,0))</f>
        <v>15000</v>
      </c>
      <c r="J862" s="10">
        <f>IFERROR(INDEX(PlatformFees!$C$2:$C$5,MATCH(C862,PlatformFees!$A$2:$A$5,0)),0)</f>
        <v>0.13</v>
      </c>
      <c r="K862" s="11">
        <f t="shared" si="52"/>
        <v>30000</v>
      </c>
      <c r="L862" s="11">
        <f t="shared" si="53"/>
        <v>14157</v>
      </c>
      <c r="M862" s="11">
        <f t="shared" si="54"/>
        <v>64743</v>
      </c>
      <c r="N862" s="10">
        <f t="shared" si="55"/>
        <v>0.59451790633608814</v>
      </c>
    </row>
    <row r="863" spans="1:14" x14ac:dyDescent="0.3">
      <c r="A863" s="9" t="s">
        <v>960</v>
      </c>
      <c r="B863" s="9" t="s">
        <v>942</v>
      </c>
      <c r="C863" s="9" t="s">
        <v>36</v>
      </c>
      <c r="D863" s="9" t="s">
        <v>12</v>
      </c>
      <c r="E863" s="9">
        <v>1</v>
      </c>
      <c r="F863" s="11">
        <v>34100</v>
      </c>
      <c r="G863" s="9" t="str">
        <f>INDEX(Products!$B$2:$B$9,MATCH(D863,Products!$A$2:$A$9,0))</f>
        <v>Trà atiso thanh lọc</v>
      </c>
      <c r="H863" s="9" t="str">
        <f>INDEX(Products!$C$2:$C$9,MATCH(D863,Products!$A$2:$A$9,0))</f>
        <v>Thanh lọc</v>
      </c>
      <c r="I863" s="11">
        <f>INDEX(Products!$D$2:$D$9,MATCH(D863,Products!$A$2:$A$9,0))</f>
        <v>9000</v>
      </c>
      <c r="J863" s="10">
        <f>IFERROR(INDEX(PlatformFees!$C$2:$C$5,MATCH(C863,PlatformFees!$A$2:$A$5,0)),0)</f>
        <v>0.13</v>
      </c>
      <c r="K863" s="11">
        <f t="shared" si="52"/>
        <v>9000</v>
      </c>
      <c r="L863" s="11">
        <f t="shared" si="53"/>
        <v>4433</v>
      </c>
      <c r="M863" s="11">
        <f t="shared" si="54"/>
        <v>20667</v>
      </c>
      <c r="N863" s="10">
        <f t="shared" si="55"/>
        <v>0.60607038123167156</v>
      </c>
    </row>
    <row r="864" spans="1:14" x14ac:dyDescent="0.3">
      <c r="A864" s="9" t="s">
        <v>961</v>
      </c>
      <c r="B864" s="9" t="s">
        <v>962</v>
      </c>
      <c r="C864" s="9" t="s">
        <v>36</v>
      </c>
      <c r="D864" s="9" t="s">
        <v>27</v>
      </c>
      <c r="E864" s="9">
        <v>2</v>
      </c>
      <c r="F864" s="11">
        <v>78500</v>
      </c>
      <c r="G864" s="9" t="str">
        <f>INDEX(Products!$B$2:$B$9,MATCH(D864,Products!$A$2:$A$9,0))</f>
        <v>Trà gừng mật ong</v>
      </c>
      <c r="H864" s="9" t="str">
        <f>INDEX(Products!$C$2:$C$9,MATCH(D864,Products!$A$2:$A$9,0))</f>
        <v>Giữ ấm</v>
      </c>
      <c r="I864" s="11">
        <f>INDEX(Products!$D$2:$D$9,MATCH(D864,Products!$A$2:$A$9,0))</f>
        <v>11000</v>
      </c>
      <c r="J864" s="10">
        <f>IFERROR(INDEX(PlatformFees!$C$2:$C$5,MATCH(C864,PlatformFees!$A$2:$A$5,0)),0)</f>
        <v>0.13</v>
      </c>
      <c r="K864" s="11">
        <f t="shared" si="52"/>
        <v>22000</v>
      </c>
      <c r="L864" s="11">
        <f t="shared" si="53"/>
        <v>10205</v>
      </c>
      <c r="M864" s="11">
        <f t="shared" si="54"/>
        <v>46295</v>
      </c>
      <c r="N864" s="10">
        <f t="shared" si="55"/>
        <v>0.58974522292993625</v>
      </c>
    </row>
    <row r="865" spans="1:14" x14ac:dyDescent="0.3">
      <c r="A865" s="9" t="s">
        <v>963</v>
      </c>
      <c r="B865" s="9" t="s">
        <v>962</v>
      </c>
      <c r="C865" s="9" t="s">
        <v>36</v>
      </c>
      <c r="D865" s="9" t="s">
        <v>27</v>
      </c>
      <c r="E865" s="9">
        <v>1</v>
      </c>
      <c r="F865" s="11">
        <v>40100</v>
      </c>
      <c r="G865" s="9" t="str">
        <f>INDEX(Products!$B$2:$B$9,MATCH(D865,Products!$A$2:$A$9,0))</f>
        <v>Trà gừng mật ong</v>
      </c>
      <c r="H865" s="9" t="str">
        <f>INDEX(Products!$C$2:$C$9,MATCH(D865,Products!$A$2:$A$9,0))</f>
        <v>Giữ ấm</v>
      </c>
      <c r="I865" s="11">
        <f>INDEX(Products!$D$2:$D$9,MATCH(D865,Products!$A$2:$A$9,0))</f>
        <v>11000</v>
      </c>
      <c r="J865" s="10">
        <f>IFERROR(INDEX(PlatformFees!$C$2:$C$5,MATCH(C865,PlatformFees!$A$2:$A$5,0)),0)</f>
        <v>0.13</v>
      </c>
      <c r="K865" s="11">
        <f t="shared" si="52"/>
        <v>11000</v>
      </c>
      <c r="L865" s="11">
        <f t="shared" si="53"/>
        <v>5213</v>
      </c>
      <c r="M865" s="11">
        <f t="shared" si="54"/>
        <v>23887</v>
      </c>
      <c r="N865" s="10">
        <f t="shared" si="55"/>
        <v>0.59568578553615958</v>
      </c>
    </row>
    <row r="866" spans="1:14" x14ac:dyDescent="0.3">
      <c r="A866" s="9" t="s">
        <v>964</v>
      </c>
      <c r="B866" s="9" t="s">
        <v>962</v>
      </c>
      <c r="C866" s="9" t="s">
        <v>38</v>
      </c>
      <c r="D866" s="9" t="s">
        <v>17</v>
      </c>
      <c r="E866" s="9">
        <v>2</v>
      </c>
      <c r="F866" s="11">
        <v>77700</v>
      </c>
      <c r="G866" s="9" t="str">
        <f>INDEX(Products!$B$2:$B$9,MATCH(D866,Products!$A$2:$A$9,0))</f>
        <v>Trà diếp cá rau má</v>
      </c>
      <c r="H866" s="9" t="str">
        <f>INDEX(Products!$C$2:$C$9,MATCH(D866,Products!$A$2:$A$9,0))</f>
        <v>Detox</v>
      </c>
      <c r="I866" s="11">
        <f>INDEX(Products!$D$2:$D$9,MATCH(D866,Products!$A$2:$A$9,0))</f>
        <v>10500</v>
      </c>
      <c r="J866" s="10">
        <f>IFERROR(INDEX(PlatformFees!$C$2:$C$5,MATCH(C866,PlatformFees!$A$2:$A$5,0)),0)</f>
        <v>0.16</v>
      </c>
      <c r="K866" s="11">
        <f t="shared" si="52"/>
        <v>21000</v>
      </c>
      <c r="L866" s="11">
        <f t="shared" si="53"/>
        <v>12432</v>
      </c>
      <c r="M866" s="11">
        <f t="shared" si="54"/>
        <v>44268</v>
      </c>
      <c r="N866" s="10">
        <f t="shared" si="55"/>
        <v>0.56972972972972968</v>
      </c>
    </row>
    <row r="867" spans="1:14" x14ac:dyDescent="0.3">
      <c r="A867" s="9" t="s">
        <v>965</v>
      </c>
      <c r="B867" s="9" t="s">
        <v>962</v>
      </c>
      <c r="C867" s="9" t="s">
        <v>39</v>
      </c>
      <c r="D867" s="9" t="s">
        <v>27</v>
      </c>
      <c r="E867" s="9">
        <v>1</v>
      </c>
      <c r="F867" s="11">
        <v>40600</v>
      </c>
      <c r="G867" s="9" t="str">
        <f>INDEX(Products!$B$2:$B$9,MATCH(D867,Products!$A$2:$A$9,0))</f>
        <v>Trà gừng mật ong</v>
      </c>
      <c r="H867" s="9" t="str">
        <f>INDEX(Products!$C$2:$C$9,MATCH(D867,Products!$A$2:$A$9,0))</f>
        <v>Giữ ấm</v>
      </c>
      <c r="I867" s="11">
        <f>INDEX(Products!$D$2:$D$9,MATCH(D867,Products!$A$2:$A$9,0))</f>
        <v>11000</v>
      </c>
      <c r="J867" s="10">
        <f>IFERROR(INDEX(PlatformFees!$C$2:$C$5,MATCH(C867,PlatformFees!$A$2:$A$5,0)),0)</f>
        <v>0</v>
      </c>
      <c r="K867" s="11">
        <f t="shared" si="52"/>
        <v>11000</v>
      </c>
      <c r="L867" s="11">
        <f t="shared" si="53"/>
        <v>0</v>
      </c>
      <c r="M867" s="11">
        <f t="shared" si="54"/>
        <v>29600</v>
      </c>
      <c r="N867" s="10">
        <f t="shared" si="55"/>
        <v>0.72906403940886699</v>
      </c>
    </row>
    <row r="868" spans="1:14" x14ac:dyDescent="0.3">
      <c r="A868" s="9" t="s">
        <v>966</v>
      </c>
      <c r="B868" s="9" t="s">
        <v>962</v>
      </c>
      <c r="C868" s="9" t="s">
        <v>38</v>
      </c>
      <c r="D868" s="9" t="s">
        <v>22</v>
      </c>
      <c r="E868" s="9">
        <v>1</v>
      </c>
      <c r="F868" s="11">
        <v>37700</v>
      </c>
      <c r="G868" s="9" t="str">
        <f>INDEX(Products!$B$2:$B$9,MATCH(D868,Products!$A$2:$A$9,0))</f>
        <v>Trà hoa cúc an thần</v>
      </c>
      <c r="H868" s="9" t="str">
        <f>INDEX(Products!$C$2:$C$9,MATCH(D868,Products!$A$2:$A$9,0))</f>
        <v>An thần</v>
      </c>
      <c r="I868" s="11">
        <f>INDEX(Products!$D$2:$D$9,MATCH(D868,Products!$A$2:$A$9,0))</f>
        <v>9500</v>
      </c>
      <c r="J868" s="10">
        <f>IFERROR(INDEX(PlatformFees!$C$2:$C$5,MATCH(C868,PlatformFees!$A$2:$A$5,0)),0)</f>
        <v>0.16</v>
      </c>
      <c r="K868" s="11">
        <f t="shared" si="52"/>
        <v>9500</v>
      </c>
      <c r="L868" s="11">
        <f t="shared" si="53"/>
        <v>6032</v>
      </c>
      <c r="M868" s="11">
        <f t="shared" si="54"/>
        <v>22168</v>
      </c>
      <c r="N868" s="10">
        <f t="shared" si="55"/>
        <v>0.58801061007957556</v>
      </c>
    </row>
    <row r="869" spans="1:14" x14ac:dyDescent="0.3">
      <c r="A869" s="9" t="s">
        <v>967</v>
      </c>
      <c r="B869" s="9" t="s">
        <v>962</v>
      </c>
      <c r="C869" s="9" t="s">
        <v>38</v>
      </c>
      <c r="D869" s="9" t="s">
        <v>27</v>
      </c>
      <c r="E869" s="9">
        <v>3</v>
      </c>
      <c r="F869" s="11">
        <v>110500</v>
      </c>
      <c r="G869" s="9" t="str">
        <f>INDEX(Products!$B$2:$B$9,MATCH(D869,Products!$A$2:$A$9,0))</f>
        <v>Trà gừng mật ong</v>
      </c>
      <c r="H869" s="9" t="str">
        <f>INDEX(Products!$C$2:$C$9,MATCH(D869,Products!$A$2:$A$9,0))</f>
        <v>Giữ ấm</v>
      </c>
      <c r="I869" s="11">
        <f>INDEX(Products!$D$2:$D$9,MATCH(D869,Products!$A$2:$A$9,0))</f>
        <v>11000</v>
      </c>
      <c r="J869" s="10">
        <f>IFERROR(INDEX(PlatformFees!$C$2:$C$5,MATCH(C869,PlatformFees!$A$2:$A$5,0)),0)</f>
        <v>0.16</v>
      </c>
      <c r="K869" s="11">
        <f t="shared" si="52"/>
        <v>33000</v>
      </c>
      <c r="L869" s="11">
        <f t="shared" si="53"/>
        <v>17680</v>
      </c>
      <c r="M869" s="11">
        <f t="shared" si="54"/>
        <v>59820</v>
      </c>
      <c r="N869" s="10">
        <f t="shared" si="55"/>
        <v>0.54135746606334845</v>
      </c>
    </row>
    <row r="870" spans="1:14" x14ac:dyDescent="0.3">
      <c r="A870" s="9" t="s">
        <v>968</v>
      </c>
      <c r="B870" s="9" t="s">
        <v>962</v>
      </c>
      <c r="C870" s="9" t="s">
        <v>40</v>
      </c>
      <c r="D870" s="9" t="s">
        <v>25</v>
      </c>
      <c r="E870" s="9">
        <v>2</v>
      </c>
      <c r="F870" s="11">
        <v>68600</v>
      </c>
      <c r="G870" s="9" t="str">
        <f>INDEX(Products!$B$2:$B$9,MATCH(D870,Products!$A$2:$A$9,0))</f>
        <v>Trà hoa đậu biếc</v>
      </c>
      <c r="H870" s="9" t="str">
        <f>INDEX(Products!$C$2:$C$9,MATCH(D870,Products!$A$2:$A$9,0))</f>
        <v>An thần</v>
      </c>
      <c r="I870" s="11">
        <f>INDEX(Products!$D$2:$D$9,MATCH(D870,Products!$A$2:$A$9,0))</f>
        <v>8800</v>
      </c>
      <c r="J870" s="10">
        <f>IFERROR(INDEX(PlatformFees!$C$2:$C$5,MATCH(C870,PlatformFees!$A$2:$A$5,0)),0)</f>
        <v>0</v>
      </c>
      <c r="K870" s="11">
        <f t="shared" si="52"/>
        <v>17600</v>
      </c>
      <c r="L870" s="11">
        <f t="shared" si="53"/>
        <v>0</v>
      </c>
      <c r="M870" s="11">
        <f t="shared" si="54"/>
        <v>51000</v>
      </c>
      <c r="N870" s="10">
        <f t="shared" si="55"/>
        <v>0.7434402332361516</v>
      </c>
    </row>
    <row r="871" spans="1:14" x14ac:dyDescent="0.3">
      <c r="A871" s="9" t="s">
        <v>969</v>
      </c>
      <c r="B871" s="9" t="s">
        <v>962</v>
      </c>
      <c r="C871" s="9" t="s">
        <v>36</v>
      </c>
      <c r="D871" s="9" t="s">
        <v>22</v>
      </c>
      <c r="E871" s="9">
        <v>1</v>
      </c>
      <c r="F871" s="11">
        <v>37900</v>
      </c>
      <c r="G871" s="9" t="str">
        <f>INDEX(Products!$B$2:$B$9,MATCH(D871,Products!$A$2:$A$9,0))</f>
        <v>Trà hoa cúc an thần</v>
      </c>
      <c r="H871" s="9" t="str">
        <f>INDEX(Products!$C$2:$C$9,MATCH(D871,Products!$A$2:$A$9,0))</f>
        <v>An thần</v>
      </c>
      <c r="I871" s="11">
        <f>INDEX(Products!$D$2:$D$9,MATCH(D871,Products!$A$2:$A$9,0))</f>
        <v>9500</v>
      </c>
      <c r="J871" s="10">
        <f>IFERROR(INDEX(PlatformFees!$C$2:$C$5,MATCH(C871,PlatformFees!$A$2:$A$5,0)),0)</f>
        <v>0.13</v>
      </c>
      <c r="K871" s="11">
        <f t="shared" si="52"/>
        <v>9500</v>
      </c>
      <c r="L871" s="11">
        <f t="shared" si="53"/>
        <v>4927</v>
      </c>
      <c r="M871" s="11">
        <f t="shared" si="54"/>
        <v>23473</v>
      </c>
      <c r="N871" s="10">
        <f t="shared" si="55"/>
        <v>0.61934036939313986</v>
      </c>
    </row>
    <row r="872" spans="1:14" x14ac:dyDescent="0.3">
      <c r="A872" s="9" t="s">
        <v>970</v>
      </c>
      <c r="B872" s="9" t="s">
        <v>962</v>
      </c>
      <c r="C872" s="9" t="s">
        <v>39</v>
      </c>
      <c r="D872" s="9" t="s">
        <v>15</v>
      </c>
      <c r="E872" s="9">
        <v>2</v>
      </c>
      <c r="F872" s="11">
        <v>64900</v>
      </c>
      <c r="G872" s="9" t="str">
        <f>INDEX(Products!$B$2:$B$9,MATCH(D872,Products!$A$2:$A$9,0))</f>
        <v>Trà lá nam sen ổi</v>
      </c>
      <c r="H872" s="9" t="str">
        <f>INDEX(Products!$C$2:$C$9,MATCH(D872,Products!$A$2:$A$9,0))</f>
        <v>Thanh lọc</v>
      </c>
      <c r="I872" s="11">
        <f>INDEX(Products!$D$2:$D$9,MATCH(D872,Products!$A$2:$A$9,0))</f>
        <v>8500</v>
      </c>
      <c r="J872" s="10">
        <f>IFERROR(INDEX(PlatformFees!$C$2:$C$5,MATCH(C872,PlatformFees!$A$2:$A$5,0)),0)</f>
        <v>0</v>
      </c>
      <c r="K872" s="11">
        <f t="shared" si="52"/>
        <v>17000</v>
      </c>
      <c r="L872" s="11">
        <f t="shared" si="53"/>
        <v>0</v>
      </c>
      <c r="M872" s="11">
        <f t="shared" si="54"/>
        <v>47900</v>
      </c>
      <c r="N872" s="10">
        <f t="shared" si="55"/>
        <v>0.7380585516178737</v>
      </c>
    </row>
    <row r="873" spans="1:14" x14ac:dyDescent="0.3">
      <c r="A873" s="9" t="s">
        <v>971</v>
      </c>
      <c r="B873" s="9" t="s">
        <v>962</v>
      </c>
      <c r="C873" s="9" t="s">
        <v>38</v>
      </c>
      <c r="D873" s="9" t="s">
        <v>17</v>
      </c>
      <c r="E873" s="9">
        <v>1</v>
      </c>
      <c r="F873" s="11">
        <v>41800</v>
      </c>
      <c r="G873" s="9" t="str">
        <f>INDEX(Products!$B$2:$B$9,MATCH(D873,Products!$A$2:$A$9,0))</f>
        <v>Trà diếp cá rau má</v>
      </c>
      <c r="H873" s="9" t="str">
        <f>INDEX(Products!$C$2:$C$9,MATCH(D873,Products!$A$2:$A$9,0))</f>
        <v>Detox</v>
      </c>
      <c r="I873" s="11">
        <f>INDEX(Products!$D$2:$D$9,MATCH(D873,Products!$A$2:$A$9,0))</f>
        <v>10500</v>
      </c>
      <c r="J873" s="10">
        <f>IFERROR(INDEX(PlatformFees!$C$2:$C$5,MATCH(C873,PlatformFees!$A$2:$A$5,0)),0)</f>
        <v>0.16</v>
      </c>
      <c r="K873" s="11">
        <f t="shared" si="52"/>
        <v>10500</v>
      </c>
      <c r="L873" s="11">
        <f t="shared" si="53"/>
        <v>6688</v>
      </c>
      <c r="M873" s="11">
        <f t="shared" si="54"/>
        <v>24612</v>
      </c>
      <c r="N873" s="10">
        <f t="shared" si="55"/>
        <v>0.58880382775119622</v>
      </c>
    </row>
    <row r="874" spans="1:14" x14ac:dyDescent="0.3">
      <c r="A874" s="9" t="s">
        <v>972</v>
      </c>
      <c r="B874" s="9" t="s">
        <v>962</v>
      </c>
      <c r="C874" s="9" t="s">
        <v>39</v>
      </c>
      <c r="D874" s="9" t="s">
        <v>20</v>
      </c>
      <c r="E874" s="9">
        <v>1</v>
      </c>
      <c r="F874" s="11">
        <v>50600</v>
      </c>
      <c r="G874" s="9" t="str">
        <f>INDEX(Products!$B$2:$B$9,MATCH(D874,Products!$A$2:$A$9,0))</f>
        <v>Trà cà leo gai giảm cân</v>
      </c>
      <c r="H874" s="9" t="str">
        <f>INDEX(Products!$C$2:$C$9,MATCH(D874,Products!$A$2:$A$9,0))</f>
        <v>Detox</v>
      </c>
      <c r="I874" s="11">
        <f>INDEX(Products!$D$2:$D$9,MATCH(D874,Products!$A$2:$A$9,0))</f>
        <v>15000</v>
      </c>
      <c r="J874" s="10">
        <f>IFERROR(INDEX(PlatformFees!$C$2:$C$5,MATCH(C874,PlatformFees!$A$2:$A$5,0)),0)</f>
        <v>0</v>
      </c>
      <c r="K874" s="11">
        <f t="shared" si="52"/>
        <v>15000</v>
      </c>
      <c r="L874" s="11">
        <f t="shared" si="53"/>
        <v>0</v>
      </c>
      <c r="M874" s="11">
        <f t="shared" si="54"/>
        <v>35600</v>
      </c>
      <c r="N874" s="10">
        <f t="shared" si="55"/>
        <v>0.70355731225296447</v>
      </c>
    </row>
    <row r="875" spans="1:14" x14ac:dyDescent="0.3">
      <c r="A875" s="9" t="s">
        <v>973</v>
      </c>
      <c r="B875" s="9" t="s">
        <v>962</v>
      </c>
      <c r="C875" s="9" t="s">
        <v>40</v>
      </c>
      <c r="D875" s="9" t="s">
        <v>30</v>
      </c>
      <c r="E875" s="9">
        <v>1</v>
      </c>
      <c r="F875" s="11">
        <v>35300</v>
      </c>
      <c r="G875" s="9" t="str">
        <f>INDEX(Products!$B$2:$B$9,MATCH(D875,Products!$A$2:$A$9,0))</f>
        <v>Trà mâm xôi vitamin</v>
      </c>
      <c r="H875" s="9" t="str">
        <f>INDEX(Products!$C$2:$C$9,MATCH(D875,Products!$A$2:$A$9,0))</f>
        <v>Bổ sung dưỡng chất</v>
      </c>
      <c r="I875" s="11">
        <f>INDEX(Products!$D$2:$D$9,MATCH(D875,Products!$A$2:$A$9,0))</f>
        <v>9800</v>
      </c>
      <c r="J875" s="10">
        <f>IFERROR(INDEX(PlatformFees!$C$2:$C$5,MATCH(C875,PlatformFees!$A$2:$A$5,0)),0)</f>
        <v>0</v>
      </c>
      <c r="K875" s="11">
        <f t="shared" si="52"/>
        <v>9800</v>
      </c>
      <c r="L875" s="11">
        <f t="shared" si="53"/>
        <v>0</v>
      </c>
      <c r="M875" s="11">
        <f t="shared" si="54"/>
        <v>25500</v>
      </c>
      <c r="N875" s="10">
        <f t="shared" si="55"/>
        <v>0.72237960339943341</v>
      </c>
    </row>
    <row r="876" spans="1:14" x14ac:dyDescent="0.3">
      <c r="A876" s="9" t="s">
        <v>974</v>
      </c>
      <c r="B876" s="9" t="s">
        <v>962</v>
      </c>
      <c r="C876" s="9" t="s">
        <v>38</v>
      </c>
      <c r="D876" s="9" t="s">
        <v>17</v>
      </c>
      <c r="E876" s="9">
        <v>3</v>
      </c>
      <c r="F876" s="11">
        <v>117400</v>
      </c>
      <c r="G876" s="9" t="str">
        <f>INDEX(Products!$B$2:$B$9,MATCH(D876,Products!$A$2:$A$9,0))</f>
        <v>Trà diếp cá rau má</v>
      </c>
      <c r="H876" s="9" t="str">
        <f>INDEX(Products!$C$2:$C$9,MATCH(D876,Products!$A$2:$A$9,0))</f>
        <v>Detox</v>
      </c>
      <c r="I876" s="11">
        <f>INDEX(Products!$D$2:$D$9,MATCH(D876,Products!$A$2:$A$9,0))</f>
        <v>10500</v>
      </c>
      <c r="J876" s="10">
        <f>IFERROR(INDEX(PlatformFees!$C$2:$C$5,MATCH(C876,PlatformFees!$A$2:$A$5,0)),0)</f>
        <v>0.16</v>
      </c>
      <c r="K876" s="11">
        <f t="shared" si="52"/>
        <v>31500</v>
      </c>
      <c r="L876" s="11">
        <f t="shared" si="53"/>
        <v>18784</v>
      </c>
      <c r="M876" s="11">
        <f t="shared" si="54"/>
        <v>67116</v>
      </c>
      <c r="N876" s="10">
        <f t="shared" si="55"/>
        <v>0.5716865417376491</v>
      </c>
    </row>
    <row r="877" spans="1:14" x14ac:dyDescent="0.3">
      <c r="A877" s="9" t="s">
        <v>975</v>
      </c>
      <c r="B877" s="9" t="s">
        <v>962</v>
      </c>
      <c r="C877" s="9" t="s">
        <v>36</v>
      </c>
      <c r="D877" s="9" t="s">
        <v>30</v>
      </c>
      <c r="E877" s="9">
        <v>3</v>
      </c>
      <c r="F877" s="11">
        <v>103200</v>
      </c>
      <c r="G877" s="9" t="str">
        <f>INDEX(Products!$B$2:$B$9,MATCH(D877,Products!$A$2:$A$9,0))</f>
        <v>Trà mâm xôi vitamin</v>
      </c>
      <c r="H877" s="9" t="str">
        <f>INDEX(Products!$C$2:$C$9,MATCH(D877,Products!$A$2:$A$9,0))</f>
        <v>Bổ sung dưỡng chất</v>
      </c>
      <c r="I877" s="11">
        <f>INDEX(Products!$D$2:$D$9,MATCH(D877,Products!$A$2:$A$9,0))</f>
        <v>9800</v>
      </c>
      <c r="J877" s="10">
        <f>IFERROR(INDEX(PlatformFees!$C$2:$C$5,MATCH(C877,PlatformFees!$A$2:$A$5,0)),0)</f>
        <v>0.13</v>
      </c>
      <c r="K877" s="11">
        <f t="shared" si="52"/>
        <v>29400</v>
      </c>
      <c r="L877" s="11">
        <f t="shared" si="53"/>
        <v>13416</v>
      </c>
      <c r="M877" s="11">
        <f t="shared" si="54"/>
        <v>60384</v>
      </c>
      <c r="N877" s="10">
        <f t="shared" si="55"/>
        <v>0.58511627906976749</v>
      </c>
    </row>
    <row r="878" spans="1:14" x14ac:dyDescent="0.3">
      <c r="A878" s="9" t="s">
        <v>976</v>
      </c>
      <c r="B878" s="9" t="s">
        <v>962</v>
      </c>
      <c r="C878" s="9" t="s">
        <v>36</v>
      </c>
      <c r="D878" s="9" t="s">
        <v>22</v>
      </c>
      <c r="E878" s="9">
        <v>3</v>
      </c>
      <c r="F878" s="11">
        <v>108600</v>
      </c>
      <c r="G878" s="9" t="str">
        <f>INDEX(Products!$B$2:$B$9,MATCH(D878,Products!$A$2:$A$9,0))</f>
        <v>Trà hoa cúc an thần</v>
      </c>
      <c r="H878" s="9" t="str">
        <f>INDEX(Products!$C$2:$C$9,MATCH(D878,Products!$A$2:$A$9,0))</f>
        <v>An thần</v>
      </c>
      <c r="I878" s="11">
        <f>INDEX(Products!$D$2:$D$9,MATCH(D878,Products!$A$2:$A$9,0))</f>
        <v>9500</v>
      </c>
      <c r="J878" s="10">
        <f>IFERROR(INDEX(PlatformFees!$C$2:$C$5,MATCH(C878,PlatformFees!$A$2:$A$5,0)),0)</f>
        <v>0.13</v>
      </c>
      <c r="K878" s="11">
        <f t="shared" si="52"/>
        <v>28500</v>
      </c>
      <c r="L878" s="11">
        <f t="shared" si="53"/>
        <v>14118</v>
      </c>
      <c r="M878" s="11">
        <f t="shared" si="54"/>
        <v>65982</v>
      </c>
      <c r="N878" s="10">
        <f t="shared" si="55"/>
        <v>0.60756906077348072</v>
      </c>
    </row>
    <row r="879" spans="1:14" x14ac:dyDescent="0.3">
      <c r="A879" s="9" t="s">
        <v>977</v>
      </c>
      <c r="B879" s="9" t="s">
        <v>962</v>
      </c>
      <c r="C879" s="9" t="s">
        <v>36</v>
      </c>
      <c r="D879" s="9" t="s">
        <v>25</v>
      </c>
      <c r="E879" s="9">
        <v>1</v>
      </c>
      <c r="F879" s="11">
        <v>34300</v>
      </c>
      <c r="G879" s="9" t="str">
        <f>INDEX(Products!$B$2:$B$9,MATCH(D879,Products!$A$2:$A$9,0))</f>
        <v>Trà hoa đậu biếc</v>
      </c>
      <c r="H879" s="9" t="str">
        <f>INDEX(Products!$C$2:$C$9,MATCH(D879,Products!$A$2:$A$9,0))</f>
        <v>An thần</v>
      </c>
      <c r="I879" s="11">
        <f>INDEX(Products!$D$2:$D$9,MATCH(D879,Products!$A$2:$A$9,0))</f>
        <v>8800</v>
      </c>
      <c r="J879" s="10">
        <f>IFERROR(INDEX(PlatformFees!$C$2:$C$5,MATCH(C879,PlatformFees!$A$2:$A$5,0)),0)</f>
        <v>0.13</v>
      </c>
      <c r="K879" s="11">
        <f t="shared" si="52"/>
        <v>8800</v>
      </c>
      <c r="L879" s="11">
        <f t="shared" si="53"/>
        <v>4459</v>
      </c>
      <c r="M879" s="11">
        <f t="shared" si="54"/>
        <v>21041</v>
      </c>
      <c r="N879" s="10">
        <f t="shared" si="55"/>
        <v>0.6134402332361516</v>
      </c>
    </row>
    <row r="880" spans="1:14" x14ac:dyDescent="0.3">
      <c r="A880" s="9" t="s">
        <v>978</v>
      </c>
      <c r="B880" s="9" t="s">
        <v>962</v>
      </c>
      <c r="C880" s="9" t="s">
        <v>39</v>
      </c>
      <c r="D880" s="9" t="s">
        <v>25</v>
      </c>
      <c r="E880" s="9">
        <v>3</v>
      </c>
      <c r="F880" s="11">
        <v>97400</v>
      </c>
      <c r="G880" s="9" t="str">
        <f>INDEX(Products!$B$2:$B$9,MATCH(D880,Products!$A$2:$A$9,0))</f>
        <v>Trà hoa đậu biếc</v>
      </c>
      <c r="H880" s="9" t="str">
        <f>INDEX(Products!$C$2:$C$9,MATCH(D880,Products!$A$2:$A$9,0))</f>
        <v>An thần</v>
      </c>
      <c r="I880" s="11">
        <f>INDEX(Products!$D$2:$D$9,MATCH(D880,Products!$A$2:$A$9,0))</f>
        <v>8800</v>
      </c>
      <c r="J880" s="10">
        <f>IFERROR(INDEX(PlatformFees!$C$2:$C$5,MATCH(C880,PlatformFees!$A$2:$A$5,0)),0)</f>
        <v>0</v>
      </c>
      <c r="K880" s="11">
        <f t="shared" si="52"/>
        <v>26400</v>
      </c>
      <c r="L880" s="11">
        <f t="shared" si="53"/>
        <v>0</v>
      </c>
      <c r="M880" s="11">
        <f t="shared" si="54"/>
        <v>71000</v>
      </c>
      <c r="N880" s="10">
        <f t="shared" si="55"/>
        <v>0.72895277207392195</v>
      </c>
    </row>
    <row r="881" spans="1:14" x14ac:dyDescent="0.3">
      <c r="A881" s="9" t="s">
        <v>979</v>
      </c>
      <c r="B881" s="9" t="s">
        <v>980</v>
      </c>
      <c r="C881" s="9" t="s">
        <v>39</v>
      </c>
      <c r="D881" s="9" t="s">
        <v>25</v>
      </c>
      <c r="E881" s="9">
        <v>1</v>
      </c>
      <c r="F881" s="11">
        <v>32300</v>
      </c>
      <c r="G881" s="9" t="str">
        <f>INDEX(Products!$B$2:$B$9,MATCH(D881,Products!$A$2:$A$9,0))</f>
        <v>Trà hoa đậu biếc</v>
      </c>
      <c r="H881" s="9" t="str">
        <f>INDEX(Products!$C$2:$C$9,MATCH(D881,Products!$A$2:$A$9,0))</f>
        <v>An thần</v>
      </c>
      <c r="I881" s="11">
        <f>INDEX(Products!$D$2:$D$9,MATCH(D881,Products!$A$2:$A$9,0))</f>
        <v>8800</v>
      </c>
      <c r="J881" s="10">
        <f>IFERROR(INDEX(PlatformFees!$C$2:$C$5,MATCH(C881,PlatformFees!$A$2:$A$5,0)),0)</f>
        <v>0</v>
      </c>
      <c r="K881" s="11">
        <f t="shared" si="52"/>
        <v>8800</v>
      </c>
      <c r="L881" s="11">
        <f t="shared" si="53"/>
        <v>0</v>
      </c>
      <c r="M881" s="11">
        <f t="shared" si="54"/>
        <v>23500</v>
      </c>
      <c r="N881" s="10">
        <f t="shared" si="55"/>
        <v>0.72755417956656343</v>
      </c>
    </row>
    <row r="882" spans="1:14" x14ac:dyDescent="0.3">
      <c r="A882" s="9" t="s">
        <v>981</v>
      </c>
      <c r="B882" s="9" t="s">
        <v>980</v>
      </c>
      <c r="C882" s="9" t="s">
        <v>36</v>
      </c>
      <c r="D882" s="9" t="s">
        <v>17</v>
      </c>
      <c r="E882" s="9">
        <v>1</v>
      </c>
      <c r="F882" s="11">
        <v>41300</v>
      </c>
      <c r="G882" s="9" t="str">
        <f>INDEX(Products!$B$2:$B$9,MATCH(D882,Products!$A$2:$A$9,0))</f>
        <v>Trà diếp cá rau má</v>
      </c>
      <c r="H882" s="9" t="str">
        <f>INDEX(Products!$C$2:$C$9,MATCH(D882,Products!$A$2:$A$9,0))</f>
        <v>Detox</v>
      </c>
      <c r="I882" s="11">
        <f>INDEX(Products!$D$2:$D$9,MATCH(D882,Products!$A$2:$A$9,0))</f>
        <v>10500</v>
      </c>
      <c r="J882" s="10">
        <f>IFERROR(INDEX(PlatformFees!$C$2:$C$5,MATCH(C882,PlatformFees!$A$2:$A$5,0)),0)</f>
        <v>0.13</v>
      </c>
      <c r="K882" s="11">
        <f t="shared" si="52"/>
        <v>10500</v>
      </c>
      <c r="L882" s="11">
        <f t="shared" si="53"/>
        <v>5369</v>
      </c>
      <c r="M882" s="11">
        <f t="shared" si="54"/>
        <v>25431</v>
      </c>
      <c r="N882" s="10">
        <f t="shared" si="55"/>
        <v>0.61576271186440679</v>
      </c>
    </row>
    <row r="883" spans="1:14" x14ac:dyDescent="0.3">
      <c r="A883" s="9" t="s">
        <v>982</v>
      </c>
      <c r="B883" s="9" t="s">
        <v>980</v>
      </c>
      <c r="C883" s="9" t="s">
        <v>40</v>
      </c>
      <c r="D883" s="9" t="s">
        <v>27</v>
      </c>
      <c r="E883" s="9">
        <v>1</v>
      </c>
      <c r="F883" s="11">
        <v>40000</v>
      </c>
      <c r="G883" s="9" t="str">
        <f>INDEX(Products!$B$2:$B$9,MATCH(D883,Products!$A$2:$A$9,0))</f>
        <v>Trà gừng mật ong</v>
      </c>
      <c r="H883" s="9" t="str">
        <f>INDEX(Products!$C$2:$C$9,MATCH(D883,Products!$A$2:$A$9,0))</f>
        <v>Giữ ấm</v>
      </c>
      <c r="I883" s="11">
        <f>INDEX(Products!$D$2:$D$9,MATCH(D883,Products!$A$2:$A$9,0))</f>
        <v>11000</v>
      </c>
      <c r="J883" s="10">
        <f>IFERROR(INDEX(PlatformFees!$C$2:$C$5,MATCH(C883,PlatformFees!$A$2:$A$5,0)),0)</f>
        <v>0</v>
      </c>
      <c r="K883" s="11">
        <f t="shared" si="52"/>
        <v>11000</v>
      </c>
      <c r="L883" s="11">
        <f t="shared" si="53"/>
        <v>0</v>
      </c>
      <c r="M883" s="11">
        <f t="shared" si="54"/>
        <v>29000</v>
      </c>
      <c r="N883" s="10">
        <f t="shared" si="55"/>
        <v>0.72499999999999998</v>
      </c>
    </row>
    <row r="884" spans="1:14" x14ac:dyDescent="0.3">
      <c r="A884" s="9" t="s">
        <v>983</v>
      </c>
      <c r="B884" s="9" t="s">
        <v>980</v>
      </c>
      <c r="C884" s="9" t="s">
        <v>36</v>
      </c>
      <c r="D884" s="9" t="s">
        <v>20</v>
      </c>
      <c r="E884" s="9">
        <v>2</v>
      </c>
      <c r="F884" s="11">
        <v>112200</v>
      </c>
      <c r="G884" s="9" t="str">
        <f>INDEX(Products!$B$2:$B$9,MATCH(D884,Products!$A$2:$A$9,0))</f>
        <v>Trà cà leo gai giảm cân</v>
      </c>
      <c r="H884" s="9" t="str">
        <f>INDEX(Products!$C$2:$C$9,MATCH(D884,Products!$A$2:$A$9,0))</f>
        <v>Detox</v>
      </c>
      <c r="I884" s="11">
        <f>INDEX(Products!$D$2:$D$9,MATCH(D884,Products!$A$2:$A$9,0))</f>
        <v>15000</v>
      </c>
      <c r="J884" s="10">
        <f>IFERROR(INDEX(PlatformFees!$C$2:$C$5,MATCH(C884,PlatformFees!$A$2:$A$5,0)),0)</f>
        <v>0.13</v>
      </c>
      <c r="K884" s="11">
        <f t="shared" si="52"/>
        <v>30000</v>
      </c>
      <c r="L884" s="11">
        <f t="shared" si="53"/>
        <v>14586</v>
      </c>
      <c r="M884" s="11">
        <f t="shared" si="54"/>
        <v>67614</v>
      </c>
      <c r="N884" s="10">
        <f t="shared" si="55"/>
        <v>0.60262032085561501</v>
      </c>
    </row>
    <row r="885" spans="1:14" x14ac:dyDescent="0.3">
      <c r="A885" s="9" t="s">
        <v>984</v>
      </c>
      <c r="B885" s="9" t="s">
        <v>980</v>
      </c>
      <c r="C885" s="9" t="s">
        <v>38</v>
      </c>
      <c r="D885" s="9" t="s">
        <v>20</v>
      </c>
      <c r="E885" s="9">
        <v>1</v>
      </c>
      <c r="F885" s="11">
        <v>55700</v>
      </c>
      <c r="G885" s="9" t="str">
        <f>INDEX(Products!$B$2:$B$9,MATCH(D885,Products!$A$2:$A$9,0))</f>
        <v>Trà cà leo gai giảm cân</v>
      </c>
      <c r="H885" s="9" t="str">
        <f>INDEX(Products!$C$2:$C$9,MATCH(D885,Products!$A$2:$A$9,0))</f>
        <v>Detox</v>
      </c>
      <c r="I885" s="11">
        <f>INDEX(Products!$D$2:$D$9,MATCH(D885,Products!$A$2:$A$9,0))</f>
        <v>15000</v>
      </c>
      <c r="J885" s="10">
        <f>IFERROR(INDEX(PlatformFees!$C$2:$C$5,MATCH(C885,PlatformFees!$A$2:$A$5,0)),0)</f>
        <v>0.16</v>
      </c>
      <c r="K885" s="11">
        <f t="shared" si="52"/>
        <v>15000</v>
      </c>
      <c r="L885" s="11">
        <f t="shared" si="53"/>
        <v>8912</v>
      </c>
      <c r="M885" s="11">
        <f t="shared" si="54"/>
        <v>31788</v>
      </c>
      <c r="N885" s="10">
        <f t="shared" si="55"/>
        <v>0.57070017953321361</v>
      </c>
    </row>
    <row r="886" spans="1:14" x14ac:dyDescent="0.3">
      <c r="A886" s="9" t="s">
        <v>985</v>
      </c>
      <c r="B886" s="9" t="s">
        <v>980</v>
      </c>
      <c r="C886" s="9" t="s">
        <v>39</v>
      </c>
      <c r="D886" s="9" t="s">
        <v>15</v>
      </c>
      <c r="E886" s="9">
        <v>1</v>
      </c>
      <c r="F886" s="11">
        <v>31100</v>
      </c>
      <c r="G886" s="9" t="str">
        <f>INDEX(Products!$B$2:$B$9,MATCH(D886,Products!$A$2:$A$9,0))</f>
        <v>Trà lá nam sen ổi</v>
      </c>
      <c r="H886" s="9" t="str">
        <f>INDEX(Products!$C$2:$C$9,MATCH(D886,Products!$A$2:$A$9,0))</f>
        <v>Thanh lọc</v>
      </c>
      <c r="I886" s="11">
        <f>INDEX(Products!$D$2:$D$9,MATCH(D886,Products!$A$2:$A$9,0))</f>
        <v>8500</v>
      </c>
      <c r="J886" s="10">
        <f>IFERROR(INDEX(PlatformFees!$C$2:$C$5,MATCH(C886,PlatformFees!$A$2:$A$5,0)),0)</f>
        <v>0</v>
      </c>
      <c r="K886" s="11">
        <f t="shared" si="52"/>
        <v>8500</v>
      </c>
      <c r="L886" s="11">
        <f t="shared" si="53"/>
        <v>0</v>
      </c>
      <c r="M886" s="11">
        <f t="shared" si="54"/>
        <v>22600</v>
      </c>
      <c r="N886" s="10">
        <f t="shared" si="55"/>
        <v>0.72668810289389063</v>
      </c>
    </row>
    <row r="887" spans="1:14" x14ac:dyDescent="0.3">
      <c r="A887" s="9" t="s">
        <v>986</v>
      </c>
      <c r="B887" s="9" t="s">
        <v>980</v>
      </c>
      <c r="C887" s="9" t="s">
        <v>39</v>
      </c>
      <c r="D887" s="9" t="s">
        <v>27</v>
      </c>
      <c r="E887" s="9">
        <v>2</v>
      </c>
      <c r="F887" s="11">
        <v>80300</v>
      </c>
      <c r="G887" s="9" t="str">
        <f>INDEX(Products!$B$2:$B$9,MATCH(D887,Products!$A$2:$A$9,0))</f>
        <v>Trà gừng mật ong</v>
      </c>
      <c r="H887" s="9" t="str">
        <f>INDEX(Products!$C$2:$C$9,MATCH(D887,Products!$A$2:$A$9,0))</f>
        <v>Giữ ấm</v>
      </c>
      <c r="I887" s="11">
        <f>INDEX(Products!$D$2:$D$9,MATCH(D887,Products!$A$2:$A$9,0))</f>
        <v>11000</v>
      </c>
      <c r="J887" s="10">
        <f>IFERROR(INDEX(PlatformFees!$C$2:$C$5,MATCH(C887,PlatformFees!$A$2:$A$5,0)),0)</f>
        <v>0</v>
      </c>
      <c r="K887" s="11">
        <f t="shared" si="52"/>
        <v>22000</v>
      </c>
      <c r="L887" s="11">
        <f t="shared" si="53"/>
        <v>0</v>
      </c>
      <c r="M887" s="11">
        <f t="shared" si="54"/>
        <v>58300</v>
      </c>
      <c r="N887" s="10">
        <f t="shared" si="55"/>
        <v>0.72602739726027399</v>
      </c>
    </row>
    <row r="888" spans="1:14" x14ac:dyDescent="0.3">
      <c r="A888" s="9" t="s">
        <v>987</v>
      </c>
      <c r="B888" s="9" t="s">
        <v>980</v>
      </c>
      <c r="C888" s="9" t="s">
        <v>36</v>
      </c>
      <c r="D888" s="9" t="s">
        <v>22</v>
      </c>
      <c r="E888" s="9">
        <v>1</v>
      </c>
      <c r="F888" s="11">
        <v>37700</v>
      </c>
      <c r="G888" s="9" t="str">
        <f>INDEX(Products!$B$2:$B$9,MATCH(D888,Products!$A$2:$A$9,0))</f>
        <v>Trà hoa cúc an thần</v>
      </c>
      <c r="H888" s="9" t="str">
        <f>INDEX(Products!$C$2:$C$9,MATCH(D888,Products!$A$2:$A$9,0))</f>
        <v>An thần</v>
      </c>
      <c r="I888" s="11">
        <f>INDEX(Products!$D$2:$D$9,MATCH(D888,Products!$A$2:$A$9,0))</f>
        <v>9500</v>
      </c>
      <c r="J888" s="10">
        <f>IFERROR(INDEX(PlatformFees!$C$2:$C$5,MATCH(C888,PlatformFees!$A$2:$A$5,0)),0)</f>
        <v>0.13</v>
      </c>
      <c r="K888" s="11">
        <f t="shared" si="52"/>
        <v>9500</v>
      </c>
      <c r="L888" s="11">
        <f t="shared" si="53"/>
        <v>4901</v>
      </c>
      <c r="M888" s="11">
        <f t="shared" si="54"/>
        <v>23299</v>
      </c>
      <c r="N888" s="10">
        <f t="shared" si="55"/>
        <v>0.61801061007957558</v>
      </c>
    </row>
    <row r="889" spans="1:14" x14ac:dyDescent="0.3">
      <c r="A889" s="9" t="s">
        <v>988</v>
      </c>
      <c r="B889" s="9" t="s">
        <v>980</v>
      </c>
      <c r="C889" s="9" t="s">
        <v>36</v>
      </c>
      <c r="D889" s="9" t="s">
        <v>17</v>
      </c>
      <c r="E889" s="9">
        <v>1</v>
      </c>
      <c r="F889" s="11">
        <v>40600</v>
      </c>
      <c r="G889" s="9" t="str">
        <f>INDEX(Products!$B$2:$B$9,MATCH(D889,Products!$A$2:$A$9,0))</f>
        <v>Trà diếp cá rau má</v>
      </c>
      <c r="H889" s="9" t="str">
        <f>INDEX(Products!$C$2:$C$9,MATCH(D889,Products!$A$2:$A$9,0))</f>
        <v>Detox</v>
      </c>
      <c r="I889" s="11">
        <f>INDEX(Products!$D$2:$D$9,MATCH(D889,Products!$A$2:$A$9,0))</f>
        <v>10500</v>
      </c>
      <c r="J889" s="10">
        <f>IFERROR(INDEX(PlatformFees!$C$2:$C$5,MATCH(C889,PlatformFees!$A$2:$A$5,0)),0)</f>
        <v>0.13</v>
      </c>
      <c r="K889" s="11">
        <f t="shared" si="52"/>
        <v>10500</v>
      </c>
      <c r="L889" s="11">
        <f t="shared" si="53"/>
        <v>5278</v>
      </c>
      <c r="M889" s="11">
        <f t="shared" si="54"/>
        <v>24822</v>
      </c>
      <c r="N889" s="10">
        <f t="shared" si="55"/>
        <v>0.61137931034482762</v>
      </c>
    </row>
    <row r="890" spans="1:14" x14ac:dyDescent="0.3">
      <c r="A890" s="9" t="s">
        <v>989</v>
      </c>
      <c r="B890" s="9" t="s">
        <v>980</v>
      </c>
      <c r="C890" s="9" t="s">
        <v>39</v>
      </c>
      <c r="D890" s="9" t="s">
        <v>20</v>
      </c>
      <c r="E890" s="9">
        <v>2</v>
      </c>
      <c r="F890" s="11">
        <v>104800</v>
      </c>
      <c r="G890" s="9" t="str">
        <f>INDEX(Products!$B$2:$B$9,MATCH(D890,Products!$A$2:$A$9,0))</f>
        <v>Trà cà leo gai giảm cân</v>
      </c>
      <c r="H890" s="9" t="str">
        <f>INDEX(Products!$C$2:$C$9,MATCH(D890,Products!$A$2:$A$9,0))</f>
        <v>Detox</v>
      </c>
      <c r="I890" s="11">
        <f>INDEX(Products!$D$2:$D$9,MATCH(D890,Products!$A$2:$A$9,0))</f>
        <v>15000</v>
      </c>
      <c r="J890" s="10">
        <f>IFERROR(INDEX(PlatformFees!$C$2:$C$5,MATCH(C890,PlatformFees!$A$2:$A$5,0)),0)</f>
        <v>0</v>
      </c>
      <c r="K890" s="11">
        <f t="shared" si="52"/>
        <v>30000</v>
      </c>
      <c r="L890" s="11">
        <f t="shared" si="53"/>
        <v>0</v>
      </c>
      <c r="M890" s="11">
        <f t="shared" si="54"/>
        <v>74800</v>
      </c>
      <c r="N890" s="10">
        <f t="shared" si="55"/>
        <v>0.7137404580152672</v>
      </c>
    </row>
    <row r="891" spans="1:14" x14ac:dyDescent="0.3">
      <c r="A891" s="9" t="s">
        <v>990</v>
      </c>
      <c r="B891" s="9" t="s">
        <v>980</v>
      </c>
      <c r="C891" s="9" t="s">
        <v>39</v>
      </c>
      <c r="D891" s="9" t="s">
        <v>22</v>
      </c>
      <c r="E891" s="9">
        <v>3</v>
      </c>
      <c r="F891" s="11">
        <v>112200</v>
      </c>
      <c r="G891" s="9" t="str">
        <f>INDEX(Products!$B$2:$B$9,MATCH(D891,Products!$A$2:$A$9,0))</f>
        <v>Trà hoa cúc an thần</v>
      </c>
      <c r="H891" s="9" t="str">
        <f>INDEX(Products!$C$2:$C$9,MATCH(D891,Products!$A$2:$A$9,0))</f>
        <v>An thần</v>
      </c>
      <c r="I891" s="11">
        <f>INDEX(Products!$D$2:$D$9,MATCH(D891,Products!$A$2:$A$9,0))</f>
        <v>9500</v>
      </c>
      <c r="J891" s="10">
        <f>IFERROR(INDEX(PlatformFees!$C$2:$C$5,MATCH(C891,PlatformFees!$A$2:$A$5,0)),0)</f>
        <v>0</v>
      </c>
      <c r="K891" s="11">
        <f t="shared" si="52"/>
        <v>28500</v>
      </c>
      <c r="L891" s="11">
        <f t="shared" si="53"/>
        <v>0</v>
      </c>
      <c r="M891" s="11">
        <f t="shared" si="54"/>
        <v>83700</v>
      </c>
      <c r="N891" s="10">
        <f t="shared" si="55"/>
        <v>0.74598930481283421</v>
      </c>
    </row>
    <row r="892" spans="1:14" x14ac:dyDescent="0.3">
      <c r="A892" s="9" t="s">
        <v>991</v>
      </c>
      <c r="B892" s="9" t="s">
        <v>980</v>
      </c>
      <c r="C892" s="9" t="s">
        <v>40</v>
      </c>
      <c r="D892" s="9" t="s">
        <v>12</v>
      </c>
      <c r="E892" s="9">
        <v>1</v>
      </c>
      <c r="F892" s="11">
        <v>34100</v>
      </c>
      <c r="G892" s="9" t="str">
        <f>INDEX(Products!$B$2:$B$9,MATCH(D892,Products!$A$2:$A$9,0))</f>
        <v>Trà atiso thanh lọc</v>
      </c>
      <c r="H892" s="9" t="str">
        <f>INDEX(Products!$C$2:$C$9,MATCH(D892,Products!$A$2:$A$9,0))</f>
        <v>Thanh lọc</v>
      </c>
      <c r="I892" s="11">
        <f>INDEX(Products!$D$2:$D$9,MATCH(D892,Products!$A$2:$A$9,0))</f>
        <v>9000</v>
      </c>
      <c r="J892" s="10">
        <f>IFERROR(INDEX(PlatformFees!$C$2:$C$5,MATCH(C892,PlatformFees!$A$2:$A$5,0)),0)</f>
        <v>0</v>
      </c>
      <c r="K892" s="11">
        <f t="shared" si="52"/>
        <v>9000</v>
      </c>
      <c r="L892" s="11">
        <f t="shared" si="53"/>
        <v>0</v>
      </c>
      <c r="M892" s="11">
        <f t="shared" si="54"/>
        <v>25100</v>
      </c>
      <c r="N892" s="10">
        <f t="shared" si="55"/>
        <v>0.73607038123167157</v>
      </c>
    </row>
    <row r="893" spans="1:14" x14ac:dyDescent="0.3">
      <c r="A893" s="9" t="s">
        <v>992</v>
      </c>
      <c r="B893" s="9" t="s">
        <v>993</v>
      </c>
      <c r="C893" s="9" t="s">
        <v>36</v>
      </c>
      <c r="D893" s="9" t="s">
        <v>17</v>
      </c>
      <c r="E893" s="9">
        <v>1</v>
      </c>
      <c r="F893" s="11">
        <v>42700</v>
      </c>
      <c r="G893" s="9" t="str">
        <f>INDEX(Products!$B$2:$B$9,MATCH(D893,Products!$A$2:$A$9,0))</f>
        <v>Trà diếp cá rau má</v>
      </c>
      <c r="H893" s="9" t="str">
        <f>INDEX(Products!$C$2:$C$9,MATCH(D893,Products!$A$2:$A$9,0))</f>
        <v>Detox</v>
      </c>
      <c r="I893" s="11">
        <f>INDEX(Products!$D$2:$D$9,MATCH(D893,Products!$A$2:$A$9,0))</f>
        <v>10500</v>
      </c>
      <c r="J893" s="10">
        <f>IFERROR(INDEX(PlatformFees!$C$2:$C$5,MATCH(C893,PlatformFees!$A$2:$A$5,0)),0)</f>
        <v>0.13</v>
      </c>
      <c r="K893" s="11">
        <f t="shared" si="52"/>
        <v>10500</v>
      </c>
      <c r="L893" s="11">
        <f t="shared" si="53"/>
        <v>5551</v>
      </c>
      <c r="M893" s="11">
        <f t="shared" si="54"/>
        <v>26649</v>
      </c>
      <c r="N893" s="10">
        <f t="shared" si="55"/>
        <v>0.62409836065573765</v>
      </c>
    </row>
    <row r="894" spans="1:14" x14ac:dyDescent="0.3">
      <c r="A894" s="9" t="s">
        <v>994</v>
      </c>
      <c r="B894" s="9" t="s">
        <v>993</v>
      </c>
      <c r="C894" s="9" t="s">
        <v>36</v>
      </c>
      <c r="D894" s="9" t="s">
        <v>30</v>
      </c>
      <c r="E894" s="9">
        <v>1</v>
      </c>
      <c r="F894" s="11">
        <v>34700</v>
      </c>
      <c r="G894" s="9" t="str">
        <f>INDEX(Products!$B$2:$B$9,MATCH(D894,Products!$A$2:$A$9,0))</f>
        <v>Trà mâm xôi vitamin</v>
      </c>
      <c r="H894" s="9" t="str">
        <f>INDEX(Products!$C$2:$C$9,MATCH(D894,Products!$A$2:$A$9,0))</f>
        <v>Bổ sung dưỡng chất</v>
      </c>
      <c r="I894" s="11">
        <f>INDEX(Products!$D$2:$D$9,MATCH(D894,Products!$A$2:$A$9,0))</f>
        <v>9800</v>
      </c>
      <c r="J894" s="10">
        <f>IFERROR(INDEX(PlatformFees!$C$2:$C$5,MATCH(C894,PlatformFees!$A$2:$A$5,0)),0)</f>
        <v>0.13</v>
      </c>
      <c r="K894" s="11">
        <f t="shared" si="52"/>
        <v>9800</v>
      </c>
      <c r="L894" s="11">
        <f t="shared" si="53"/>
        <v>4511</v>
      </c>
      <c r="M894" s="11">
        <f t="shared" si="54"/>
        <v>20389</v>
      </c>
      <c r="N894" s="10">
        <f t="shared" si="55"/>
        <v>0.58757925072046113</v>
      </c>
    </row>
    <row r="895" spans="1:14" x14ac:dyDescent="0.3">
      <c r="A895" s="9" t="s">
        <v>995</v>
      </c>
      <c r="B895" s="9" t="s">
        <v>993</v>
      </c>
      <c r="C895" s="9" t="s">
        <v>38</v>
      </c>
      <c r="D895" s="9" t="s">
        <v>30</v>
      </c>
      <c r="E895" s="9">
        <v>2</v>
      </c>
      <c r="F895" s="11">
        <v>67400</v>
      </c>
      <c r="G895" s="9" t="str">
        <f>INDEX(Products!$B$2:$B$9,MATCH(D895,Products!$A$2:$A$9,0))</f>
        <v>Trà mâm xôi vitamin</v>
      </c>
      <c r="H895" s="9" t="str">
        <f>INDEX(Products!$C$2:$C$9,MATCH(D895,Products!$A$2:$A$9,0))</f>
        <v>Bổ sung dưỡng chất</v>
      </c>
      <c r="I895" s="11">
        <f>INDEX(Products!$D$2:$D$9,MATCH(D895,Products!$A$2:$A$9,0))</f>
        <v>9800</v>
      </c>
      <c r="J895" s="10">
        <f>IFERROR(INDEX(PlatformFees!$C$2:$C$5,MATCH(C895,PlatformFees!$A$2:$A$5,0)),0)</f>
        <v>0.16</v>
      </c>
      <c r="K895" s="11">
        <f t="shared" si="52"/>
        <v>19600</v>
      </c>
      <c r="L895" s="11">
        <f t="shared" si="53"/>
        <v>10784</v>
      </c>
      <c r="M895" s="11">
        <f t="shared" si="54"/>
        <v>37016</v>
      </c>
      <c r="N895" s="10">
        <f t="shared" si="55"/>
        <v>0.54919881305637985</v>
      </c>
    </row>
    <row r="896" spans="1:14" x14ac:dyDescent="0.3">
      <c r="A896" s="9" t="s">
        <v>996</v>
      </c>
      <c r="B896" s="9" t="s">
        <v>993</v>
      </c>
      <c r="C896" s="9" t="s">
        <v>39</v>
      </c>
      <c r="D896" s="9" t="s">
        <v>15</v>
      </c>
      <c r="E896" s="9">
        <v>1</v>
      </c>
      <c r="F896" s="11">
        <v>31200</v>
      </c>
      <c r="G896" s="9" t="str">
        <f>INDEX(Products!$B$2:$B$9,MATCH(D896,Products!$A$2:$A$9,0))</f>
        <v>Trà lá nam sen ổi</v>
      </c>
      <c r="H896" s="9" t="str">
        <f>INDEX(Products!$C$2:$C$9,MATCH(D896,Products!$A$2:$A$9,0))</f>
        <v>Thanh lọc</v>
      </c>
      <c r="I896" s="11">
        <f>INDEX(Products!$D$2:$D$9,MATCH(D896,Products!$A$2:$A$9,0))</f>
        <v>8500</v>
      </c>
      <c r="J896" s="10">
        <f>IFERROR(INDEX(PlatformFees!$C$2:$C$5,MATCH(C896,PlatformFees!$A$2:$A$5,0)),0)</f>
        <v>0</v>
      </c>
      <c r="K896" s="11">
        <f t="shared" si="52"/>
        <v>8500</v>
      </c>
      <c r="L896" s="11">
        <f t="shared" si="53"/>
        <v>0</v>
      </c>
      <c r="M896" s="11">
        <f t="shared" si="54"/>
        <v>22700</v>
      </c>
      <c r="N896" s="10">
        <f t="shared" si="55"/>
        <v>0.72756410256410253</v>
      </c>
    </row>
    <row r="897" spans="1:14" x14ac:dyDescent="0.3">
      <c r="A897" s="9" t="s">
        <v>997</v>
      </c>
      <c r="B897" s="9" t="s">
        <v>993</v>
      </c>
      <c r="C897" s="9" t="s">
        <v>38</v>
      </c>
      <c r="D897" s="9" t="s">
        <v>15</v>
      </c>
      <c r="E897" s="9">
        <v>3</v>
      </c>
      <c r="F897" s="11">
        <v>88900</v>
      </c>
      <c r="G897" s="9" t="str">
        <f>INDEX(Products!$B$2:$B$9,MATCH(D897,Products!$A$2:$A$9,0))</f>
        <v>Trà lá nam sen ổi</v>
      </c>
      <c r="H897" s="9" t="str">
        <f>INDEX(Products!$C$2:$C$9,MATCH(D897,Products!$A$2:$A$9,0))</f>
        <v>Thanh lọc</v>
      </c>
      <c r="I897" s="11">
        <f>INDEX(Products!$D$2:$D$9,MATCH(D897,Products!$A$2:$A$9,0))</f>
        <v>8500</v>
      </c>
      <c r="J897" s="10">
        <f>IFERROR(INDEX(PlatformFees!$C$2:$C$5,MATCH(C897,PlatformFees!$A$2:$A$5,0)),0)</f>
        <v>0.16</v>
      </c>
      <c r="K897" s="11">
        <f t="shared" si="52"/>
        <v>25500</v>
      </c>
      <c r="L897" s="11">
        <f t="shared" si="53"/>
        <v>14224</v>
      </c>
      <c r="M897" s="11">
        <f t="shared" si="54"/>
        <v>49176</v>
      </c>
      <c r="N897" s="10">
        <f t="shared" si="55"/>
        <v>0.55316085489313838</v>
      </c>
    </row>
    <row r="898" spans="1:14" x14ac:dyDescent="0.3">
      <c r="A898" s="9" t="s">
        <v>998</v>
      </c>
      <c r="B898" s="9" t="s">
        <v>993</v>
      </c>
      <c r="C898" s="9" t="s">
        <v>38</v>
      </c>
      <c r="D898" s="9" t="s">
        <v>17</v>
      </c>
      <c r="E898" s="9">
        <v>1</v>
      </c>
      <c r="F898" s="11">
        <v>41300</v>
      </c>
      <c r="G898" s="9" t="str">
        <f>INDEX(Products!$B$2:$B$9,MATCH(D898,Products!$A$2:$A$9,0))</f>
        <v>Trà diếp cá rau má</v>
      </c>
      <c r="H898" s="9" t="str">
        <f>INDEX(Products!$C$2:$C$9,MATCH(D898,Products!$A$2:$A$9,0))</f>
        <v>Detox</v>
      </c>
      <c r="I898" s="11">
        <f>INDEX(Products!$D$2:$D$9,MATCH(D898,Products!$A$2:$A$9,0))</f>
        <v>10500</v>
      </c>
      <c r="J898" s="10">
        <f>IFERROR(INDEX(PlatformFees!$C$2:$C$5,MATCH(C898,PlatformFees!$A$2:$A$5,0)),0)</f>
        <v>0.16</v>
      </c>
      <c r="K898" s="11">
        <f t="shared" ref="K898:K961" si="56">E898*I898</f>
        <v>10500</v>
      </c>
      <c r="L898" s="11">
        <f t="shared" ref="L898:L961" si="57">F898*J898</f>
        <v>6608</v>
      </c>
      <c r="M898" s="11">
        <f t="shared" ref="M898:M961" si="58">F898-L898-K898</f>
        <v>24192</v>
      </c>
      <c r="N898" s="10">
        <f t="shared" ref="N898:N961" si="59">IFERROR(M898/F898,0)</f>
        <v>0.58576271186440676</v>
      </c>
    </row>
    <row r="899" spans="1:14" x14ac:dyDescent="0.3">
      <c r="A899" s="9" t="s">
        <v>999</v>
      </c>
      <c r="B899" s="9" t="s">
        <v>993</v>
      </c>
      <c r="C899" s="9" t="s">
        <v>36</v>
      </c>
      <c r="D899" s="9" t="s">
        <v>25</v>
      </c>
      <c r="E899" s="9">
        <v>1</v>
      </c>
      <c r="F899" s="11">
        <v>31800</v>
      </c>
      <c r="G899" s="9" t="str">
        <f>INDEX(Products!$B$2:$B$9,MATCH(D899,Products!$A$2:$A$9,0))</f>
        <v>Trà hoa đậu biếc</v>
      </c>
      <c r="H899" s="9" t="str">
        <f>INDEX(Products!$C$2:$C$9,MATCH(D899,Products!$A$2:$A$9,0))</f>
        <v>An thần</v>
      </c>
      <c r="I899" s="11">
        <f>INDEX(Products!$D$2:$D$9,MATCH(D899,Products!$A$2:$A$9,0))</f>
        <v>8800</v>
      </c>
      <c r="J899" s="10">
        <f>IFERROR(INDEX(PlatformFees!$C$2:$C$5,MATCH(C899,PlatformFees!$A$2:$A$5,0)),0)</f>
        <v>0.13</v>
      </c>
      <c r="K899" s="11">
        <f t="shared" si="56"/>
        <v>8800</v>
      </c>
      <c r="L899" s="11">
        <f t="shared" si="57"/>
        <v>4134</v>
      </c>
      <c r="M899" s="11">
        <f t="shared" si="58"/>
        <v>18866</v>
      </c>
      <c r="N899" s="10">
        <f t="shared" si="59"/>
        <v>0.59327044025157227</v>
      </c>
    </row>
    <row r="900" spans="1:14" x14ac:dyDescent="0.3">
      <c r="A900" s="9" t="s">
        <v>1000</v>
      </c>
      <c r="B900" s="9" t="s">
        <v>993</v>
      </c>
      <c r="C900" s="9" t="s">
        <v>36</v>
      </c>
      <c r="D900" s="9" t="s">
        <v>20</v>
      </c>
      <c r="E900" s="9">
        <v>2</v>
      </c>
      <c r="F900" s="11">
        <v>112900</v>
      </c>
      <c r="G900" s="9" t="str">
        <f>INDEX(Products!$B$2:$B$9,MATCH(D900,Products!$A$2:$A$9,0))</f>
        <v>Trà cà leo gai giảm cân</v>
      </c>
      <c r="H900" s="9" t="str">
        <f>INDEX(Products!$C$2:$C$9,MATCH(D900,Products!$A$2:$A$9,0))</f>
        <v>Detox</v>
      </c>
      <c r="I900" s="11">
        <f>INDEX(Products!$D$2:$D$9,MATCH(D900,Products!$A$2:$A$9,0))</f>
        <v>15000</v>
      </c>
      <c r="J900" s="10">
        <f>IFERROR(INDEX(PlatformFees!$C$2:$C$5,MATCH(C900,PlatformFees!$A$2:$A$5,0)),0)</f>
        <v>0.13</v>
      </c>
      <c r="K900" s="11">
        <f t="shared" si="56"/>
        <v>30000</v>
      </c>
      <c r="L900" s="11">
        <f t="shared" si="57"/>
        <v>14677</v>
      </c>
      <c r="M900" s="11">
        <f t="shared" si="58"/>
        <v>68223</v>
      </c>
      <c r="N900" s="10">
        <f t="shared" si="59"/>
        <v>0.60427812223206379</v>
      </c>
    </row>
    <row r="901" spans="1:14" x14ac:dyDescent="0.3">
      <c r="A901" s="9" t="s">
        <v>1001</v>
      </c>
      <c r="B901" s="9" t="s">
        <v>993</v>
      </c>
      <c r="C901" s="9" t="s">
        <v>36</v>
      </c>
      <c r="D901" s="9" t="s">
        <v>12</v>
      </c>
      <c r="E901" s="9">
        <v>1</v>
      </c>
      <c r="F901" s="11">
        <v>35000</v>
      </c>
      <c r="G901" s="9" t="str">
        <f>INDEX(Products!$B$2:$B$9,MATCH(D901,Products!$A$2:$A$9,0))</f>
        <v>Trà atiso thanh lọc</v>
      </c>
      <c r="H901" s="9" t="str">
        <f>INDEX(Products!$C$2:$C$9,MATCH(D901,Products!$A$2:$A$9,0))</f>
        <v>Thanh lọc</v>
      </c>
      <c r="I901" s="11">
        <f>INDEX(Products!$D$2:$D$9,MATCH(D901,Products!$A$2:$A$9,0))</f>
        <v>9000</v>
      </c>
      <c r="J901" s="10">
        <f>IFERROR(INDEX(PlatformFees!$C$2:$C$5,MATCH(C901,PlatformFees!$A$2:$A$5,0)),0)</f>
        <v>0.13</v>
      </c>
      <c r="K901" s="11">
        <f t="shared" si="56"/>
        <v>9000</v>
      </c>
      <c r="L901" s="11">
        <f t="shared" si="57"/>
        <v>4550</v>
      </c>
      <c r="M901" s="11">
        <f t="shared" si="58"/>
        <v>21450</v>
      </c>
      <c r="N901" s="10">
        <f t="shared" si="59"/>
        <v>0.61285714285714288</v>
      </c>
    </row>
    <row r="902" spans="1:14" x14ac:dyDescent="0.3">
      <c r="A902" s="9" t="s">
        <v>1002</v>
      </c>
      <c r="B902" s="9" t="s">
        <v>993</v>
      </c>
      <c r="C902" s="9" t="s">
        <v>40</v>
      </c>
      <c r="D902" s="9" t="s">
        <v>30</v>
      </c>
      <c r="E902" s="9">
        <v>2</v>
      </c>
      <c r="F902" s="11">
        <v>67700</v>
      </c>
      <c r="G902" s="9" t="str">
        <f>INDEX(Products!$B$2:$B$9,MATCH(D902,Products!$A$2:$A$9,0))</f>
        <v>Trà mâm xôi vitamin</v>
      </c>
      <c r="H902" s="9" t="str">
        <f>INDEX(Products!$C$2:$C$9,MATCH(D902,Products!$A$2:$A$9,0))</f>
        <v>Bổ sung dưỡng chất</v>
      </c>
      <c r="I902" s="11">
        <f>INDEX(Products!$D$2:$D$9,MATCH(D902,Products!$A$2:$A$9,0))</f>
        <v>9800</v>
      </c>
      <c r="J902" s="10">
        <f>IFERROR(INDEX(PlatformFees!$C$2:$C$5,MATCH(C902,PlatformFees!$A$2:$A$5,0)),0)</f>
        <v>0</v>
      </c>
      <c r="K902" s="11">
        <f t="shared" si="56"/>
        <v>19600</v>
      </c>
      <c r="L902" s="11">
        <f t="shared" si="57"/>
        <v>0</v>
      </c>
      <c r="M902" s="11">
        <f t="shared" si="58"/>
        <v>48100</v>
      </c>
      <c r="N902" s="10">
        <f t="shared" si="59"/>
        <v>0.71048744460856716</v>
      </c>
    </row>
    <row r="903" spans="1:14" x14ac:dyDescent="0.3">
      <c r="A903" s="9" t="s">
        <v>1003</v>
      </c>
      <c r="B903" s="9" t="s">
        <v>993</v>
      </c>
      <c r="C903" s="9" t="s">
        <v>38</v>
      </c>
      <c r="D903" s="9" t="s">
        <v>22</v>
      </c>
      <c r="E903" s="9">
        <v>1</v>
      </c>
      <c r="F903" s="11">
        <v>35900</v>
      </c>
      <c r="G903" s="9" t="str">
        <f>INDEX(Products!$B$2:$B$9,MATCH(D903,Products!$A$2:$A$9,0))</f>
        <v>Trà hoa cúc an thần</v>
      </c>
      <c r="H903" s="9" t="str">
        <f>INDEX(Products!$C$2:$C$9,MATCH(D903,Products!$A$2:$A$9,0))</f>
        <v>An thần</v>
      </c>
      <c r="I903" s="11">
        <f>INDEX(Products!$D$2:$D$9,MATCH(D903,Products!$A$2:$A$9,0))</f>
        <v>9500</v>
      </c>
      <c r="J903" s="10">
        <f>IFERROR(INDEX(PlatformFees!$C$2:$C$5,MATCH(C903,PlatformFees!$A$2:$A$5,0)),0)</f>
        <v>0.16</v>
      </c>
      <c r="K903" s="11">
        <f t="shared" si="56"/>
        <v>9500</v>
      </c>
      <c r="L903" s="11">
        <f t="shared" si="57"/>
        <v>5744</v>
      </c>
      <c r="M903" s="11">
        <f t="shared" si="58"/>
        <v>20656</v>
      </c>
      <c r="N903" s="10">
        <f t="shared" si="59"/>
        <v>0.57537604456824509</v>
      </c>
    </row>
    <row r="904" spans="1:14" x14ac:dyDescent="0.3">
      <c r="A904" s="9" t="s">
        <v>1004</v>
      </c>
      <c r="B904" s="9" t="s">
        <v>993</v>
      </c>
      <c r="C904" s="9" t="s">
        <v>39</v>
      </c>
      <c r="D904" s="9" t="s">
        <v>17</v>
      </c>
      <c r="E904" s="9">
        <v>1</v>
      </c>
      <c r="F904" s="11">
        <v>40400</v>
      </c>
      <c r="G904" s="9" t="str">
        <f>INDEX(Products!$B$2:$B$9,MATCH(D904,Products!$A$2:$A$9,0))</f>
        <v>Trà diếp cá rau má</v>
      </c>
      <c r="H904" s="9" t="str">
        <f>INDEX(Products!$C$2:$C$9,MATCH(D904,Products!$A$2:$A$9,0))</f>
        <v>Detox</v>
      </c>
      <c r="I904" s="11">
        <f>INDEX(Products!$D$2:$D$9,MATCH(D904,Products!$A$2:$A$9,0))</f>
        <v>10500</v>
      </c>
      <c r="J904" s="10">
        <f>IFERROR(INDEX(PlatformFees!$C$2:$C$5,MATCH(C904,PlatformFees!$A$2:$A$5,0)),0)</f>
        <v>0</v>
      </c>
      <c r="K904" s="11">
        <f t="shared" si="56"/>
        <v>10500</v>
      </c>
      <c r="L904" s="11">
        <f t="shared" si="57"/>
        <v>0</v>
      </c>
      <c r="M904" s="11">
        <f t="shared" si="58"/>
        <v>29900</v>
      </c>
      <c r="N904" s="10">
        <f t="shared" si="59"/>
        <v>0.74009900990099009</v>
      </c>
    </row>
    <row r="905" spans="1:14" x14ac:dyDescent="0.3">
      <c r="A905" s="9" t="s">
        <v>1005</v>
      </c>
      <c r="B905" s="9" t="s">
        <v>993</v>
      </c>
      <c r="C905" s="9" t="s">
        <v>38</v>
      </c>
      <c r="D905" s="9" t="s">
        <v>15</v>
      </c>
      <c r="E905" s="9">
        <v>1</v>
      </c>
      <c r="F905" s="11">
        <v>30500</v>
      </c>
      <c r="G905" s="9" t="str">
        <f>INDEX(Products!$B$2:$B$9,MATCH(D905,Products!$A$2:$A$9,0))</f>
        <v>Trà lá nam sen ổi</v>
      </c>
      <c r="H905" s="9" t="str">
        <f>INDEX(Products!$C$2:$C$9,MATCH(D905,Products!$A$2:$A$9,0))</f>
        <v>Thanh lọc</v>
      </c>
      <c r="I905" s="11">
        <f>INDEX(Products!$D$2:$D$9,MATCH(D905,Products!$A$2:$A$9,0))</f>
        <v>8500</v>
      </c>
      <c r="J905" s="10">
        <f>IFERROR(INDEX(PlatformFees!$C$2:$C$5,MATCH(C905,PlatformFees!$A$2:$A$5,0)),0)</f>
        <v>0.16</v>
      </c>
      <c r="K905" s="11">
        <f t="shared" si="56"/>
        <v>8500</v>
      </c>
      <c r="L905" s="11">
        <f t="shared" si="57"/>
        <v>4880</v>
      </c>
      <c r="M905" s="11">
        <f t="shared" si="58"/>
        <v>17120</v>
      </c>
      <c r="N905" s="10">
        <f t="shared" si="59"/>
        <v>0.56131147540983606</v>
      </c>
    </row>
    <row r="906" spans="1:14" x14ac:dyDescent="0.3">
      <c r="A906" s="9" t="s">
        <v>1006</v>
      </c>
      <c r="B906" s="9" t="s">
        <v>993</v>
      </c>
      <c r="C906" s="9" t="s">
        <v>36</v>
      </c>
      <c r="D906" s="9" t="s">
        <v>25</v>
      </c>
      <c r="E906" s="9">
        <v>2</v>
      </c>
      <c r="F906" s="11">
        <v>66500</v>
      </c>
      <c r="G906" s="9" t="str">
        <f>INDEX(Products!$B$2:$B$9,MATCH(D906,Products!$A$2:$A$9,0))</f>
        <v>Trà hoa đậu biếc</v>
      </c>
      <c r="H906" s="9" t="str">
        <f>INDEX(Products!$C$2:$C$9,MATCH(D906,Products!$A$2:$A$9,0))</f>
        <v>An thần</v>
      </c>
      <c r="I906" s="11">
        <f>INDEX(Products!$D$2:$D$9,MATCH(D906,Products!$A$2:$A$9,0))</f>
        <v>8800</v>
      </c>
      <c r="J906" s="10">
        <f>IFERROR(INDEX(PlatformFees!$C$2:$C$5,MATCH(C906,PlatformFees!$A$2:$A$5,0)),0)</f>
        <v>0.13</v>
      </c>
      <c r="K906" s="11">
        <f t="shared" si="56"/>
        <v>17600</v>
      </c>
      <c r="L906" s="11">
        <f t="shared" si="57"/>
        <v>8645</v>
      </c>
      <c r="M906" s="11">
        <f t="shared" si="58"/>
        <v>40255</v>
      </c>
      <c r="N906" s="10">
        <f t="shared" si="59"/>
        <v>0.60533834586466162</v>
      </c>
    </row>
    <row r="907" spans="1:14" x14ac:dyDescent="0.3">
      <c r="A907" s="9" t="s">
        <v>1007</v>
      </c>
      <c r="B907" s="9" t="s">
        <v>993</v>
      </c>
      <c r="C907" s="9" t="s">
        <v>36</v>
      </c>
      <c r="D907" s="9" t="s">
        <v>22</v>
      </c>
      <c r="E907" s="9">
        <v>1</v>
      </c>
      <c r="F907" s="11">
        <v>36400</v>
      </c>
      <c r="G907" s="9" t="str">
        <f>INDEX(Products!$B$2:$B$9,MATCH(D907,Products!$A$2:$A$9,0))</f>
        <v>Trà hoa cúc an thần</v>
      </c>
      <c r="H907" s="9" t="str">
        <f>INDEX(Products!$C$2:$C$9,MATCH(D907,Products!$A$2:$A$9,0))</f>
        <v>An thần</v>
      </c>
      <c r="I907" s="11">
        <f>INDEX(Products!$D$2:$D$9,MATCH(D907,Products!$A$2:$A$9,0))</f>
        <v>9500</v>
      </c>
      <c r="J907" s="10">
        <f>IFERROR(INDEX(PlatformFees!$C$2:$C$5,MATCH(C907,PlatformFees!$A$2:$A$5,0)),0)</f>
        <v>0.13</v>
      </c>
      <c r="K907" s="11">
        <f t="shared" si="56"/>
        <v>9500</v>
      </c>
      <c r="L907" s="11">
        <f t="shared" si="57"/>
        <v>4732</v>
      </c>
      <c r="M907" s="11">
        <f t="shared" si="58"/>
        <v>22168</v>
      </c>
      <c r="N907" s="10">
        <f t="shared" si="59"/>
        <v>0.60901098901098905</v>
      </c>
    </row>
    <row r="908" spans="1:14" x14ac:dyDescent="0.3">
      <c r="A908" s="9" t="s">
        <v>1008</v>
      </c>
      <c r="B908" s="9" t="s">
        <v>993</v>
      </c>
      <c r="C908" s="9" t="s">
        <v>40</v>
      </c>
      <c r="D908" s="9" t="s">
        <v>20</v>
      </c>
      <c r="E908" s="9">
        <v>1</v>
      </c>
      <c r="F908" s="11">
        <v>51600</v>
      </c>
      <c r="G908" s="9" t="str">
        <f>INDEX(Products!$B$2:$B$9,MATCH(D908,Products!$A$2:$A$9,0))</f>
        <v>Trà cà leo gai giảm cân</v>
      </c>
      <c r="H908" s="9" t="str">
        <f>INDEX(Products!$C$2:$C$9,MATCH(D908,Products!$A$2:$A$9,0))</f>
        <v>Detox</v>
      </c>
      <c r="I908" s="11">
        <f>INDEX(Products!$D$2:$D$9,MATCH(D908,Products!$A$2:$A$9,0))</f>
        <v>15000</v>
      </c>
      <c r="J908" s="10">
        <f>IFERROR(INDEX(PlatformFees!$C$2:$C$5,MATCH(C908,PlatformFees!$A$2:$A$5,0)),0)</f>
        <v>0</v>
      </c>
      <c r="K908" s="11">
        <f t="shared" si="56"/>
        <v>15000</v>
      </c>
      <c r="L908" s="11">
        <f t="shared" si="57"/>
        <v>0</v>
      </c>
      <c r="M908" s="11">
        <f t="shared" si="58"/>
        <v>36600</v>
      </c>
      <c r="N908" s="10">
        <f t="shared" si="59"/>
        <v>0.70930232558139539</v>
      </c>
    </row>
    <row r="909" spans="1:14" x14ac:dyDescent="0.3">
      <c r="A909" s="9" t="s">
        <v>1009</v>
      </c>
      <c r="B909" s="9" t="s">
        <v>993</v>
      </c>
      <c r="C909" s="9" t="s">
        <v>40</v>
      </c>
      <c r="D909" s="9" t="s">
        <v>27</v>
      </c>
      <c r="E909" s="9">
        <v>1</v>
      </c>
      <c r="F909" s="11">
        <v>37800</v>
      </c>
      <c r="G909" s="9" t="str">
        <f>INDEX(Products!$B$2:$B$9,MATCH(D909,Products!$A$2:$A$9,0))</f>
        <v>Trà gừng mật ong</v>
      </c>
      <c r="H909" s="9" t="str">
        <f>INDEX(Products!$C$2:$C$9,MATCH(D909,Products!$A$2:$A$9,0))</f>
        <v>Giữ ấm</v>
      </c>
      <c r="I909" s="11">
        <f>INDEX(Products!$D$2:$D$9,MATCH(D909,Products!$A$2:$A$9,0))</f>
        <v>11000</v>
      </c>
      <c r="J909" s="10">
        <f>IFERROR(INDEX(PlatformFees!$C$2:$C$5,MATCH(C909,PlatformFees!$A$2:$A$5,0)),0)</f>
        <v>0</v>
      </c>
      <c r="K909" s="11">
        <f t="shared" si="56"/>
        <v>11000</v>
      </c>
      <c r="L909" s="11">
        <f t="shared" si="57"/>
        <v>0</v>
      </c>
      <c r="M909" s="11">
        <f t="shared" si="58"/>
        <v>26800</v>
      </c>
      <c r="N909" s="10">
        <f t="shared" si="59"/>
        <v>0.70899470899470896</v>
      </c>
    </row>
    <row r="910" spans="1:14" x14ac:dyDescent="0.3">
      <c r="A910" s="9" t="s">
        <v>1010</v>
      </c>
      <c r="B910" s="9" t="s">
        <v>993</v>
      </c>
      <c r="C910" s="9" t="s">
        <v>39</v>
      </c>
      <c r="D910" s="9" t="s">
        <v>12</v>
      </c>
      <c r="E910" s="9">
        <v>3</v>
      </c>
      <c r="F910" s="11">
        <v>96900</v>
      </c>
      <c r="G910" s="9" t="str">
        <f>INDEX(Products!$B$2:$B$9,MATCH(D910,Products!$A$2:$A$9,0))</f>
        <v>Trà atiso thanh lọc</v>
      </c>
      <c r="H910" s="9" t="str">
        <f>INDEX(Products!$C$2:$C$9,MATCH(D910,Products!$A$2:$A$9,0))</f>
        <v>Thanh lọc</v>
      </c>
      <c r="I910" s="11">
        <f>INDEX(Products!$D$2:$D$9,MATCH(D910,Products!$A$2:$A$9,0))</f>
        <v>9000</v>
      </c>
      <c r="J910" s="10">
        <f>IFERROR(INDEX(PlatformFees!$C$2:$C$5,MATCH(C910,PlatformFees!$A$2:$A$5,0)),0)</f>
        <v>0</v>
      </c>
      <c r="K910" s="11">
        <f t="shared" si="56"/>
        <v>27000</v>
      </c>
      <c r="L910" s="11">
        <f t="shared" si="57"/>
        <v>0</v>
      </c>
      <c r="M910" s="11">
        <f t="shared" si="58"/>
        <v>69900</v>
      </c>
      <c r="N910" s="10">
        <f t="shared" si="59"/>
        <v>0.72136222910216719</v>
      </c>
    </row>
    <row r="911" spans="1:14" x14ac:dyDescent="0.3">
      <c r="A911" s="9" t="s">
        <v>1011</v>
      </c>
      <c r="B911" s="9" t="s">
        <v>993</v>
      </c>
      <c r="C911" s="9" t="s">
        <v>38</v>
      </c>
      <c r="D911" s="9" t="s">
        <v>15</v>
      </c>
      <c r="E911" s="9">
        <v>3</v>
      </c>
      <c r="F911" s="11">
        <v>95200</v>
      </c>
      <c r="G911" s="9" t="str">
        <f>INDEX(Products!$B$2:$B$9,MATCH(D911,Products!$A$2:$A$9,0))</f>
        <v>Trà lá nam sen ổi</v>
      </c>
      <c r="H911" s="9" t="str">
        <f>INDEX(Products!$C$2:$C$9,MATCH(D911,Products!$A$2:$A$9,0))</f>
        <v>Thanh lọc</v>
      </c>
      <c r="I911" s="11">
        <f>INDEX(Products!$D$2:$D$9,MATCH(D911,Products!$A$2:$A$9,0))</f>
        <v>8500</v>
      </c>
      <c r="J911" s="10">
        <f>IFERROR(INDEX(PlatformFees!$C$2:$C$5,MATCH(C911,PlatformFees!$A$2:$A$5,0)),0)</f>
        <v>0.16</v>
      </c>
      <c r="K911" s="11">
        <f t="shared" si="56"/>
        <v>25500</v>
      </c>
      <c r="L911" s="11">
        <f t="shared" si="57"/>
        <v>15232</v>
      </c>
      <c r="M911" s="11">
        <f t="shared" si="58"/>
        <v>54468</v>
      </c>
      <c r="N911" s="10">
        <f t="shared" si="59"/>
        <v>0.57214285714285718</v>
      </c>
    </row>
    <row r="912" spans="1:14" x14ac:dyDescent="0.3">
      <c r="A912" s="9" t="s">
        <v>1012</v>
      </c>
      <c r="B912" s="9" t="s">
        <v>993</v>
      </c>
      <c r="C912" s="9" t="s">
        <v>36</v>
      </c>
      <c r="D912" s="9" t="s">
        <v>27</v>
      </c>
      <c r="E912" s="9">
        <v>1</v>
      </c>
      <c r="F912" s="11">
        <v>40200</v>
      </c>
      <c r="G912" s="9" t="str">
        <f>INDEX(Products!$B$2:$B$9,MATCH(D912,Products!$A$2:$A$9,0))</f>
        <v>Trà gừng mật ong</v>
      </c>
      <c r="H912" s="9" t="str">
        <f>INDEX(Products!$C$2:$C$9,MATCH(D912,Products!$A$2:$A$9,0))</f>
        <v>Giữ ấm</v>
      </c>
      <c r="I912" s="11">
        <f>INDEX(Products!$D$2:$D$9,MATCH(D912,Products!$A$2:$A$9,0))</f>
        <v>11000</v>
      </c>
      <c r="J912" s="10">
        <f>IFERROR(INDEX(PlatformFees!$C$2:$C$5,MATCH(C912,PlatformFees!$A$2:$A$5,0)),0)</f>
        <v>0.13</v>
      </c>
      <c r="K912" s="11">
        <f t="shared" si="56"/>
        <v>11000</v>
      </c>
      <c r="L912" s="11">
        <f t="shared" si="57"/>
        <v>5226</v>
      </c>
      <c r="M912" s="11">
        <f t="shared" si="58"/>
        <v>23974</v>
      </c>
      <c r="N912" s="10">
        <f t="shared" si="59"/>
        <v>0.59636815920398012</v>
      </c>
    </row>
    <row r="913" spans="1:14" x14ac:dyDescent="0.3">
      <c r="A913" s="9" t="s">
        <v>1013</v>
      </c>
      <c r="B913" s="9" t="s">
        <v>1014</v>
      </c>
      <c r="C913" s="9" t="s">
        <v>36</v>
      </c>
      <c r="D913" s="9" t="s">
        <v>30</v>
      </c>
      <c r="E913" s="9">
        <v>3</v>
      </c>
      <c r="F913" s="11">
        <v>100600</v>
      </c>
      <c r="G913" s="9" t="str">
        <f>INDEX(Products!$B$2:$B$9,MATCH(D913,Products!$A$2:$A$9,0))</f>
        <v>Trà mâm xôi vitamin</v>
      </c>
      <c r="H913" s="9" t="str">
        <f>INDEX(Products!$C$2:$C$9,MATCH(D913,Products!$A$2:$A$9,0))</f>
        <v>Bổ sung dưỡng chất</v>
      </c>
      <c r="I913" s="11">
        <f>INDEX(Products!$D$2:$D$9,MATCH(D913,Products!$A$2:$A$9,0))</f>
        <v>9800</v>
      </c>
      <c r="J913" s="10">
        <f>IFERROR(INDEX(PlatformFees!$C$2:$C$5,MATCH(C913,PlatformFees!$A$2:$A$5,0)),0)</f>
        <v>0.13</v>
      </c>
      <c r="K913" s="11">
        <f t="shared" si="56"/>
        <v>29400</v>
      </c>
      <c r="L913" s="11">
        <f t="shared" si="57"/>
        <v>13078</v>
      </c>
      <c r="M913" s="11">
        <f t="shared" si="58"/>
        <v>58122</v>
      </c>
      <c r="N913" s="10">
        <f t="shared" si="59"/>
        <v>0.57775347912524855</v>
      </c>
    </row>
    <row r="914" spans="1:14" x14ac:dyDescent="0.3">
      <c r="A914" s="9" t="s">
        <v>1015</v>
      </c>
      <c r="B914" s="9" t="s">
        <v>1014</v>
      </c>
      <c r="C914" s="9" t="s">
        <v>39</v>
      </c>
      <c r="D914" s="9" t="s">
        <v>12</v>
      </c>
      <c r="E914" s="9">
        <v>1</v>
      </c>
      <c r="F914" s="11">
        <v>33800</v>
      </c>
      <c r="G914" s="9" t="str">
        <f>INDEX(Products!$B$2:$B$9,MATCH(D914,Products!$A$2:$A$9,0))</f>
        <v>Trà atiso thanh lọc</v>
      </c>
      <c r="H914" s="9" t="str">
        <f>INDEX(Products!$C$2:$C$9,MATCH(D914,Products!$A$2:$A$9,0))</f>
        <v>Thanh lọc</v>
      </c>
      <c r="I914" s="11">
        <f>INDEX(Products!$D$2:$D$9,MATCH(D914,Products!$A$2:$A$9,0))</f>
        <v>9000</v>
      </c>
      <c r="J914" s="10">
        <f>IFERROR(INDEX(PlatformFees!$C$2:$C$5,MATCH(C914,PlatformFees!$A$2:$A$5,0)),0)</f>
        <v>0</v>
      </c>
      <c r="K914" s="11">
        <f t="shared" si="56"/>
        <v>9000</v>
      </c>
      <c r="L914" s="11">
        <f t="shared" si="57"/>
        <v>0</v>
      </c>
      <c r="M914" s="11">
        <f t="shared" si="58"/>
        <v>24800</v>
      </c>
      <c r="N914" s="10">
        <f t="shared" si="59"/>
        <v>0.73372781065088755</v>
      </c>
    </row>
    <row r="915" spans="1:14" x14ac:dyDescent="0.3">
      <c r="A915" s="9" t="s">
        <v>1016</v>
      </c>
      <c r="B915" s="9" t="s">
        <v>1014</v>
      </c>
      <c r="C915" s="9" t="s">
        <v>36</v>
      </c>
      <c r="D915" s="9" t="s">
        <v>20</v>
      </c>
      <c r="E915" s="9">
        <v>2</v>
      </c>
      <c r="F915" s="11">
        <v>109700</v>
      </c>
      <c r="G915" s="9" t="str">
        <f>INDEX(Products!$B$2:$B$9,MATCH(D915,Products!$A$2:$A$9,0))</f>
        <v>Trà cà leo gai giảm cân</v>
      </c>
      <c r="H915" s="9" t="str">
        <f>INDEX(Products!$C$2:$C$9,MATCH(D915,Products!$A$2:$A$9,0))</f>
        <v>Detox</v>
      </c>
      <c r="I915" s="11">
        <f>INDEX(Products!$D$2:$D$9,MATCH(D915,Products!$A$2:$A$9,0))</f>
        <v>15000</v>
      </c>
      <c r="J915" s="10">
        <f>IFERROR(INDEX(PlatformFees!$C$2:$C$5,MATCH(C915,PlatformFees!$A$2:$A$5,0)),0)</f>
        <v>0.13</v>
      </c>
      <c r="K915" s="11">
        <f t="shared" si="56"/>
        <v>30000</v>
      </c>
      <c r="L915" s="11">
        <f t="shared" si="57"/>
        <v>14261</v>
      </c>
      <c r="M915" s="11">
        <f t="shared" si="58"/>
        <v>65439</v>
      </c>
      <c r="N915" s="10">
        <f t="shared" si="59"/>
        <v>0.59652689152233362</v>
      </c>
    </row>
    <row r="916" spans="1:14" x14ac:dyDescent="0.3">
      <c r="A916" s="9" t="s">
        <v>1017</v>
      </c>
      <c r="B916" s="9" t="s">
        <v>1014</v>
      </c>
      <c r="C916" s="9" t="s">
        <v>36</v>
      </c>
      <c r="D916" s="9" t="s">
        <v>22</v>
      </c>
      <c r="E916" s="9">
        <v>1</v>
      </c>
      <c r="F916" s="11">
        <v>36200</v>
      </c>
      <c r="G916" s="9" t="str">
        <f>INDEX(Products!$B$2:$B$9,MATCH(D916,Products!$A$2:$A$9,0))</f>
        <v>Trà hoa cúc an thần</v>
      </c>
      <c r="H916" s="9" t="str">
        <f>INDEX(Products!$C$2:$C$9,MATCH(D916,Products!$A$2:$A$9,0))</f>
        <v>An thần</v>
      </c>
      <c r="I916" s="11">
        <f>INDEX(Products!$D$2:$D$9,MATCH(D916,Products!$A$2:$A$9,0))</f>
        <v>9500</v>
      </c>
      <c r="J916" s="10">
        <f>IFERROR(INDEX(PlatformFees!$C$2:$C$5,MATCH(C916,PlatformFees!$A$2:$A$5,0)),0)</f>
        <v>0.13</v>
      </c>
      <c r="K916" s="11">
        <f t="shared" si="56"/>
        <v>9500</v>
      </c>
      <c r="L916" s="11">
        <f t="shared" si="57"/>
        <v>4706</v>
      </c>
      <c r="M916" s="11">
        <f t="shared" si="58"/>
        <v>21994</v>
      </c>
      <c r="N916" s="10">
        <f t="shared" si="59"/>
        <v>0.60756906077348072</v>
      </c>
    </row>
    <row r="917" spans="1:14" x14ac:dyDescent="0.3">
      <c r="A917" s="9" t="s">
        <v>1018</v>
      </c>
      <c r="B917" s="9" t="s">
        <v>1014</v>
      </c>
      <c r="C917" s="9" t="s">
        <v>38</v>
      </c>
      <c r="D917" s="9" t="s">
        <v>22</v>
      </c>
      <c r="E917" s="9">
        <v>1</v>
      </c>
      <c r="F917" s="11">
        <v>37600</v>
      </c>
      <c r="G917" s="9" t="str">
        <f>INDEX(Products!$B$2:$B$9,MATCH(D917,Products!$A$2:$A$9,0))</f>
        <v>Trà hoa cúc an thần</v>
      </c>
      <c r="H917" s="9" t="str">
        <f>INDEX(Products!$C$2:$C$9,MATCH(D917,Products!$A$2:$A$9,0))</f>
        <v>An thần</v>
      </c>
      <c r="I917" s="11">
        <f>INDEX(Products!$D$2:$D$9,MATCH(D917,Products!$A$2:$A$9,0))</f>
        <v>9500</v>
      </c>
      <c r="J917" s="10">
        <f>IFERROR(INDEX(PlatformFees!$C$2:$C$5,MATCH(C917,PlatformFees!$A$2:$A$5,0)),0)</f>
        <v>0.16</v>
      </c>
      <c r="K917" s="11">
        <f t="shared" si="56"/>
        <v>9500</v>
      </c>
      <c r="L917" s="11">
        <f t="shared" si="57"/>
        <v>6016</v>
      </c>
      <c r="M917" s="11">
        <f t="shared" si="58"/>
        <v>22084</v>
      </c>
      <c r="N917" s="10">
        <f t="shared" si="59"/>
        <v>0.5873404255319149</v>
      </c>
    </row>
    <row r="918" spans="1:14" x14ac:dyDescent="0.3">
      <c r="A918" s="9" t="s">
        <v>1019</v>
      </c>
      <c r="B918" s="9" t="s">
        <v>1014</v>
      </c>
      <c r="C918" s="9" t="s">
        <v>39</v>
      </c>
      <c r="D918" s="9" t="s">
        <v>20</v>
      </c>
      <c r="E918" s="9">
        <v>1</v>
      </c>
      <c r="F918" s="11">
        <v>53700</v>
      </c>
      <c r="G918" s="9" t="str">
        <f>INDEX(Products!$B$2:$B$9,MATCH(D918,Products!$A$2:$A$9,0))</f>
        <v>Trà cà leo gai giảm cân</v>
      </c>
      <c r="H918" s="9" t="str">
        <f>INDEX(Products!$C$2:$C$9,MATCH(D918,Products!$A$2:$A$9,0))</f>
        <v>Detox</v>
      </c>
      <c r="I918" s="11">
        <f>INDEX(Products!$D$2:$D$9,MATCH(D918,Products!$A$2:$A$9,0))</f>
        <v>15000</v>
      </c>
      <c r="J918" s="10">
        <f>IFERROR(INDEX(PlatformFees!$C$2:$C$5,MATCH(C918,PlatformFees!$A$2:$A$5,0)),0)</f>
        <v>0</v>
      </c>
      <c r="K918" s="11">
        <f t="shared" si="56"/>
        <v>15000</v>
      </c>
      <c r="L918" s="11">
        <f t="shared" si="57"/>
        <v>0</v>
      </c>
      <c r="M918" s="11">
        <f t="shared" si="58"/>
        <v>38700</v>
      </c>
      <c r="N918" s="10">
        <f t="shared" si="59"/>
        <v>0.72067039106145248</v>
      </c>
    </row>
    <row r="919" spans="1:14" x14ac:dyDescent="0.3">
      <c r="A919" s="9" t="s">
        <v>1020</v>
      </c>
      <c r="B919" s="9" t="s">
        <v>1014</v>
      </c>
      <c r="C919" s="9" t="s">
        <v>38</v>
      </c>
      <c r="D919" s="9" t="s">
        <v>17</v>
      </c>
      <c r="E919" s="9">
        <v>1</v>
      </c>
      <c r="F919" s="11">
        <v>40900</v>
      </c>
      <c r="G919" s="9" t="str">
        <f>INDEX(Products!$B$2:$B$9,MATCH(D919,Products!$A$2:$A$9,0))</f>
        <v>Trà diếp cá rau má</v>
      </c>
      <c r="H919" s="9" t="str">
        <f>INDEX(Products!$C$2:$C$9,MATCH(D919,Products!$A$2:$A$9,0))</f>
        <v>Detox</v>
      </c>
      <c r="I919" s="11">
        <f>INDEX(Products!$D$2:$D$9,MATCH(D919,Products!$A$2:$A$9,0))</f>
        <v>10500</v>
      </c>
      <c r="J919" s="10">
        <f>IFERROR(INDEX(PlatformFees!$C$2:$C$5,MATCH(C919,PlatformFees!$A$2:$A$5,0)),0)</f>
        <v>0.16</v>
      </c>
      <c r="K919" s="11">
        <f t="shared" si="56"/>
        <v>10500</v>
      </c>
      <c r="L919" s="11">
        <f t="shared" si="57"/>
        <v>6544</v>
      </c>
      <c r="M919" s="11">
        <f t="shared" si="58"/>
        <v>23856</v>
      </c>
      <c r="N919" s="10">
        <f t="shared" si="59"/>
        <v>0.58327628361858186</v>
      </c>
    </row>
    <row r="920" spans="1:14" x14ac:dyDescent="0.3">
      <c r="A920" s="9" t="s">
        <v>1021</v>
      </c>
      <c r="B920" s="9" t="s">
        <v>1014</v>
      </c>
      <c r="C920" s="9" t="s">
        <v>38</v>
      </c>
      <c r="D920" s="9" t="s">
        <v>25</v>
      </c>
      <c r="E920" s="9">
        <v>2</v>
      </c>
      <c r="F920" s="11">
        <v>69800</v>
      </c>
      <c r="G920" s="9" t="str">
        <f>INDEX(Products!$B$2:$B$9,MATCH(D920,Products!$A$2:$A$9,0))</f>
        <v>Trà hoa đậu biếc</v>
      </c>
      <c r="H920" s="9" t="str">
        <f>INDEX(Products!$C$2:$C$9,MATCH(D920,Products!$A$2:$A$9,0))</f>
        <v>An thần</v>
      </c>
      <c r="I920" s="11">
        <f>INDEX(Products!$D$2:$D$9,MATCH(D920,Products!$A$2:$A$9,0))</f>
        <v>8800</v>
      </c>
      <c r="J920" s="10">
        <f>IFERROR(INDEX(PlatformFees!$C$2:$C$5,MATCH(C920,PlatformFees!$A$2:$A$5,0)),0)</f>
        <v>0.16</v>
      </c>
      <c r="K920" s="11">
        <f t="shared" si="56"/>
        <v>17600</v>
      </c>
      <c r="L920" s="11">
        <f t="shared" si="57"/>
        <v>11168</v>
      </c>
      <c r="M920" s="11">
        <f t="shared" si="58"/>
        <v>41032</v>
      </c>
      <c r="N920" s="10">
        <f t="shared" si="59"/>
        <v>0.58785100286532954</v>
      </c>
    </row>
    <row r="921" spans="1:14" x14ac:dyDescent="0.3">
      <c r="A921" s="9" t="s">
        <v>1022</v>
      </c>
      <c r="B921" s="9" t="s">
        <v>1014</v>
      </c>
      <c r="C921" s="9" t="s">
        <v>36</v>
      </c>
      <c r="D921" s="9" t="s">
        <v>20</v>
      </c>
      <c r="E921" s="9">
        <v>1</v>
      </c>
      <c r="F921" s="11">
        <v>50800</v>
      </c>
      <c r="G921" s="9" t="str">
        <f>INDEX(Products!$B$2:$B$9,MATCH(D921,Products!$A$2:$A$9,0))</f>
        <v>Trà cà leo gai giảm cân</v>
      </c>
      <c r="H921" s="9" t="str">
        <f>INDEX(Products!$C$2:$C$9,MATCH(D921,Products!$A$2:$A$9,0))</f>
        <v>Detox</v>
      </c>
      <c r="I921" s="11">
        <f>INDEX(Products!$D$2:$D$9,MATCH(D921,Products!$A$2:$A$9,0))</f>
        <v>15000</v>
      </c>
      <c r="J921" s="10">
        <f>IFERROR(INDEX(PlatformFees!$C$2:$C$5,MATCH(C921,PlatformFees!$A$2:$A$5,0)),0)</f>
        <v>0.13</v>
      </c>
      <c r="K921" s="11">
        <f t="shared" si="56"/>
        <v>15000</v>
      </c>
      <c r="L921" s="11">
        <f t="shared" si="57"/>
        <v>6604</v>
      </c>
      <c r="M921" s="11">
        <f t="shared" si="58"/>
        <v>29196</v>
      </c>
      <c r="N921" s="10">
        <f t="shared" si="59"/>
        <v>0.57472440944881886</v>
      </c>
    </row>
    <row r="922" spans="1:14" x14ac:dyDescent="0.3">
      <c r="A922" s="9" t="s">
        <v>1023</v>
      </c>
      <c r="B922" s="9" t="s">
        <v>1014</v>
      </c>
      <c r="C922" s="9" t="s">
        <v>38</v>
      </c>
      <c r="D922" s="9" t="s">
        <v>17</v>
      </c>
      <c r="E922" s="9">
        <v>2</v>
      </c>
      <c r="F922" s="11">
        <v>80300</v>
      </c>
      <c r="G922" s="9" t="str">
        <f>INDEX(Products!$B$2:$B$9,MATCH(D922,Products!$A$2:$A$9,0))</f>
        <v>Trà diếp cá rau má</v>
      </c>
      <c r="H922" s="9" t="str">
        <f>INDEX(Products!$C$2:$C$9,MATCH(D922,Products!$A$2:$A$9,0))</f>
        <v>Detox</v>
      </c>
      <c r="I922" s="11">
        <f>INDEX(Products!$D$2:$D$9,MATCH(D922,Products!$A$2:$A$9,0))</f>
        <v>10500</v>
      </c>
      <c r="J922" s="10">
        <f>IFERROR(INDEX(PlatformFees!$C$2:$C$5,MATCH(C922,PlatformFees!$A$2:$A$5,0)),0)</f>
        <v>0.16</v>
      </c>
      <c r="K922" s="11">
        <f t="shared" si="56"/>
        <v>21000</v>
      </c>
      <c r="L922" s="11">
        <f t="shared" si="57"/>
        <v>12848</v>
      </c>
      <c r="M922" s="11">
        <f t="shared" si="58"/>
        <v>46452</v>
      </c>
      <c r="N922" s="10">
        <f t="shared" si="59"/>
        <v>0.57848069738480701</v>
      </c>
    </row>
    <row r="923" spans="1:14" x14ac:dyDescent="0.3">
      <c r="A923" s="9" t="s">
        <v>1024</v>
      </c>
      <c r="B923" s="9" t="s">
        <v>1014</v>
      </c>
      <c r="C923" s="9" t="s">
        <v>36</v>
      </c>
      <c r="D923" s="9" t="s">
        <v>22</v>
      </c>
      <c r="E923" s="9">
        <v>1</v>
      </c>
      <c r="F923" s="11">
        <v>38500</v>
      </c>
      <c r="G923" s="9" t="str">
        <f>INDEX(Products!$B$2:$B$9,MATCH(D923,Products!$A$2:$A$9,0))</f>
        <v>Trà hoa cúc an thần</v>
      </c>
      <c r="H923" s="9" t="str">
        <f>INDEX(Products!$C$2:$C$9,MATCH(D923,Products!$A$2:$A$9,0))</f>
        <v>An thần</v>
      </c>
      <c r="I923" s="11">
        <f>INDEX(Products!$D$2:$D$9,MATCH(D923,Products!$A$2:$A$9,0))</f>
        <v>9500</v>
      </c>
      <c r="J923" s="10">
        <f>IFERROR(INDEX(PlatformFees!$C$2:$C$5,MATCH(C923,PlatformFees!$A$2:$A$5,0)),0)</f>
        <v>0.13</v>
      </c>
      <c r="K923" s="11">
        <f t="shared" si="56"/>
        <v>9500</v>
      </c>
      <c r="L923" s="11">
        <f t="shared" si="57"/>
        <v>5005</v>
      </c>
      <c r="M923" s="11">
        <f t="shared" si="58"/>
        <v>23995</v>
      </c>
      <c r="N923" s="10">
        <f t="shared" si="59"/>
        <v>0.62324675324675327</v>
      </c>
    </row>
    <row r="924" spans="1:14" x14ac:dyDescent="0.3">
      <c r="A924" s="9" t="s">
        <v>1025</v>
      </c>
      <c r="B924" s="9" t="s">
        <v>1014</v>
      </c>
      <c r="C924" s="9" t="s">
        <v>38</v>
      </c>
      <c r="D924" s="9" t="s">
        <v>15</v>
      </c>
      <c r="E924" s="9">
        <v>1</v>
      </c>
      <c r="F924" s="11">
        <v>32200</v>
      </c>
      <c r="G924" s="9" t="str">
        <f>INDEX(Products!$B$2:$B$9,MATCH(D924,Products!$A$2:$A$9,0))</f>
        <v>Trà lá nam sen ổi</v>
      </c>
      <c r="H924" s="9" t="str">
        <f>INDEX(Products!$C$2:$C$9,MATCH(D924,Products!$A$2:$A$9,0))</f>
        <v>Thanh lọc</v>
      </c>
      <c r="I924" s="11">
        <f>INDEX(Products!$D$2:$D$9,MATCH(D924,Products!$A$2:$A$9,0))</f>
        <v>8500</v>
      </c>
      <c r="J924" s="10">
        <f>IFERROR(INDEX(PlatformFees!$C$2:$C$5,MATCH(C924,PlatformFees!$A$2:$A$5,0)),0)</f>
        <v>0.16</v>
      </c>
      <c r="K924" s="11">
        <f t="shared" si="56"/>
        <v>8500</v>
      </c>
      <c r="L924" s="11">
        <f t="shared" si="57"/>
        <v>5152</v>
      </c>
      <c r="M924" s="11">
        <f t="shared" si="58"/>
        <v>18548</v>
      </c>
      <c r="N924" s="10">
        <f t="shared" si="59"/>
        <v>0.57602484472049686</v>
      </c>
    </row>
    <row r="925" spans="1:14" x14ac:dyDescent="0.3">
      <c r="A925" s="9" t="s">
        <v>1026</v>
      </c>
      <c r="B925" s="9" t="s">
        <v>1014</v>
      </c>
      <c r="C925" s="9" t="s">
        <v>36</v>
      </c>
      <c r="D925" s="9" t="s">
        <v>25</v>
      </c>
      <c r="E925" s="9">
        <v>1</v>
      </c>
      <c r="F925" s="11">
        <v>33700</v>
      </c>
      <c r="G925" s="9" t="str">
        <f>INDEX(Products!$B$2:$B$9,MATCH(D925,Products!$A$2:$A$9,0))</f>
        <v>Trà hoa đậu biếc</v>
      </c>
      <c r="H925" s="9" t="str">
        <f>INDEX(Products!$C$2:$C$9,MATCH(D925,Products!$A$2:$A$9,0))</f>
        <v>An thần</v>
      </c>
      <c r="I925" s="11">
        <f>INDEX(Products!$D$2:$D$9,MATCH(D925,Products!$A$2:$A$9,0))</f>
        <v>8800</v>
      </c>
      <c r="J925" s="10">
        <f>IFERROR(INDEX(PlatformFees!$C$2:$C$5,MATCH(C925,PlatformFees!$A$2:$A$5,0)),0)</f>
        <v>0.13</v>
      </c>
      <c r="K925" s="11">
        <f t="shared" si="56"/>
        <v>8800</v>
      </c>
      <c r="L925" s="11">
        <f t="shared" si="57"/>
        <v>4381</v>
      </c>
      <c r="M925" s="11">
        <f t="shared" si="58"/>
        <v>20519</v>
      </c>
      <c r="N925" s="10">
        <f t="shared" si="59"/>
        <v>0.60887240356083083</v>
      </c>
    </row>
    <row r="926" spans="1:14" x14ac:dyDescent="0.3">
      <c r="A926" s="9" t="s">
        <v>1027</v>
      </c>
      <c r="B926" s="9" t="s">
        <v>1014</v>
      </c>
      <c r="C926" s="9" t="s">
        <v>38</v>
      </c>
      <c r="D926" s="9" t="s">
        <v>30</v>
      </c>
      <c r="E926" s="9">
        <v>1</v>
      </c>
      <c r="F926" s="11">
        <v>35000</v>
      </c>
      <c r="G926" s="9" t="str">
        <f>INDEX(Products!$B$2:$B$9,MATCH(D926,Products!$A$2:$A$9,0))</f>
        <v>Trà mâm xôi vitamin</v>
      </c>
      <c r="H926" s="9" t="str">
        <f>INDEX(Products!$C$2:$C$9,MATCH(D926,Products!$A$2:$A$9,0))</f>
        <v>Bổ sung dưỡng chất</v>
      </c>
      <c r="I926" s="11">
        <f>INDEX(Products!$D$2:$D$9,MATCH(D926,Products!$A$2:$A$9,0))</f>
        <v>9800</v>
      </c>
      <c r="J926" s="10">
        <f>IFERROR(INDEX(PlatformFees!$C$2:$C$5,MATCH(C926,PlatformFees!$A$2:$A$5,0)),0)</f>
        <v>0.16</v>
      </c>
      <c r="K926" s="11">
        <f t="shared" si="56"/>
        <v>9800</v>
      </c>
      <c r="L926" s="11">
        <f t="shared" si="57"/>
        <v>5600</v>
      </c>
      <c r="M926" s="11">
        <f t="shared" si="58"/>
        <v>19600</v>
      </c>
      <c r="N926" s="10">
        <f t="shared" si="59"/>
        <v>0.56000000000000005</v>
      </c>
    </row>
    <row r="927" spans="1:14" x14ac:dyDescent="0.3">
      <c r="A927" s="9" t="s">
        <v>1028</v>
      </c>
      <c r="B927" s="9" t="s">
        <v>1014</v>
      </c>
      <c r="C927" s="9" t="s">
        <v>36</v>
      </c>
      <c r="D927" s="9" t="s">
        <v>15</v>
      </c>
      <c r="E927" s="9">
        <v>1</v>
      </c>
      <c r="F927" s="11">
        <v>32400</v>
      </c>
      <c r="G927" s="9" t="str">
        <f>INDEX(Products!$B$2:$B$9,MATCH(D927,Products!$A$2:$A$9,0))</f>
        <v>Trà lá nam sen ổi</v>
      </c>
      <c r="H927" s="9" t="str">
        <f>INDEX(Products!$C$2:$C$9,MATCH(D927,Products!$A$2:$A$9,0))</f>
        <v>Thanh lọc</v>
      </c>
      <c r="I927" s="11">
        <f>INDEX(Products!$D$2:$D$9,MATCH(D927,Products!$A$2:$A$9,0))</f>
        <v>8500</v>
      </c>
      <c r="J927" s="10">
        <f>IFERROR(INDEX(PlatformFees!$C$2:$C$5,MATCH(C927,PlatformFees!$A$2:$A$5,0)),0)</f>
        <v>0.13</v>
      </c>
      <c r="K927" s="11">
        <f t="shared" si="56"/>
        <v>8500</v>
      </c>
      <c r="L927" s="11">
        <f t="shared" si="57"/>
        <v>4212</v>
      </c>
      <c r="M927" s="11">
        <f t="shared" si="58"/>
        <v>19688</v>
      </c>
      <c r="N927" s="10">
        <f t="shared" si="59"/>
        <v>0.60765432098765437</v>
      </c>
    </row>
    <row r="928" spans="1:14" x14ac:dyDescent="0.3">
      <c r="A928" s="9" t="s">
        <v>1029</v>
      </c>
      <c r="B928" s="9" t="s">
        <v>1014</v>
      </c>
      <c r="C928" s="9" t="s">
        <v>36</v>
      </c>
      <c r="D928" s="9" t="s">
        <v>22</v>
      </c>
      <c r="E928" s="9">
        <v>2</v>
      </c>
      <c r="F928" s="11">
        <v>76100</v>
      </c>
      <c r="G928" s="9" t="str">
        <f>INDEX(Products!$B$2:$B$9,MATCH(D928,Products!$A$2:$A$9,0))</f>
        <v>Trà hoa cúc an thần</v>
      </c>
      <c r="H928" s="9" t="str">
        <f>INDEX(Products!$C$2:$C$9,MATCH(D928,Products!$A$2:$A$9,0))</f>
        <v>An thần</v>
      </c>
      <c r="I928" s="11">
        <f>INDEX(Products!$D$2:$D$9,MATCH(D928,Products!$A$2:$A$9,0))</f>
        <v>9500</v>
      </c>
      <c r="J928" s="10">
        <f>IFERROR(INDEX(PlatformFees!$C$2:$C$5,MATCH(C928,PlatformFees!$A$2:$A$5,0)),0)</f>
        <v>0.13</v>
      </c>
      <c r="K928" s="11">
        <f t="shared" si="56"/>
        <v>19000</v>
      </c>
      <c r="L928" s="11">
        <f t="shared" si="57"/>
        <v>9893</v>
      </c>
      <c r="M928" s="11">
        <f t="shared" si="58"/>
        <v>47207</v>
      </c>
      <c r="N928" s="10">
        <f t="shared" si="59"/>
        <v>0.62032851511169518</v>
      </c>
    </row>
    <row r="929" spans="1:14" x14ac:dyDescent="0.3">
      <c r="A929" s="9" t="s">
        <v>1030</v>
      </c>
      <c r="B929" s="9" t="s">
        <v>1014</v>
      </c>
      <c r="C929" s="9" t="s">
        <v>36</v>
      </c>
      <c r="D929" s="9" t="s">
        <v>25</v>
      </c>
      <c r="E929" s="9">
        <v>1</v>
      </c>
      <c r="F929" s="11">
        <v>31300</v>
      </c>
      <c r="G929" s="9" t="str">
        <f>INDEX(Products!$B$2:$B$9,MATCH(D929,Products!$A$2:$A$9,0))</f>
        <v>Trà hoa đậu biếc</v>
      </c>
      <c r="H929" s="9" t="str">
        <f>INDEX(Products!$C$2:$C$9,MATCH(D929,Products!$A$2:$A$9,0))</f>
        <v>An thần</v>
      </c>
      <c r="I929" s="11">
        <f>INDEX(Products!$D$2:$D$9,MATCH(D929,Products!$A$2:$A$9,0))</f>
        <v>8800</v>
      </c>
      <c r="J929" s="10">
        <f>IFERROR(INDEX(PlatformFees!$C$2:$C$5,MATCH(C929,PlatformFees!$A$2:$A$5,0)),0)</f>
        <v>0.13</v>
      </c>
      <c r="K929" s="11">
        <f t="shared" si="56"/>
        <v>8800</v>
      </c>
      <c r="L929" s="11">
        <f t="shared" si="57"/>
        <v>4069</v>
      </c>
      <c r="M929" s="11">
        <f t="shared" si="58"/>
        <v>18431</v>
      </c>
      <c r="N929" s="10">
        <f t="shared" si="59"/>
        <v>0.58884984025559106</v>
      </c>
    </row>
    <row r="930" spans="1:14" x14ac:dyDescent="0.3">
      <c r="A930" s="9" t="s">
        <v>1031</v>
      </c>
      <c r="B930" s="9" t="s">
        <v>1014</v>
      </c>
      <c r="C930" s="9" t="s">
        <v>36</v>
      </c>
      <c r="D930" s="9" t="s">
        <v>22</v>
      </c>
      <c r="E930" s="9">
        <v>1</v>
      </c>
      <c r="F930" s="11">
        <v>36500</v>
      </c>
      <c r="G930" s="9" t="str">
        <f>INDEX(Products!$B$2:$B$9,MATCH(D930,Products!$A$2:$A$9,0))</f>
        <v>Trà hoa cúc an thần</v>
      </c>
      <c r="H930" s="9" t="str">
        <f>INDEX(Products!$C$2:$C$9,MATCH(D930,Products!$A$2:$A$9,0))</f>
        <v>An thần</v>
      </c>
      <c r="I930" s="11">
        <f>INDEX(Products!$D$2:$D$9,MATCH(D930,Products!$A$2:$A$9,0))</f>
        <v>9500</v>
      </c>
      <c r="J930" s="10">
        <f>IFERROR(INDEX(PlatformFees!$C$2:$C$5,MATCH(C930,PlatformFees!$A$2:$A$5,0)),0)</f>
        <v>0.13</v>
      </c>
      <c r="K930" s="11">
        <f t="shared" si="56"/>
        <v>9500</v>
      </c>
      <c r="L930" s="11">
        <f t="shared" si="57"/>
        <v>4745</v>
      </c>
      <c r="M930" s="11">
        <f t="shared" si="58"/>
        <v>22255</v>
      </c>
      <c r="N930" s="10">
        <f t="shared" si="59"/>
        <v>0.60972602739726023</v>
      </c>
    </row>
    <row r="931" spans="1:14" x14ac:dyDescent="0.3">
      <c r="A931" s="9" t="s">
        <v>1032</v>
      </c>
      <c r="B931" s="9" t="s">
        <v>1014</v>
      </c>
      <c r="C931" s="9" t="s">
        <v>36</v>
      </c>
      <c r="D931" s="9" t="s">
        <v>22</v>
      </c>
      <c r="E931" s="9">
        <v>3</v>
      </c>
      <c r="F931" s="11">
        <v>106000</v>
      </c>
      <c r="G931" s="9" t="str">
        <f>INDEX(Products!$B$2:$B$9,MATCH(D931,Products!$A$2:$A$9,0))</f>
        <v>Trà hoa cúc an thần</v>
      </c>
      <c r="H931" s="9" t="str">
        <f>INDEX(Products!$C$2:$C$9,MATCH(D931,Products!$A$2:$A$9,0))</f>
        <v>An thần</v>
      </c>
      <c r="I931" s="11">
        <f>INDEX(Products!$D$2:$D$9,MATCH(D931,Products!$A$2:$A$9,0))</f>
        <v>9500</v>
      </c>
      <c r="J931" s="10">
        <f>IFERROR(INDEX(PlatformFees!$C$2:$C$5,MATCH(C931,PlatformFees!$A$2:$A$5,0)),0)</f>
        <v>0.13</v>
      </c>
      <c r="K931" s="11">
        <f t="shared" si="56"/>
        <v>28500</v>
      </c>
      <c r="L931" s="11">
        <f t="shared" si="57"/>
        <v>13780</v>
      </c>
      <c r="M931" s="11">
        <f t="shared" si="58"/>
        <v>63720</v>
      </c>
      <c r="N931" s="10">
        <f t="shared" si="59"/>
        <v>0.60113207547169811</v>
      </c>
    </row>
    <row r="932" spans="1:14" x14ac:dyDescent="0.3">
      <c r="A932" s="9" t="s">
        <v>1033</v>
      </c>
      <c r="B932" s="9" t="s">
        <v>1034</v>
      </c>
      <c r="C932" s="9" t="s">
        <v>36</v>
      </c>
      <c r="D932" s="9" t="s">
        <v>20</v>
      </c>
      <c r="E932" s="9">
        <v>2</v>
      </c>
      <c r="F932" s="11">
        <v>104500</v>
      </c>
      <c r="G932" s="9" t="str">
        <f>INDEX(Products!$B$2:$B$9,MATCH(D932,Products!$A$2:$A$9,0))</f>
        <v>Trà cà leo gai giảm cân</v>
      </c>
      <c r="H932" s="9" t="str">
        <f>INDEX(Products!$C$2:$C$9,MATCH(D932,Products!$A$2:$A$9,0))</f>
        <v>Detox</v>
      </c>
      <c r="I932" s="11">
        <f>INDEX(Products!$D$2:$D$9,MATCH(D932,Products!$A$2:$A$9,0))</f>
        <v>15000</v>
      </c>
      <c r="J932" s="10">
        <f>IFERROR(INDEX(PlatformFees!$C$2:$C$5,MATCH(C932,PlatformFees!$A$2:$A$5,0)),0)</f>
        <v>0.13</v>
      </c>
      <c r="K932" s="11">
        <f t="shared" si="56"/>
        <v>30000</v>
      </c>
      <c r="L932" s="11">
        <f t="shared" si="57"/>
        <v>13585</v>
      </c>
      <c r="M932" s="11">
        <f t="shared" si="58"/>
        <v>60915</v>
      </c>
      <c r="N932" s="10">
        <f t="shared" si="59"/>
        <v>0.58291866028708139</v>
      </c>
    </row>
    <row r="933" spans="1:14" x14ac:dyDescent="0.3">
      <c r="A933" s="9" t="s">
        <v>1035</v>
      </c>
      <c r="B933" s="9" t="s">
        <v>1034</v>
      </c>
      <c r="C933" s="9" t="s">
        <v>36</v>
      </c>
      <c r="D933" s="9" t="s">
        <v>27</v>
      </c>
      <c r="E933" s="9">
        <v>2</v>
      </c>
      <c r="F933" s="11">
        <v>79300</v>
      </c>
      <c r="G933" s="9" t="str">
        <f>INDEX(Products!$B$2:$B$9,MATCH(D933,Products!$A$2:$A$9,0))</f>
        <v>Trà gừng mật ong</v>
      </c>
      <c r="H933" s="9" t="str">
        <f>INDEX(Products!$C$2:$C$9,MATCH(D933,Products!$A$2:$A$9,0))</f>
        <v>Giữ ấm</v>
      </c>
      <c r="I933" s="11">
        <f>INDEX(Products!$D$2:$D$9,MATCH(D933,Products!$A$2:$A$9,0))</f>
        <v>11000</v>
      </c>
      <c r="J933" s="10">
        <f>IFERROR(INDEX(PlatformFees!$C$2:$C$5,MATCH(C933,PlatformFees!$A$2:$A$5,0)),0)</f>
        <v>0.13</v>
      </c>
      <c r="K933" s="11">
        <f t="shared" si="56"/>
        <v>22000</v>
      </c>
      <c r="L933" s="11">
        <f t="shared" si="57"/>
        <v>10309</v>
      </c>
      <c r="M933" s="11">
        <f t="shared" si="58"/>
        <v>46991</v>
      </c>
      <c r="N933" s="10">
        <f t="shared" si="59"/>
        <v>0.59257250945775541</v>
      </c>
    </row>
    <row r="934" spans="1:14" x14ac:dyDescent="0.3">
      <c r="A934" s="9" t="s">
        <v>1036</v>
      </c>
      <c r="B934" s="9" t="s">
        <v>1034</v>
      </c>
      <c r="C934" s="9" t="s">
        <v>39</v>
      </c>
      <c r="D934" s="9" t="s">
        <v>12</v>
      </c>
      <c r="E934" s="9">
        <v>3</v>
      </c>
      <c r="F934" s="11">
        <v>105000</v>
      </c>
      <c r="G934" s="9" t="str">
        <f>INDEX(Products!$B$2:$B$9,MATCH(D934,Products!$A$2:$A$9,0))</f>
        <v>Trà atiso thanh lọc</v>
      </c>
      <c r="H934" s="9" t="str">
        <f>INDEX(Products!$C$2:$C$9,MATCH(D934,Products!$A$2:$A$9,0))</f>
        <v>Thanh lọc</v>
      </c>
      <c r="I934" s="11">
        <f>INDEX(Products!$D$2:$D$9,MATCH(D934,Products!$A$2:$A$9,0))</f>
        <v>9000</v>
      </c>
      <c r="J934" s="10">
        <f>IFERROR(INDEX(PlatformFees!$C$2:$C$5,MATCH(C934,PlatformFees!$A$2:$A$5,0)),0)</f>
        <v>0</v>
      </c>
      <c r="K934" s="11">
        <f t="shared" si="56"/>
        <v>27000</v>
      </c>
      <c r="L934" s="11">
        <f t="shared" si="57"/>
        <v>0</v>
      </c>
      <c r="M934" s="11">
        <f t="shared" si="58"/>
        <v>78000</v>
      </c>
      <c r="N934" s="10">
        <f t="shared" si="59"/>
        <v>0.74285714285714288</v>
      </c>
    </row>
    <row r="935" spans="1:14" x14ac:dyDescent="0.3">
      <c r="A935" s="9" t="s">
        <v>1037</v>
      </c>
      <c r="B935" s="9" t="s">
        <v>1034</v>
      </c>
      <c r="C935" s="9" t="s">
        <v>40</v>
      </c>
      <c r="D935" s="9" t="s">
        <v>27</v>
      </c>
      <c r="E935" s="9">
        <v>1</v>
      </c>
      <c r="F935" s="11">
        <v>38600</v>
      </c>
      <c r="G935" s="9" t="str">
        <f>INDEX(Products!$B$2:$B$9,MATCH(D935,Products!$A$2:$A$9,0))</f>
        <v>Trà gừng mật ong</v>
      </c>
      <c r="H935" s="9" t="str">
        <f>INDEX(Products!$C$2:$C$9,MATCH(D935,Products!$A$2:$A$9,0))</f>
        <v>Giữ ấm</v>
      </c>
      <c r="I935" s="11">
        <f>INDEX(Products!$D$2:$D$9,MATCH(D935,Products!$A$2:$A$9,0))</f>
        <v>11000</v>
      </c>
      <c r="J935" s="10">
        <f>IFERROR(INDEX(PlatformFees!$C$2:$C$5,MATCH(C935,PlatformFees!$A$2:$A$5,0)),0)</f>
        <v>0</v>
      </c>
      <c r="K935" s="11">
        <f t="shared" si="56"/>
        <v>11000</v>
      </c>
      <c r="L935" s="11">
        <f t="shared" si="57"/>
        <v>0</v>
      </c>
      <c r="M935" s="11">
        <f t="shared" si="58"/>
        <v>27600</v>
      </c>
      <c r="N935" s="10">
        <f t="shared" si="59"/>
        <v>0.71502590673575128</v>
      </c>
    </row>
    <row r="936" spans="1:14" x14ac:dyDescent="0.3">
      <c r="A936" s="9" t="s">
        <v>1038</v>
      </c>
      <c r="B936" s="9" t="s">
        <v>1034</v>
      </c>
      <c r="C936" s="9" t="s">
        <v>38</v>
      </c>
      <c r="D936" s="9" t="s">
        <v>27</v>
      </c>
      <c r="E936" s="9">
        <v>3</v>
      </c>
      <c r="F936" s="11">
        <v>116200</v>
      </c>
      <c r="G936" s="9" t="str">
        <f>INDEX(Products!$B$2:$B$9,MATCH(D936,Products!$A$2:$A$9,0))</f>
        <v>Trà gừng mật ong</v>
      </c>
      <c r="H936" s="9" t="str">
        <f>INDEX(Products!$C$2:$C$9,MATCH(D936,Products!$A$2:$A$9,0))</f>
        <v>Giữ ấm</v>
      </c>
      <c r="I936" s="11">
        <f>INDEX(Products!$D$2:$D$9,MATCH(D936,Products!$A$2:$A$9,0))</f>
        <v>11000</v>
      </c>
      <c r="J936" s="10">
        <f>IFERROR(INDEX(PlatformFees!$C$2:$C$5,MATCH(C936,PlatformFees!$A$2:$A$5,0)),0)</f>
        <v>0.16</v>
      </c>
      <c r="K936" s="11">
        <f t="shared" si="56"/>
        <v>33000</v>
      </c>
      <c r="L936" s="11">
        <f t="shared" si="57"/>
        <v>18592</v>
      </c>
      <c r="M936" s="11">
        <f t="shared" si="58"/>
        <v>64608</v>
      </c>
      <c r="N936" s="10">
        <f t="shared" si="59"/>
        <v>0.55600688468158344</v>
      </c>
    </row>
    <row r="937" spans="1:14" x14ac:dyDescent="0.3">
      <c r="A937" s="9" t="s">
        <v>1039</v>
      </c>
      <c r="B937" s="9" t="s">
        <v>1034</v>
      </c>
      <c r="C937" s="9" t="s">
        <v>38</v>
      </c>
      <c r="D937" s="9" t="s">
        <v>25</v>
      </c>
      <c r="E937" s="9">
        <v>2</v>
      </c>
      <c r="F937" s="11">
        <v>62800</v>
      </c>
      <c r="G937" s="9" t="str">
        <f>INDEX(Products!$B$2:$B$9,MATCH(D937,Products!$A$2:$A$9,0))</f>
        <v>Trà hoa đậu biếc</v>
      </c>
      <c r="H937" s="9" t="str">
        <f>INDEX(Products!$C$2:$C$9,MATCH(D937,Products!$A$2:$A$9,0))</f>
        <v>An thần</v>
      </c>
      <c r="I937" s="11">
        <f>INDEX(Products!$D$2:$D$9,MATCH(D937,Products!$A$2:$A$9,0))</f>
        <v>8800</v>
      </c>
      <c r="J937" s="10">
        <f>IFERROR(INDEX(PlatformFees!$C$2:$C$5,MATCH(C937,PlatformFees!$A$2:$A$5,0)),0)</f>
        <v>0.16</v>
      </c>
      <c r="K937" s="11">
        <f t="shared" si="56"/>
        <v>17600</v>
      </c>
      <c r="L937" s="11">
        <f t="shared" si="57"/>
        <v>10048</v>
      </c>
      <c r="M937" s="11">
        <f t="shared" si="58"/>
        <v>35152</v>
      </c>
      <c r="N937" s="10">
        <f t="shared" si="59"/>
        <v>0.55974522292993634</v>
      </c>
    </row>
    <row r="938" spans="1:14" x14ac:dyDescent="0.3">
      <c r="A938" s="9" t="s">
        <v>1040</v>
      </c>
      <c r="B938" s="9" t="s">
        <v>1034</v>
      </c>
      <c r="C938" s="9" t="s">
        <v>38</v>
      </c>
      <c r="D938" s="9" t="s">
        <v>27</v>
      </c>
      <c r="E938" s="9">
        <v>1</v>
      </c>
      <c r="F938" s="11">
        <v>38900</v>
      </c>
      <c r="G938" s="9" t="str">
        <f>INDEX(Products!$B$2:$B$9,MATCH(D938,Products!$A$2:$A$9,0))</f>
        <v>Trà gừng mật ong</v>
      </c>
      <c r="H938" s="9" t="str">
        <f>INDEX(Products!$C$2:$C$9,MATCH(D938,Products!$A$2:$A$9,0))</f>
        <v>Giữ ấm</v>
      </c>
      <c r="I938" s="11">
        <f>INDEX(Products!$D$2:$D$9,MATCH(D938,Products!$A$2:$A$9,0))</f>
        <v>11000</v>
      </c>
      <c r="J938" s="10">
        <f>IFERROR(INDEX(PlatformFees!$C$2:$C$5,MATCH(C938,PlatformFees!$A$2:$A$5,0)),0)</f>
        <v>0.16</v>
      </c>
      <c r="K938" s="11">
        <f t="shared" si="56"/>
        <v>11000</v>
      </c>
      <c r="L938" s="11">
        <f t="shared" si="57"/>
        <v>6224</v>
      </c>
      <c r="M938" s="11">
        <f t="shared" si="58"/>
        <v>21676</v>
      </c>
      <c r="N938" s="10">
        <f t="shared" si="59"/>
        <v>0.55722365038560406</v>
      </c>
    </row>
    <row r="939" spans="1:14" x14ac:dyDescent="0.3">
      <c r="A939" s="9" t="s">
        <v>1041</v>
      </c>
      <c r="B939" s="9" t="s">
        <v>1034</v>
      </c>
      <c r="C939" s="9" t="s">
        <v>38</v>
      </c>
      <c r="D939" s="9" t="s">
        <v>27</v>
      </c>
      <c r="E939" s="9">
        <v>2</v>
      </c>
      <c r="F939" s="11">
        <v>74000</v>
      </c>
      <c r="G939" s="9" t="str">
        <f>INDEX(Products!$B$2:$B$9,MATCH(D939,Products!$A$2:$A$9,0))</f>
        <v>Trà gừng mật ong</v>
      </c>
      <c r="H939" s="9" t="str">
        <f>INDEX(Products!$C$2:$C$9,MATCH(D939,Products!$A$2:$A$9,0))</f>
        <v>Giữ ấm</v>
      </c>
      <c r="I939" s="11">
        <f>INDEX(Products!$D$2:$D$9,MATCH(D939,Products!$A$2:$A$9,0))</f>
        <v>11000</v>
      </c>
      <c r="J939" s="10">
        <f>IFERROR(INDEX(PlatformFees!$C$2:$C$5,MATCH(C939,PlatformFees!$A$2:$A$5,0)),0)</f>
        <v>0.16</v>
      </c>
      <c r="K939" s="11">
        <f t="shared" si="56"/>
        <v>22000</v>
      </c>
      <c r="L939" s="11">
        <f t="shared" si="57"/>
        <v>11840</v>
      </c>
      <c r="M939" s="11">
        <f t="shared" si="58"/>
        <v>40160</v>
      </c>
      <c r="N939" s="10">
        <f t="shared" si="59"/>
        <v>0.54270270270270271</v>
      </c>
    </row>
    <row r="940" spans="1:14" x14ac:dyDescent="0.3">
      <c r="A940" s="9" t="s">
        <v>1042</v>
      </c>
      <c r="B940" s="9" t="s">
        <v>1034</v>
      </c>
      <c r="C940" s="9" t="s">
        <v>36</v>
      </c>
      <c r="D940" s="9" t="s">
        <v>17</v>
      </c>
      <c r="E940" s="9">
        <v>3</v>
      </c>
      <c r="F940" s="11">
        <v>128000</v>
      </c>
      <c r="G940" s="9" t="str">
        <f>INDEX(Products!$B$2:$B$9,MATCH(D940,Products!$A$2:$A$9,0))</f>
        <v>Trà diếp cá rau má</v>
      </c>
      <c r="H940" s="9" t="str">
        <f>INDEX(Products!$C$2:$C$9,MATCH(D940,Products!$A$2:$A$9,0))</f>
        <v>Detox</v>
      </c>
      <c r="I940" s="11">
        <f>INDEX(Products!$D$2:$D$9,MATCH(D940,Products!$A$2:$A$9,0))</f>
        <v>10500</v>
      </c>
      <c r="J940" s="10">
        <f>IFERROR(INDEX(PlatformFees!$C$2:$C$5,MATCH(C940,PlatformFees!$A$2:$A$5,0)),0)</f>
        <v>0.13</v>
      </c>
      <c r="K940" s="11">
        <f t="shared" si="56"/>
        <v>31500</v>
      </c>
      <c r="L940" s="11">
        <f t="shared" si="57"/>
        <v>16640</v>
      </c>
      <c r="M940" s="11">
        <f t="shared" si="58"/>
        <v>79860</v>
      </c>
      <c r="N940" s="10">
        <f t="shared" si="59"/>
        <v>0.62390625</v>
      </c>
    </row>
    <row r="941" spans="1:14" x14ac:dyDescent="0.3">
      <c r="A941" s="9" t="s">
        <v>1043</v>
      </c>
      <c r="B941" s="9" t="s">
        <v>1034</v>
      </c>
      <c r="C941" s="9" t="s">
        <v>38</v>
      </c>
      <c r="D941" s="9" t="s">
        <v>25</v>
      </c>
      <c r="E941" s="9">
        <v>3</v>
      </c>
      <c r="F941" s="11">
        <v>100200</v>
      </c>
      <c r="G941" s="9" t="str">
        <f>INDEX(Products!$B$2:$B$9,MATCH(D941,Products!$A$2:$A$9,0))</f>
        <v>Trà hoa đậu biếc</v>
      </c>
      <c r="H941" s="9" t="str">
        <f>INDEX(Products!$C$2:$C$9,MATCH(D941,Products!$A$2:$A$9,0))</f>
        <v>An thần</v>
      </c>
      <c r="I941" s="11">
        <f>INDEX(Products!$D$2:$D$9,MATCH(D941,Products!$A$2:$A$9,0))</f>
        <v>8800</v>
      </c>
      <c r="J941" s="10">
        <f>IFERROR(INDEX(PlatformFees!$C$2:$C$5,MATCH(C941,PlatformFees!$A$2:$A$5,0)),0)</f>
        <v>0.16</v>
      </c>
      <c r="K941" s="11">
        <f t="shared" si="56"/>
        <v>26400</v>
      </c>
      <c r="L941" s="11">
        <f t="shared" si="57"/>
        <v>16032</v>
      </c>
      <c r="M941" s="11">
        <f t="shared" si="58"/>
        <v>57768</v>
      </c>
      <c r="N941" s="10">
        <f t="shared" si="59"/>
        <v>0.57652694610778443</v>
      </c>
    </row>
    <row r="942" spans="1:14" x14ac:dyDescent="0.3">
      <c r="A942" s="9" t="s">
        <v>1044</v>
      </c>
      <c r="B942" s="9" t="s">
        <v>1034</v>
      </c>
      <c r="C942" s="9" t="s">
        <v>40</v>
      </c>
      <c r="D942" s="9" t="s">
        <v>25</v>
      </c>
      <c r="E942" s="9">
        <v>1</v>
      </c>
      <c r="F942" s="11">
        <v>33200</v>
      </c>
      <c r="G942" s="9" t="str">
        <f>INDEX(Products!$B$2:$B$9,MATCH(D942,Products!$A$2:$A$9,0))</f>
        <v>Trà hoa đậu biếc</v>
      </c>
      <c r="H942" s="9" t="str">
        <f>INDEX(Products!$C$2:$C$9,MATCH(D942,Products!$A$2:$A$9,0))</f>
        <v>An thần</v>
      </c>
      <c r="I942" s="11">
        <f>INDEX(Products!$D$2:$D$9,MATCH(D942,Products!$A$2:$A$9,0))</f>
        <v>8800</v>
      </c>
      <c r="J942" s="10">
        <f>IFERROR(INDEX(PlatformFees!$C$2:$C$5,MATCH(C942,PlatformFees!$A$2:$A$5,0)),0)</f>
        <v>0</v>
      </c>
      <c r="K942" s="11">
        <f t="shared" si="56"/>
        <v>8800</v>
      </c>
      <c r="L942" s="11">
        <f t="shared" si="57"/>
        <v>0</v>
      </c>
      <c r="M942" s="11">
        <f t="shared" si="58"/>
        <v>24400</v>
      </c>
      <c r="N942" s="10">
        <f t="shared" si="59"/>
        <v>0.73493975903614461</v>
      </c>
    </row>
    <row r="943" spans="1:14" x14ac:dyDescent="0.3">
      <c r="A943" s="9" t="s">
        <v>1045</v>
      </c>
      <c r="B943" s="9" t="s">
        <v>1034</v>
      </c>
      <c r="C943" s="9" t="s">
        <v>38</v>
      </c>
      <c r="D943" s="9" t="s">
        <v>22</v>
      </c>
      <c r="E943" s="9">
        <v>2</v>
      </c>
      <c r="F943" s="11">
        <v>75500</v>
      </c>
      <c r="G943" s="9" t="str">
        <f>INDEX(Products!$B$2:$B$9,MATCH(D943,Products!$A$2:$A$9,0))</f>
        <v>Trà hoa cúc an thần</v>
      </c>
      <c r="H943" s="9" t="str">
        <f>INDEX(Products!$C$2:$C$9,MATCH(D943,Products!$A$2:$A$9,0))</f>
        <v>An thần</v>
      </c>
      <c r="I943" s="11">
        <f>INDEX(Products!$D$2:$D$9,MATCH(D943,Products!$A$2:$A$9,0))</f>
        <v>9500</v>
      </c>
      <c r="J943" s="10">
        <f>IFERROR(INDEX(PlatformFees!$C$2:$C$5,MATCH(C943,PlatformFees!$A$2:$A$5,0)),0)</f>
        <v>0.16</v>
      </c>
      <c r="K943" s="11">
        <f t="shared" si="56"/>
        <v>19000</v>
      </c>
      <c r="L943" s="11">
        <f t="shared" si="57"/>
        <v>12080</v>
      </c>
      <c r="M943" s="11">
        <f t="shared" si="58"/>
        <v>44420</v>
      </c>
      <c r="N943" s="10">
        <f t="shared" si="59"/>
        <v>0.58834437086092717</v>
      </c>
    </row>
    <row r="944" spans="1:14" x14ac:dyDescent="0.3">
      <c r="A944" s="9" t="s">
        <v>1046</v>
      </c>
      <c r="B944" s="9" t="s">
        <v>1034</v>
      </c>
      <c r="C944" s="9" t="s">
        <v>36</v>
      </c>
      <c r="D944" s="9" t="s">
        <v>17</v>
      </c>
      <c r="E944" s="9">
        <v>3</v>
      </c>
      <c r="F944" s="11">
        <v>124800</v>
      </c>
      <c r="G944" s="9" t="str">
        <f>INDEX(Products!$B$2:$B$9,MATCH(D944,Products!$A$2:$A$9,0))</f>
        <v>Trà diếp cá rau má</v>
      </c>
      <c r="H944" s="9" t="str">
        <f>INDEX(Products!$C$2:$C$9,MATCH(D944,Products!$A$2:$A$9,0))</f>
        <v>Detox</v>
      </c>
      <c r="I944" s="11">
        <f>INDEX(Products!$D$2:$D$9,MATCH(D944,Products!$A$2:$A$9,0))</f>
        <v>10500</v>
      </c>
      <c r="J944" s="10">
        <f>IFERROR(INDEX(PlatformFees!$C$2:$C$5,MATCH(C944,PlatformFees!$A$2:$A$5,0)),0)</f>
        <v>0.13</v>
      </c>
      <c r="K944" s="11">
        <f t="shared" si="56"/>
        <v>31500</v>
      </c>
      <c r="L944" s="11">
        <f t="shared" si="57"/>
        <v>16224</v>
      </c>
      <c r="M944" s="11">
        <f t="shared" si="58"/>
        <v>77076</v>
      </c>
      <c r="N944" s="10">
        <f t="shared" si="59"/>
        <v>0.61759615384615385</v>
      </c>
    </row>
    <row r="945" spans="1:14" x14ac:dyDescent="0.3">
      <c r="A945" s="9" t="s">
        <v>1047</v>
      </c>
      <c r="B945" s="9" t="s">
        <v>1034</v>
      </c>
      <c r="C945" s="9" t="s">
        <v>36</v>
      </c>
      <c r="D945" s="9" t="s">
        <v>27</v>
      </c>
      <c r="E945" s="9">
        <v>2</v>
      </c>
      <c r="F945" s="11">
        <v>74100</v>
      </c>
      <c r="G945" s="9" t="str">
        <f>INDEX(Products!$B$2:$B$9,MATCH(D945,Products!$A$2:$A$9,0))</f>
        <v>Trà gừng mật ong</v>
      </c>
      <c r="H945" s="9" t="str">
        <f>INDEX(Products!$C$2:$C$9,MATCH(D945,Products!$A$2:$A$9,0))</f>
        <v>Giữ ấm</v>
      </c>
      <c r="I945" s="11">
        <f>INDEX(Products!$D$2:$D$9,MATCH(D945,Products!$A$2:$A$9,0))</f>
        <v>11000</v>
      </c>
      <c r="J945" s="10">
        <f>IFERROR(INDEX(PlatformFees!$C$2:$C$5,MATCH(C945,PlatformFees!$A$2:$A$5,0)),0)</f>
        <v>0.13</v>
      </c>
      <c r="K945" s="11">
        <f t="shared" si="56"/>
        <v>22000</v>
      </c>
      <c r="L945" s="11">
        <f t="shared" si="57"/>
        <v>9633</v>
      </c>
      <c r="M945" s="11">
        <f t="shared" si="58"/>
        <v>42467</v>
      </c>
      <c r="N945" s="10">
        <f t="shared" si="59"/>
        <v>0.57310391363022939</v>
      </c>
    </row>
    <row r="946" spans="1:14" x14ac:dyDescent="0.3">
      <c r="A946" s="9" t="s">
        <v>1048</v>
      </c>
      <c r="B946" s="9" t="s">
        <v>1034</v>
      </c>
      <c r="C946" s="9" t="s">
        <v>38</v>
      </c>
      <c r="D946" s="9" t="s">
        <v>15</v>
      </c>
      <c r="E946" s="9">
        <v>2</v>
      </c>
      <c r="F946" s="11">
        <v>64900</v>
      </c>
      <c r="G946" s="9" t="str">
        <f>INDEX(Products!$B$2:$B$9,MATCH(D946,Products!$A$2:$A$9,0))</f>
        <v>Trà lá nam sen ổi</v>
      </c>
      <c r="H946" s="9" t="str">
        <f>INDEX(Products!$C$2:$C$9,MATCH(D946,Products!$A$2:$A$9,0))</f>
        <v>Thanh lọc</v>
      </c>
      <c r="I946" s="11">
        <f>INDEX(Products!$D$2:$D$9,MATCH(D946,Products!$A$2:$A$9,0))</f>
        <v>8500</v>
      </c>
      <c r="J946" s="10">
        <f>IFERROR(INDEX(PlatformFees!$C$2:$C$5,MATCH(C946,PlatformFees!$A$2:$A$5,0)),0)</f>
        <v>0.16</v>
      </c>
      <c r="K946" s="11">
        <f t="shared" si="56"/>
        <v>17000</v>
      </c>
      <c r="L946" s="11">
        <f t="shared" si="57"/>
        <v>10384</v>
      </c>
      <c r="M946" s="11">
        <f t="shared" si="58"/>
        <v>37516</v>
      </c>
      <c r="N946" s="10">
        <f t="shared" si="59"/>
        <v>0.57805855161787367</v>
      </c>
    </row>
    <row r="947" spans="1:14" x14ac:dyDescent="0.3">
      <c r="A947" s="9" t="s">
        <v>1049</v>
      </c>
      <c r="B947" s="9" t="s">
        <v>1034</v>
      </c>
      <c r="C947" s="9" t="s">
        <v>39</v>
      </c>
      <c r="D947" s="9" t="s">
        <v>12</v>
      </c>
      <c r="E947" s="9">
        <v>2</v>
      </c>
      <c r="F947" s="11">
        <v>66900</v>
      </c>
      <c r="G947" s="9" t="str">
        <f>INDEX(Products!$B$2:$B$9,MATCH(D947,Products!$A$2:$A$9,0))</f>
        <v>Trà atiso thanh lọc</v>
      </c>
      <c r="H947" s="9" t="str">
        <f>INDEX(Products!$C$2:$C$9,MATCH(D947,Products!$A$2:$A$9,0))</f>
        <v>Thanh lọc</v>
      </c>
      <c r="I947" s="11">
        <f>INDEX(Products!$D$2:$D$9,MATCH(D947,Products!$A$2:$A$9,0))</f>
        <v>9000</v>
      </c>
      <c r="J947" s="10">
        <f>IFERROR(INDEX(PlatformFees!$C$2:$C$5,MATCH(C947,PlatformFees!$A$2:$A$5,0)),0)</f>
        <v>0</v>
      </c>
      <c r="K947" s="11">
        <f t="shared" si="56"/>
        <v>18000</v>
      </c>
      <c r="L947" s="11">
        <f t="shared" si="57"/>
        <v>0</v>
      </c>
      <c r="M947" s="11">
        <f t="shared" si="58"/>
        <v>48900</v>
      </c>
      <c r="N947" s="10">
        <f t="shared" si="59"/>
        <v>0.73094170403587444</v>
      </c>
    </row>
    <row r="948" spans="1:14" x14ac:dyDescent="0.3">
      <c r="A948" s="9" t="s">
        <v>1050</v>
      </c>
      <c r="B948" s="9" t="s">
        <v>1034</v>
      </c>
      <c r="C948" s="9" t="s">
        <v>36</v>
      </c>
      <c r="D948" s="9" t="s">
        <v>17</v>
      </c>
      <c r="E948" s="9">
        <v>2</v>
      </c>
      <c r="F948" s="11">
        <v>79300</v>
      </c>
      <c r="G948" s="9" t="str">
        <f>INDEX(Products!$B$2:$B$9,MATCH(D948,Products!$A$2:$A$9,0))</f>
        <v>Trà diếp cá rau má</v>
      </c>
      <c r="H948" s="9" t="str">
        <f>INDEX(Products!$C$2:$C$9,MATCH(D948,Products!$A$2:$A$9,0))</f>
        <v>Detox</v>
      </c>
      <c r="I948" s="11">
        <f>INDEX(Products!$D$2:$D$9,MATCH(D948,Products!$A$2:$A$9,0))</f>
        <v>10500</v>
      </c>
      <c r="J948" s="10">
        <f>IFERROR(INDEX(PlatformFees!$C$2:$C$5,MATCH(C948,PlatformFees!$A$2:$A$5,0)),0)</f>
        <v>0.13</v>
      </c>
      <c r="K948" s="11">
        <f t="shared" si="56"/>
        <v>21000</v>
      </c>
      <c r="L948" s="11">
        <f t="shared" si="57"/>
        <v>10309</v>
      </c>
      <c r="M948" s="11">
        <f t="shared" si="58"/>
        <v>47991</v>
      </c>
      <c r="N948" s="10">
        <f t="shared" si="59"/>
        <v>0.60518284993694826</v>
      </c>
    </row>
    <row r="949" spans="1:14" x14ac:dyDescent="0.3">
      <c r="A949" s="9" t="s">
        <v>1051</v>
      </c>
      <c r="B949" s="9" t="s">
        <v>1034</v>
      </c>
      <c r="C949" s="9" t="s">
        <v>38</v>
      </c>
      <c r="D949" s="9" t="s">
        <v>20</v>
      </c>
      <c r="E949" s="9">
        <v>1</v>
      </c>
      <c r="F949" s="11">
        <v>51100</v>
      </c>
      <c r="G949" s="9" t="str">
        <f>INDEX(Products!$B$2:$B$9,MATCH(D949,Products!$A$2:$A$9,0))</f>
        <v>Trà cà leo gai giảm cân</v>
      </c>
      <c r="H949" s="9" t="str">
        <f>INDEX(Products!$C$2:$C$9,MATCH(D949,Products!$A$2:$A$9,0))</f>
        <v>Detox</v>
      </c>
      <c r="I949" s="11">
        <f>INDEX(Products!$D$2:$D$9,MATCH(D949,Products!$A$2:$A$9,0))</f>
        <v>15000</v>
      </c>
      <c r="J949" s="10">
        <f>IFERROR(INDEX(PlatformFees!$C$2:$C$5,MATCH(C949,PlatformFees!$A$2:$A$5,0)),0)</f>
        <v>0.16</v>
      </c>
      <c r="K949" s="11">
        <f t="shared" si="56"/>
        <v>15000</v>
      </c>
      <c r="L949" s="11">
        <f t="shared" si="57"/>
        <v>8176</v>
      </c>
      <c r="M949" s="11">
        <f t="shared" si="58"/>
        <v>27924</v>
      </c>
      <c r="N949" s="10">
        <f t="shared" si="59"/>
        <v>0.54645792563600781</v>
      </c>
    </row>
    <row r="950" spans="1:14" x14ac:dyDescent="0.3">
      <c r="A950" s="9" t="s">
        <v>1052</v>
      </c>
      <c r="B950" s="9" t="s">
        <v>1034</v>
      </c>
      <c r="C950" s="9" t="s">
        <v>36</v>
      </c>
      <c r="D950" s="9" t="s">
        <v>20</v>
      </c>
      <c r="E950" s="9">
        <v>1</v>
      </c>
      <c r="F950" s="11">
        <v>55800</v>
      </c>
      <c r="G950" s="9" t="str">
        <f>INDEX(Products!$B$2:$B$9,MATCH(D950,Products!$A$2:$A$9,0))</f>
        <v>Trà cà leo gai giảm cân</v>
      </c>
      <c r="H950" s="9" t="str">
        <f>INDEX(Products!$C$2:$C$9,MATCH(D950,Products!$A$2:$A$9,0))</f>
        <v>Detox</v>
      </c>
      <c r="I950" s="11">
        <f>INDEX(Products!$D$2:$D$9,MATCH(D950,Products!$A$2:$A$9,0))</f>
        <v>15000</v>
      </c>
      <c r="J950" s="10">
        <f>IFERROR(INDEX(PlatformFees!$C$2:$C$5,MATCH(C950,PlatformFees!$A$2:$A$5,0)),0)</f>
        <v>0.13</v>
      </c>
      <c r="K950" s="11">
        <f t="shared" si="56"/>
        <v>15000</v>
      </c>
      <c r="L950" s="11">
        <f t="shared" si="57"/>
        <v>7254</v>
      </c>
      <c r="M950" s="11">
        <f t="shared" si="58"/>
        <v>33546</v>
      </c>
      <c r="N950" s="10">
        <f t="shared" si="59"/>
        <v>0.60118279569892474</v>
      </c>
    </row>
    <row r="951" spans="1:14" x14ac:dyDescent="0.3">
      <c r="A951" s="9" t="s">
        <v>1053</v>
      </c>
      <c r="B951" s="9" t="s">
        <v>1034</v>
      </c>
      <c r="C951" s="9" t="s">
        <v>36</v>
      </c>
      <c r="D951" s="9" t="s">
        <v>15</v>
      </c>
      <c r="E951" s="9">
        <v>2</v>
      </c>
      <c r="F951" s="11">
        <v>64100</v>
      </c>
      <c r="G951" s="9" t="str">
        <f>INDEX(Products!$B$2:$B$9,MATCH(D951,Products!$A$2:$A$9,0))</f>
        <v>Trà lá nam sen ổi</v>
      </c>
      <c r="H951" s="9" t="str">
        <f>INDEX(Products!$C$2:$C$9,MATCH(D951,Products!$A$2:$A$9,0))</f>
        <v>Thanh lọc</v>
      </c>
      <c r="I951" s="11">
        <f>INDEX(Products!$D$2:$D$9,MATCH(D951,Products!$A$2:$A$9,0))</f>
        <v>8500</v>
      </c>
      <c r="J951" s="10">
        <f>IFERROR(INDEX(PlatformFees!$C$2:$C$5,MATCH(C951,PlatformFees!$A$2:$A$5,0)),0)</f>
        <v>0.13</v>
      </c>
      <c r="K951" s="11">
        <f t="shared" si="56"/>
        <v>17000</v>
      </c>
      <c r="L951" s="11">
        <f t="shared" si="57"/>
        <v>8333</v>
      </c>
      <c r="M951" s="11">
        <f t="shared" si="58"/>
        <v>38767</v>
      </c>
      <c r="N951" s="10">
        <f t="shared" si="59"/>
        <v>0.60478939157566303</v>
      </c>
    </row>
    <row r="952" spans="1:14" x14ac:dyDescent="0.3">
      <c r="A952" s="9" t="s">
        <v>1054</v>
      </c>
      <c r="B952" s="9" t="s">
        <v>1055</v>
      </c>
      <c r="C952" s="9" t="s">
        <v>36</v>
      </c>
      <c r="D952" s="9" t="s">
        <v>20</v>
      </c>
      <c r="E952" s="9">
        <v>2</v>
      </c>
      <c r="F952" s="11">
        <v>107800</v>
      </c>
      <c r="G952" s="9" t="str">
        <f>INDEX(Products!$B$2:$B$9,MATCH(D952,Products!$A$2:$A$9,0))</f>
        <v>Trà cà leo gai giảm cân</v>
      </c>
      <c r="H952" s="9" t="str">
        <f>INDEX(Products!$C$2:$C$9,MATCH(D952,Products!$A$2:$A$9,0))</f>
        <v>Detox</v>
      </c>
      <c r="I952" s="11">
        <f>INDEX(Products!$D$2:$D$9,MATCH(D952,Products!$A$2:$A$9,0))</f>
        <v>15000</v>
      </c>
      <c r="J952" s="10">
        <f>IFERROR(INDEX(PlatformFees!$C$2:$C$5,MATCH(C952,PlatformFees!$A$2:$A$5,0)),0)</f>
        <v>0.13</v>
      </c>
      <c r="K952" s="11">
        <f t="shared" si="56"/>
        <v>30000</v>
      </c>
      <c r="L952" s="11">
        <f t="shared" si="57"/>
        <v>14014</v>
      </c>
      <c r="M952" s="11">
        <f t="shared" si="58"/>
        <v>63786</v>
      </c>
      <c r="N952" s="10">
        <f t="shared" si="59"/>
        <v>0.59170686456400745</v>
      </c>
    </row>
    <row r="953" spans="1:14" x14ac:dyDescent="0.3">
      <c r="A953" s="9" t="s">
        <v>1056</v>
      </c>
      <c r="B953" s="9" t="s">
        <v>1055</v>
      </c>
      <c r="C953" s="9" t="s">
        <v>39</v>
      </c>
      <c r="D953" s="9" t="s">
        <v>27</v>
      </c>
      <c r="E953" s="9">
        <v>2</v>
      </c>
      <c r="F953" s="11">
        <v>79200</v>
      </c>
      <c r="G953" s="9" t="str">
        <f>INDEX(Products!$B$2:$B$9,MATCH(D953,Products!$A$2:$A$9,0))</f>
        <v>Trà gừng mật ong</v>
      </c>
      <c r="H953" s="9" t="str">
        <f>INDEX(Products!$C$2:$C$9,MATCH(D953,Products!$A$2:$A$9,0))</f>
        <v>Giữ ấm</v>
      </c>
      <c r="I953" s="11">
        <f>INDEX(Products!$D$2:$D$9,MATCH(D953,Products!$A$2:$A$9,0))</f>
        <v>11000</v>
      </c>
      <c r="J953" s="10">
        <f>IFERROR(INDEX(PlatformFees!$C$2:$C$5,MATCH(C953,PlatformFees!$A$2:$A$5,0)),0)</f>
        <v>0</v>
      </c>
      <c r="K953" s="11">
        <f t="shared" si="56"/>
        <v>22000</v>
      </c>
      <c r="L953" s="11">
        <f t="shared" si="57"/>
        <v>0</v>
      </c>
      <c r="M953" s="11">
        <f t="shared" si="58"/>
        <v>57200</v>
      </c>
      <c r="N953" s="10">
        <f t="shared" si="59"/>
        <v>0.72222222222222221</v>
      </c>
    </row>
    <row r="954" spans="1:14" x14ac:dyDescent="0.3">
      <c r="A954" s="9" t="s">
        <v>1057</v>
      </c>
      <c r="B954" s="9" t="s">
        <v>1055</v>
      </c>
      <c r="C954" s="9" t="s">
        <v>39</v>
      </c>
      <c r="D954" s="9" t="s">
        <v>22</v>
      </c>
      <c r="E954" s="9">
        <v>3</v>
      </c>
      <c r="F954" s="11">
        <v>113300</v>
      </c>
      <c r="G954" s="9" t="str">
        <f>INDEX(Products!$B$2:$B$9,MATCH(D954,Products!$A$2:$A$9,0))</f>
        <v>Trà hoa cúc an thần</v>
      </c>
      <c r="H954" s="9" t="str">
        <f>INDEX(Products!$C$2:$C$9,MATCH(D954,Products!$A$2:$A$9,0))</f>
        <v>An thần</v>
      </c>
      <c r="I954" s="11">
        <f>INDEX(Products!$D$2:$D$9,MATCH(D954,Products!$A$2:$A$9,0))</f>
        <v>9500</v>
      </c>
      <c r="J954" s="10">
        <f>IFERROR(INDEX(PlatformFees!$C$2:$C$5,MATCH(C954,PlatformFees!$A$2:$A$5,0)),0)</f>
        <v>0</v>
      </c>
      <c r="K954" s="11">
        <f t="shared" si="56"/>
        <v>28500</v>
      </c>
      <c r="L954" s="11">
        <f t="shared" si="57"/>
        <v>0</v>
      </c>
      <c r="M954" s="11">
        <f t="shared" si="58"/>
        <v>84800</v>
      </c>
      <c r="N954" s="10">
        <f t="shared" si="59"/>
        <v>0.74845542806707854</v>
      </c>
    </row>
    <row r="955" spans="1:14" x14ac:dyDescent="0.3">
      <c r="A955" s="9" t="s">
        <v>1058</v>
      </c>
      <c r="B955" s="9" t="s">
        <v>1055</v>
      </c>
      <c r="C955" s="9" t="s">
        <v>40</v>
      </c>
      <c r="D955" s="9" t="s">
        <v>20</v>
      </c>
      <c r="E955" s="9">
        <v>1</v>
      </c>
      <c r="F955" s="11">
        <v>55500</v>
      </c>
      <c r="G955" s="9" t="str">
        <f>INDEX(Products!$B$2:$B$9,MATCH(D955,Products!$A$2:$A$9,0))</f>
        <v>Trà cà leo gai giảm cân</v>
      </c>
      <c r="H955" s="9" t="str">
        <f>INDEX(Products!$C$2:$C$9,MATCH(D955,Products!$A$2:$A$9,0))</f>
        <v>Detox</v>
      </c>
      <c r="I955" s="11">
        <f>INDEX(Products!$D$2:$D$9,MATCH(D955,Products!$A$2:$A$9,0))</f>
        <v>15000</v>
      </c>
      <c r="J955" s="10">
        <f>IFERROR(INDEX(PlatformFees!$C$2:$C$5,MATCH(C955,PlatformFees!$A$2:$A$5,0)),0)</f>
        <v>0</v>
      </c>
      <c r="K955" s="11">
        <f t="shared" si="56"/>
        <v>15000</v>
      </c>
      <c r="L955" s="11">
        <f t="shared" si="57"/>
        <v>0</v>
      </c>
      <c r="M955" s="11">
        <f t="shared" si="58"/>
        <v>40500</v>
      </c>
      <c r="N955" s="10">
        <f t="shared" si="59"/>
        <v>0.72972972972972971</v>
      </c>
    </row>
    <row r="956" spans="1:14" x14ac:dyDescent="0.3">
      <c r="A956" s="9" t="s">
        <v>1059</v>
      </c>
      <c r="B956" s="9" t="s">
        <v>1055</v>
      </c>
      <c r="C956" s="9" t="s">
        <v>39</v>
      </c>
      <c r="D956" s="9" t="s">
        <v>17</v>
      </c>
      <c r="E956" s="9">
        <v>2</v>
      </c>
      <c r="F956" s="11">
        <v>82800</v>
      </c>
      <c r="G956" s="9" t="str">
        <f>INDEX(Products!$B$2:$B$9,MATCH(D956,Products!$A$2:$A$9,0))</f>
        <v>Trà diếp cá rau má</v>
      </c>
      <c r="H956" s="9" t="str">
        <f>INDEX(Products!$C$2:$C$9,MATCH(D956,Products!$A$2:$A$9,0))</f>
        <v>Detox</v>
      </c>
      <c r="I956" s="11">
        <f>INDEX(Products!$D$2:$D$9,MATCH(D956,Products!$A$2:$A$9,0))</f>
        <v>10500</v>
      </c>
      <c r="J956" s="10">
        <f>IFERROR(INDEX(PlatformFees!$C$2:$C$5,MATCH(C956,PlatformFees!$A$2:$A$5,0)),0)</f>
        <v>0</v>
      </c>
      <c r="K956" s="11">
        <f t="shared" si="56"/>
        <v>21000</v>
      </c>
      <c r="L956" s="11">
        <f t="shared" si="57"/>
        <v>0</v>
      </c>
      <c r="M956" s="11">
        <f t="shared" si="58"/>
        <v>61800</v>
      </c>
      <c r="N956" s="10">
        <f t="shared" si="59"/>
        <v>0.74637681159420288</v>
      </c>
    </row>
    <row r="957" spans="1:14" x14ac:dyDescent="0.3">
      <c r="A957" s="9" t="s">
        <v>1060</v>
      </c>
      <c r="B957" s="9" t="s">
        <v>1055</v>
      </c>
      <c r="C957" s="9" t="s">
        <v>39</v>
      </c>
      <c r="D957" s="9" t="s">
        <v>20</v>
      </c>
      <c r="E957" s="9">
        <v>2</v>
      </c>
      <c r="F957" s="11">
        <v>102600</v>
      </c>
      <c r="G957" s="9" t="str">
        <f>INDEX(Products!$B$2:$B$9,MATCH(D957,Products!$A$2:$A$9,0))</f>
        <v>Trà cà leo gai giảm cân</v>
      </c>
      <c r="H957" s="9" t="str">
        <f>INDEX(Products!$C$2:$C$9,MATCH(D957,Products!$A$2:$A$9,0))</f>
        <v>Detox</v>
      </c>
      <c r="I957" s="11">
        <f>INDEX(Products!$D$2:$D$9,MATCH(D957,Products!$A$2:$A$9,0))</f>
        <v>15000</v>
      </c>
      <c r="J957" s="10">
        <f>IFERROR(INDEX(PlatformFees!$C$2:$C$5,MATCH(C957,PlatformFees!$A$2:$A$5,0)),0)</f>
        <v>0</v>
      </c>
      <c r="K957" s="11">
        <f t="shared" si="56"/>
        <v>30000</v>
      </c>
      <c r="L957" s="11">
        <f t="shared" si="57"/>
        <v>0</v>
      </c>
      <c r="M957" s="11">
        <f t="shared" si="58"/>
        <v>72600</v>
      </c>
      <c r="N957" s="10">
        <f t="shared" si="59"/>
        <v>0.70760233918128657</v>
      </c>
    </row>
    <row r="958" spans="1:14" x14ac:dyDescent="0.3">
      <c r="A958" s="9" t="s">
        <v>1061</v>
      </c>
      <c r="B958" s="9" t="s">
        <v>1055</v>
      </c>
      <c r="C958" s="9" t="s">
        <v>39</v>
      </c>
      <c r="D958" s="9" t="s">
        <v>15</v>
      </c>
      <c r="E958" s="9">
        <v>1</v>
      </c>
      <c r="F958" s="11">
        <v>30700</v>
      </c>
      <c r="G958" s="9" t="str">
        <f>INDEX(Products!$B$2:$B$9,MATCH(D958,Products!$A$2:$A$9,0))</f>
        <v>Trà lá nam sen ổi</v>
      </c>
      <c r="H958" s="9" t="str">
        <f>INDEX(Products!$C$2:$C$9,MATCH(D958,Products!$A$2:$A$9,0))</f>
        <v>Thanh lọc</v>
      </c>
      <c r="I958" s="11">
        <f>INDEX(Products!$D$2:$D$9,MATCH(D958,Products!$A$2:$A$9,0))</f>
        <v>8500</v>
      </c>
      <c r="J958" s="10">
        <f>IFERROR(INDEX(PlatformFees!$C$2:$C$5,MATCH(C958,PlatformFees!$A$2:$A$5,0)),0)</f>
        <v>0</v>
      </c>
      <c r="K958" s="11">
        <f t="shared" si="56"/>
        <v>8500</v>
      </c>
      <c r="L958" s="11">
        <f t="shared" si="57"/>
        <v>0</v>
      </c>
      <c r="M958" s="11">
        <f t="shared" si="58"/>
        <v>22200</v>
      </c>
      <c r="N958" s="10">
        <f t="shared" si="59"/>
        <v>0.72312703583061888</v>
      </c>
    </row>
    <row r="959" spans="1:14" x14ac:dyDescent="0.3">
      <c r="A959" s="9" t="s">
        <v>1062</v>
      </c>
      <c r="B959" s="9" t="s">
        <v>1055</v>
      </c>
      <c r="C959" s="9" t="s">
        <v>38</v>
      </c>
      <c r="D959" s="9" t="s">
        <v>25</v>
      </c>
      <c r="E959" s="9">
        <v>2</v>
      </c>
      <c r="F959" s="11">
        <v>66500</v>
      </c>
      <c r="G959" s="9" t="str">
        <f>INDEX(Products!$B$2:$B$9,MATCH(D959,Products!$A$2:$A$9,0))</f>
        <v>Trà hoa đậu biếc</v>
      </c>
      <c r="H959" s="9" t="str">
        <f>INDEX(Products!$C$2:$C$9,MATCH(D959,Products!$A$2:$A$9,0))</f>
        <v>An thần</v>
      </c>
      <c r="I959" s="11">
        <f>INDEX(Products!$D$2:$D$9,MATCH(D959,Products!$A$2:$A$9,0))</f>
        <v>8800</v>
      </c>
      <c r="J959" s="10">
        <f>IFERROR(INDEX(PlatformFees!$C$2:$C$5,MATCH(C959,PlatformFees!$A$2:$A$5,0)),0)</f>
        <v>0.16</v>
      </c>
      <c r="K959" s="11">
        <f t="shared" si="56"/>
        <v>17600</v>
      </c>
      <c r="L959" s="11">
        <f t="shared" si="57"/>
        <v>10640</v>
      </c>
      <c r="M959" s="11">
        <f t="shared" si="58"/>
        <v>38260</v>
      </c>
      <c r="N959" s="10">
        <f t="shared" si="59"/>
        <v>0.5753383458646617</v>
      </c>
    </row>
    <row r="960" spans="1:14" x14ac:dyDescent="0.3">
      <c r="A960" s="9" t="s">
        <v>1063</v>
      </c>
      <c r="B960" s="9" t="s">
        <v>1055</v>
      </c>
      <c r="C960" s="9" t="s">
        <v>39</v>
      </c>
      <c r="D960" s="9" t="s">
        <v>12</v>
      </c>
      <c r="E960" s="9">
        <v>1</v>
      </c>
      <c r="F960" s="11">
        <v>34100</v>
      </c>
      <c r="G960" s="9" t="str">
        <f>INDEX(Products!$B$2:$B$9,MATCH(D960,Products!$A$2:$A$9,0))</f>
        <v>Trà atiso thanh lọc</v>
      </c>
      <c r="H960" s="9" t="str">
        <f>INDEX(Products!$C$2:$C$9,MATCH(D960,Products!$A$2:$A$9,0))</f>
        <v>Thanh lọc</v>
      </c>
      <c r="I960" s="11">
        <f>INDEX(Products!$D$2:$D$9,MATCH(D960,Products!$A$2:$A$9,0))</f>
        <v>9000</v>
      </c>
      <c r="J960" s="10">
        <f>IFERROR(INDEX(PlatformFees!$C$2:$C$5,MATCH(C960,PlatformFees!$A$2:$A$5,0)),0)</f>
        <v>0</v>
      </c>
      <c r="K960" s="11">
        <f t="shared" si="56"/>
        <v>9000</v>
      </c>
      <c r="L960" s="11">
        <f t="shared" si="57"/>
        <v>0</v>
      </c>
      <c r="M960" s="11">
        <f t="shared" si="58"/>
        <v>25100</v>
      </c>
      <c r="N960" s="10">
        <f t="shared" si="59"/>
        <v>0.73607038123167157</v>
      </c>
    </row>
    <row r="961" spans="1:14" x14ac:dyDescent="0.3">
      <c r="A961" s="9" t="s">
        <v>1064</v>
      </c>
      <c r="B961" s="9" t="s">
        <v>1055</v>
      </c>
      <c r="C961" s="9" t="s">
        <v>39</v>
      </c>
      <c r="D961" s="9" t="s">
        <v>27</v>
      </c>
      <c r="E961" s="9">
        <v>2</v>
      </c>
      <c r="F961" s="11">
        <v>74500</v>
      </c>
      <c r="G961" s="9" t="str">
        <f>INDEX(Products!$B$2:$B$9,MATCH(D961,Products!$A$2:$A$9,0))</f>
        <v>Trà gừng mật ong</v>
      </c>
      <c r="H961" s="9" t="str">
        <f>INDEX(Products!$C$2:$C$9,MATCH(D961,Products!$A$2:$A$9,0))</f>
        <v>Giữ ấm</v>
      </c>
      <c r="I961" s="11">
        <f>INDEX(Products!$D$2:$D$9,MATCH(D961,Products!$A$2:$A$9,0))</f>
        <v>11000</v>
      </c>
      <c r="J961" s="10">
        <f>IFERROR(INDEX(PlatformFees!$C$2:$C$5,MATCH(C961,PlatformFees!$A$2:$A$5,0)),0)</f>
        <v>0</v>
      </c>
      <c r="K961" s="11">
        <f t="shared" si="56"/>
        <v>22000</v>
      </c>
      <c r="L961" s="11">
        <f t="shared" si="57"/>
        <v>0</v>
      </c>
      <c r="M961" s="11">
        <f t="shared" si="58"/>
        <v>52500</v>
      </c>
      <c r="N961" s="10">
        <f t="shared" si="59"/>
        <v>0.70469798657718119</v>
      </c>
    </row>
    <row r="962" spans="1:14" x14ac:dyDescent="0.3">
      <c r="A962" s="9" t="s">
        <v>1065</v>
      </c>
      <c r="B962" s="9" t="s">
        <v>1055</v>
      </c>
      <c r="C962" s="9" t="s">
        <v>38</v>
      </c>
      <c r="D962" s="9" t="s">
        <v>15</v>
      </c>
      <c r="E962" s="9">
        <v>2</v>
      </c>
      <c r="F962" s="11">
        <v>60400</v>
      </c>
      <c r="G962" s="9" t="str">
        <f>INDEX(Products!$B$2:$B$9,MATCH(D962,Products!$A$2:$A$9,0))</f>
        <v>Trà lá nam sen ổi</v>
      </c>
      <c r="H962" s="9" t="str">
        <f>INDEX(Products!$C$2:$C$9,MATCH(D962,Products!$A$2:$A$9,0))</f>
        <v>Thanh lọc</v>
      </c>
      <c r="I962" s="11">
        <f>INDEX(Products!$D$2:$D$9,MATCH(D962,Products!$A$2:$A$9,0))</f>
        <v>8500</v>
      </c>
      <c r="J962" s="10">
        <f>IFERROR(INDEX(PlatformFees!$C$2:$C$5,MATCH(C962,PlatformFees!$A$2:$A$5,0)),0)</f>
        <v>0.16</v>
      </c>
      <c r="K962" s="11">
        <f t="shared" ref="K962:K1025" si="60">E962*I962</f>
        <v>17000</v>
      </c>
      <c r="L962" s="11">
        <f t="shared" ref="L962:L1025" si="61">F962*J962</f>
        <v>9664</v>
      </c>
      <c r="M962" s="11">
        <f t="shared" ref="M962:M1025" si="62">F962-L962-K962</f>
        <v>33736</v>
      </c>
      <c r="N962" s="10">
        <f t="shared" ref="N962:N1025" si="63">IFERROR(M962/F962,0)</f>
        <v>0.55854304635761587</v>
      </c>
    </row>
    <row r="963" spans="1:14" x14ac:dyDescent="0.3">
      <c r="A963" s="9" t="s">
        <v>1066</v>
      </c>
      <c r="B963" s="9" t="s">
        <v>1055</v>
      </c>
      <c r="C963" s="9" t="s">
        <v>39</v>
      </c>
      <c r="D963" s="9" t="s">
        <v>15</v>
      </c>
      <c r="E963" s="9">
        <v>1</v>
      </c>
      <c r="F963" s="11">
        <v>29800</v>
      </c>
      <c r="G963" s="9" t="str">
        <f>INDEX(Products!$B$2:$B$9,MATCH(D963,Products!$A$2:$A$9,0))</f>
        <v>Trà lá nam sen ổi</v>
      </c>
      <c r="H963" s="9" t="str">
        <f>INDEX(Products!$C$2:$C$9,MATCH(D963,Products!$A$2:$A$9,0))</f>
        <v>Thanh lọc</v>
      </c>
      <c r="I963" s="11">
        <f>INDEX(Products!$D$2:$D$9,MATCH(D963,Products!$A$2:$A$9,0))</f>
        <v>8500</v>
      </c>
      <c r="J963" s="10">
        <f>IFERROR(INDEX(PlatformFees!$C$2:$C$5,MATCH(C963,PlatformFees!$A$2:$A$5,0)),0)</f>
        <v>0</v>
      </c>
      <c r="K963" s="11">
        <f t="shared" si="60"/>
        <v>8500</v>
      </c>
      <c r="L963" s="11">
        <f t="shared" si="61"/>
        <v>0</v>
      </c>
      <c r="M963" s="11">
        <f t="shared" si="62"/>
        <v>21300</v>
      </c>
      <c r="N963" s="10">
        <f t="shared" si="63"/>
        <v>0.71476510067114096</v>
      </c>
    </row>
    <row r="964" spans="1:14" x14ac:dyDescent="0.3">
      <c r="A964" s="9" t="s">
        <v>1067</v>
      </c>
      <c r="B964" s="9" t="s">
        <v>1055</v>
      </c>
      <c r="C964" s="9" t="s">
        <v>36</v>
      </c>
      <c r="D964" s="9" t="s">
        <v>30</v>
      </c>
      <c r="E964" s="9">
        <v>3</v>
      </c>
      <c r="F964" s="11">
        <v>106400</v>
      </c>
      <c r="G964" s="9" t="str">
        <f>INDEX(Products!$B$2:$B$9,MATCH(D964,Products!$A$2:$A$9,0))</f>
        <v>Trà mâm xôi vitamin</v>
      </c>
      <c r="H964" s="9" t="str">
        <f>INDEX(Products!$C$2:$C$9,MATCH(D964,Products!$A$2:$A$9,0))</f>
        <v>Bổ sung dưỡng chất</v>
      </c>
      <c r="I964" s="11">
        <f>INDEX(Products!$D$2:$D$9,MATCH(D964,Products!$A$2:$A$9,0))</f>
        <v>9800</v>
      </c>
      <c r="J964" s="10">
        <f>IFERROR(INDEX(PlatformFees!$C$2:$C$5,MATCH(C964,PlatformFees!$A$2:$A$5,0)),0)</f>
        <v>0.13</v>
      </c>
      <c r="K964" s="11">
        <f t="shared" si="60"/>
        <v>29400</v>
      </c>
      <c r="L964" s="11">
        <f t="shared" si="61"/>
        <v>13832</v>
      </c>
      <c r="M964" s="11">
        <f t="shared" si="62"/>
        <v>63168</v>
      </c>
      <c r="N964" s="10">
        <f t="shared" si="63"/>
        <v>0.59368421052631581</v>
      </c>
    </row>
    <row r="965" spans="1:14" x14ac:dyDescent="0.3">
      <c r="A965" s="9" t="s">
        <v>1068</v>
      </c>
      <c r="B965" s="9" t="s">
        <v>1055</v>
      </c>
      <c r="C965" s="9" t="s">
        <v>39</v>
      </c>
      <c r="D965" s="9" t="s">
        <v>22</v>
      </c>
      <c r="E965" s="9">
        <v>3</v>
      </c>
      <c r="F965" s="11">
        <v>112300</v>
      </c>
      <c r="G965" s="9" t="str">
        <f>INDEX(Products!$B$2:$B$9,MATCH(D965,Products!$A$2:$A$9,0))</f>
        <v>Trà hoa cúc an thần</v>
      </c>
      <c r="H965" s="9" t="str">
        <f>INDEX(Products!$C$2:$C$9,MATCH(D965,Products!$A$2:$A$9,0))</f>
        <v>An thần</v>
      </c>
      <c r="I965" s="11">
        <f>INDEX(Products!$D$2:$D$9,MATCH(D965,Products!$A$2:$A$9,0))</f>
        <v>9500</v>
      </c>
      <c r="J965" s="10">
        <f>IFERROR(INDEX(PlatformFees!$C$2:$C$5,MATCH(C965,PlatformFees!$A$2:$A$5,0)),0)</f>
        <v>0</v>
      </c>
      <c r="K965" s="11">
        <f t="shared" si="60"/>
        <v>28500</v>
      </c>
      <c r="L965" s="11">
        <f t="shared" si="61"/>
        <v>0</v>
      </c>
      <c r="M965" s="11">
        <f t="shared" si="62"/>
        <v>83800</v>
      </c>
      <c r="N965" s="10">
        <f t="shared" si="63"/>
        <v>0.74621549421193234</v>
      </c>
    </row>
    <row r="966" spans="1:14" x14ac:dyDescent="0.3">
      <c r="A966" s="9" t="s">
        <v>1069</v>
      </c>
      <c r="B966" s="9" t="s">
        <v>1055</v>
      </c>
      <c r="C966" s="9" t="s">
        <v>38</v>
      </c>
      <c r="D966" s="9" t="s">
        <v>30</v>
      </c>
      <c r="E966" s="9">
        <v>1</v>
      </c>
      <c r="F966" s="11">
        <v>35200</v>
      </c>
      <c r="G966" s="9" t="str">
        <f>INDEX(Products!$B$2:$B$9,MATCH(D966,Products!$A$2:$A$9,0))</f>
        <v>Trà mâm xôi vitamin</v>
      </c>
      <c r="H966" s="9" t="str">
        <f>INDEX(Products!$C$2:$C$9,MATCH(D966,Products!$A$2:$A$9,0))</f>
        <v>Bổ sung dưỡng chất</v>
      </c>
      <c r="I966" s="11">
        <f>INDEX(Products!$D$2:$D$9,MATCH(D966,Products!$A$2:$A$9,0))</f>
        <v>9800</v>
      </c>
      <c r="J966" s="10">
        <f>IFERROR(INDEX(PlatformFees!$C$2:$C$5,MATCH(C966,PlatformFees!$A$2:$A$5,0)),0)</f>
        <v>0.16</v>
      </c>
      <c r="K966" s="11">
        <f t="shared" si="60"/>
        <v>9800</v>
      </c>
      <c r="L966" s="11">
        <f t="shared" si="61"/>
        <v>5632</v>
      </c>
      <c r="M966" s="11">
        <f t="shared" si="62"/>
        <v>19768</v>
      </c>
      <c r="N966" s="10">
        <f t="shared" si="63"/>
        <v>0.56159090909090914</v>
      </c>
    </row>
    <row r="967" spans="1:14" x14ac:dyDescent="0.3">
      <c r="A967" s="9" t="s">
        <v>1070</v>
      </c>
      <c r="B967" s="9" t="s">
        <v>1071</v>
      </c>
      <c r="C967" s="9" t="s">
        <v>38</v>
      </c>
      <c r="D967" s="9" t="s">
        <v>20</v>
      </c>
      <c r="E967" s="9">
        <v>2</v>
      </c>
      <c r="F967" s="11">
        <v>107000</v>
      </c>
      <c r="G967" s="9" t="str">
        <f>INDEX(Products!$B$2:$B$9,MATCH(D967,Products!$A$2:$A$9,0))</f>
        <v>Trà cà leo gai giảm cân</v>
      </c>
      <c r="H967" s="9" t="str">
        <f>INDEX(Products!$C$2:$C$9,MATCH(D967,Products!$A$2:$A$9,0))</f>
        <v>Detox</v>
      </c>
      <c r="I967" s="11">
        <f>INDEX(Products!$D$2:$D$9,MATCH(D967,Products!$A$2:$A$9,0))</f>
        <v>15000</v>
      </c>
      <c r="J967" s="10">
        <f>IFERROR(INDEX(PlatformFees!$C$2:$C$5,MATCH(C967,PlatformFees!$A$2:$A$5,0)),0)</f>
        <v>0.16</v>
      </c>
      <c r="K967" s="11">
        <f t="shared" si="60"/>
        <v>30000</v>
      </c>
      <c r="L967" s="11">
        <f t="shared" si="61"/>
        <v>17120</v>
      </c>
      <c r="M967" s="11">
        <f t="shared" si="62"/>
        <v>59880</v>
      </c>
      <c r="N967" s="10">
        <f t="shared" si="63"/>
        <v>0.55962616822429911</v>
      </c>
    </row>
    <row r="968" spans="1:14" x14ac:dyDescent="0.3">
      <c r="A968" s="9" t="s">
        <v>1072</v>
      </c>
      <c r="B968" s="9" t="s">
        <v>1071</v>
      </c>
      <c r="C968" s="9" t="s">
        <v>38</v>
      </c>
      <c r="D968" s="9" t="s">
        <v>30</v>
      </c>
      <c r="E968" s="9">
        <v>1</v>
      </c>
      <c r="F968" s="11">
        <v>35900</v>
      </c>
      <c r="G968" s="9" t="str">
        <f>INDEX(Products!$B$2:$B$9,MATCH(D968,Products!$A$2:$A$9,0))</f>
        <v>Trà mâm xôi vitamin</v>
      </c>
      <c r="H968" s="9" t="str">
        <f>INDEX(Products!$C$2:$C$9,MATCH(D968,Products!$A$2:$A$9,0))</f>
        <v>Bổ sung dưỡng chất</v>
      </c>
      <c r="I968" s="11">
        <f>INDEX(Products!$D$2:$D$9,MATCH(D968,Products!$A$2:$A$9,0))</f>
        <v>9800</v>
      </c>
      <c r="J968" s="10">
        <f>IFERROR(INDEX(PlatformFees!$C$2:$C$5,MATCH(C968,PlatformFees!$A$2:$A$5,0)),0)</f>
        <v>0.16</v>
      </c>
      <c r="K968" s="11">
        <f t="shared" si="60"/>
        <v>9800</v>
      </c>
      <c r="L968" s="11">
        <f t="shared" si="61"/>
        <v>5744</v>
      </c>
      <c r="M968" s="11">
        <f t="shared" si="62"/>
        <v>20356</v>
      </c>
      <c r="N968" s="10">
        <f t="shared" si="63"/>
        <v>0.56701949860724232</v>
      </c>
    </row>
    <row r="969" spans="1:14" x14ac:dyDescent="0.3">
      <c r="A969" s="9" t="s">
        <v>1073</v>
      </c>
      <c r="B969" s="9" t="s">
        <v>1071</v>
      </c>
      <c r="C969" s="9" t="s">
        <v>36</v>
      </c>
      <c r="D969" s="9" t="s">
        <v>27</v>
      </c>
      <c r="E969" s="9">
        <v>1</v>
      </c>
      <c r="F969" s="11">
        <v>38500</v>
      </c>
      <c r="G969" s="9" t="str">
        <f>INDEX(Products!$B$2:$B$9,MATCH(D969,Products!$A$2:$A$9,0))</f>
        <v>Trà gừng mật ong</v>
      </c>
      <c r="H969" s="9" t="str">
        <f>INDEX(Products!$C$2:$C$9,MATCH(D969,Products!$A$2:$A$9,0))</f>
        <v>Giữ ấm</v>
      </c>
      <c r="I969" s="11">
        <f>INDEX(Products!$D$2:$D$9,MATCH(D969,Products!$A$2:$A$9,0))</f>
        <v>11000</v>
      </c>
      <c r="J969" s="10">
        <f>IFERROR(INDEX(PlatformFees!$C$2:$C$5,MATCH(C969,PlatformFees!$A$2:$A$5,0)),0)</f>
        <v>0.13</v>
      </c>
      <c r="K969" s="11">
        <f t="shared" si="60"/>
        <v>11000</v>
      </c>
      <c r="L969" s="11">
        <f t="shared" si="61"/>
        <v>5005</v>
      </c>
      <c r="M969" s="11">
        <f t="shared" si="62"/>
        <v>22495</v>
      </c>
      <c r="N969" s="10">
        <f t="shared" si="63"/>
        <v>0.5842857142857143</v>
      </c>
    </row>
    <row r="970" spans="1:14" x14ac:dyDescent="0.3">
      <c r="A970" s="9" t="s">
        <v>1074</v>
      </c>
      <c r="B970" s="9" t="s">
        <v>1071</v>
      </c>
      <c r="C970" s="9" t="s">
        <v>38</v>
      </c>
      <c r="D970" s="9" t="s">
        <v>27</v>
      </c>
      <c r="E970" s="9">
        <v>2</v>
      </c>
      <c r="F970" s="11">
        <v>81400</v>
      </c>
      <c r="G970" s="9" t="str">
        <f>INDEX(Products!$B$2:$B$9,MATCH(D970,Products!$A$2:$A$9,0))</f>
        <v>Trà gừng mật ong</v>
      </c>
      <c r="H970" s="9" t="str">
        <f>INDEX(Products!$C$2:$C$9,MATCH(D970,Products!$A$2:$A$9,0))</f>
        <v>Giữ ấm</v>
      </c>
      <c r="I970" s="11">
        <f>INDEX(Products!$D$2:$D$9,MATCH(D970,Products!$A$2:$A$9,0))</f>
        <v>11000</v>
      </c>
      <c r="J970" s="10">
        <f>IFERROR(INDEX(PlatformFees!$C$2:$C$5,MATCH(C970,PlatformFees!$A$2:$A$5,0)),0)</f>
        <v>0.16</v>
      </c>
      <c r="K970" s="11">
        <f t="shared" si="60"/>
        <v>22000</v>
      </c>
      <c r="L970" s="11">
        <f t="shared" si="61"/>
        <v>13024</v>
      </c>
      <c r="M970" s="11">
        <f t="shared" si="62"/>
        <v>46376</v>
      </c>
      <c r="N970" s="10">
        <f t="shared" si="63"/>
        <v>0.56972972972972968</v>
      </c>
    </row>
    <row r="971" spans="1:14" x14ac:dyDescent="0.3">
      <c r="A971" s="9" t="s">
        <v>1075</v>
      </c>
      <c r="B971" s="9" t="s">
        <v>1071</v>
      </c>
      <c r="C971" s="9" t="s">
        <v>36</v>
      </c>
      <c r="D971" s="9" t="s">
        <v>22</v>
      </c>
      <c r="E971" s="9">
        <v>3</v>
      </c>
      <c r="F971" s="11">
        <v>114400</v>
      </c>
      <c r="G971" s="9" t="str">
        <f>INDEX(Products!$B$2:$B$9,MATCH(D971,Products!$A$2:$A$9,0))</f>
        <v>Trà hoa cúc an thần</v>
      </c>
      <c r="H971" s="9" t="str">
        <f>INDEX(Products!$C$2:$C$9,MATCH(D971,Products!$A$2:$A$9,0))</f>
        <v>An thần</v>
      </c>
      <c r="I971" s="11">
        <f>INDEX(Products!$D$2:$D$9,MATCH(D971,Products!$A$2:$A$9,0))</f>
        <v>9500</v>
      </c>
      <c r="J971" s="10">
        <f>IFERROR(INDEX(PlatformFees!$C$2:$C$5,MATCH(C971,PlatformFees!$A$2:$A$5,0)),0)</f>
        <v>0.13</v>
      </c>
      <c r="K971" s="11">
        <f t="shared" si="60"/>
        <v>28500</v>
      </c>
      <c r="L971" s="11">
        <f t="shared" si="61"/>
        <v>14872</v>
      </c>
      <c r="M971" s="11">
        <f t="shared" si="62"/>
        <v>71028</v>
      </c>
      <c r="N971" s="10">
        <f t="shared" si="63"/>
        <v>0.62087412587412583</v>
      </c>
    </row>
    <row r="972" spans="1:14" x14ac:dyDescent="0.3">
      <c r="A972" s="9" t="s">
        <v>1076</v>
      </c>
      <c r="B972" s="9" t="s">
        <v>1071</v>
      </c>
      <c r="C972" s="9" t="s">
        <v>36</v>
      </c>
      <c r="D972" s="9" t="s">
        <v>30</v>
      </c>
      <c r="E972" s="9">
        <v>1</v>
      </c>
      <c r="F972" s="11">
        <v>34900</v>
      </c>
      <c r="G972" s="9" t="str">
        <f>INDEX(Products!$B$2:$B$9,MATCH(D972,Products!$A$2:$A$9,0))</f>
        <v>Trà mâm xôi vitamin</v>
      </c>
      <c r="H972" s="9" t="str">
        <f>INDEX(Products!$C$2:$C$9,MATCH(D972,Products!$A$2:$A$9,0))</f>
        <v>Bổ sung dưỡng chất</v>
      </c>
      <c r="I972" s="11">
        <f>INDEX(Products!$D$2:$D$9,MATCH(D972,Products!$A$2:$A$9,0))</f>
        <v>9800</v>
      </c>
      <c r="J972" s="10">
        <f>IFERROR(INDEX(PlatformFees!$C$2:$C$5,MATCH(C972,PlatformFees!$A$2:$A$5,0)),0)</f>
        <v>0.13</v>
      </c>
      <c r="K972" s="11">
        <f t="shared" si="60"/>
        <v>9800</v>
      </c>
      <c r="L972" s="11">
        <f t="shared" si="61"/>
        <v>4537</v>
      </c>
      <c r="M972" s="11">
        <f t="shared" si="62"/>
        <v>20563</v>
      </c>
      <c r="N972" s="10">
        <f t="shared" si="63"/>
        <v>0.58919770773638969</v>
      </c>
    </row>
    <row r="973" spans="1:14" x14ac:dyDescent="0.3">
      <c r="A973" s="9" t="s">
        <v>1077</v>
      </c>
      <c r="B973" s="9" t="s">
        <v>1071</v>
      </c>
      <c r="C973" s="9" t="s">
        <v>36</v>
      </c>
      <c r="D973" s="9" t="s">
        <v>20</v>
      </c>
      <c r="E973" s="9">
        <v>3</v>
      </c>
      <c r="F973" s="11">
        <v>167900</v>
      </c>
      <c r="G973" s="9" t="str">
        <f>INDEX(Products!$B$2:$B$9,MATCH(D973,Products!$A$2:$A$9,0))</f>
        <v>Trà cà leo gai giảm cân</v>
      </c>
      <c r="H973" s="9" t="str">
        <f>INDEX(Products!$C$2:$C$9,MATCH(D973,Products!$A$2:$A$9,0))</f>
        <v>Detox</v>
      </c>
      <c r="I973" s="11">
        <f>INDEX(Products!$D$2:$D$9,MATCH(D973,Products!$A$2:$A$9,0))</f>
        <v>15000</v>
      </c>
      <c r="J973" s="10">
        <f>IFERROR(INDEX(PlatformFees!$C$2:$C$5,MATCH(C973,PlatformFees!$A$2:$A$5,0)),0)</f>
        <v>0.13</v>
      </c>
      <c r="K973" s="11">
        <f t="shared" si="60"/>
        <v>45000</v>
      </c>
      <c r="L973" s="11">
        <f t="shared" si="61"/>
        <v>21827</v>
      </c>
      <c r="M973" s="11">
        <f t="shared" si="62"/>
        <v>101073</v>
      </c>
      <c r="N973" s="10">
        <f t="shared" si="63"/>
        <v>0.60198332340678973</v>
      </c>
    </row>
    <row r="974" spans="1:14" x14ac:dyDescent="0.3">
      <c r="A974" s="9" t="s">
        <v>1078</v>
      </c>
      <c r="B974" s="9" t="s">
        <v>1071</v>
      </c>
      <c r="C974" s="9" t="s">
        <v>38</v>
      </c>
      <c r="D974" s="9" t="s">
        <v>27</v>
      </c>
      <c r="E974" s="9">
        <v>2</v>
      </c>
      <c r="F974" s="11">
        <v>81200</v>
      </c>
      <c r="G974" s="9" t="str">
        <f>INDEX(Products!$B$2:$B$9,MATCH(D974,Products!$A$2:$A$9,0))</f>
        <v>Trà gừng mật ong</v>
      </c>
      <c r="H974" s="9" t="str">
        <f>INDEX(Products!$C$2:$C$9,MATCH(D974,Products!$A$2:$A$9,0))</f>
        <v>Giữ ấm</v>
      </c>
      <c r="I974" s="11">
        <f>INDEX(Products!$D$2:$D$9,MATCH(D974,Products!$A$2:$A$9,0))</f>
        <v>11000</v>
      </c>
      <c r="J974" s="10">
        <f>IFERROR(INDEX(PlatformFees!$C$2:$C$5,MATCH(C974,PlatformFees!$A$2:$A$5,0)),0)</f>
        <v>0.16</v>
      </c>
      <c r="K974" s="11">
        <f t="shared" si="60"/>
        <v>22000</v>
      </c>
      <c r="L974" s="11">
        <f t="shared" si="61"/>
        <v>12992</v>
      </c>
      <c r="M974" s="11">
        <f t="shared" si="62"/>
        <v>46208</v>
      </c>
      <c r="N974" s="10">
        <f t="shared" si="63"/>
        <v>0.56906403940886696</v>
      </c>
    </row>
    <row r="975" spans="1:14" x14ac:dyDescent="0.3">
      <c r="A975" s="9" t="s">
        <v>1079</v>
      </c>
      <c r="B975" s="9" t="s">
        <v>1071</v>
      </c>
      <c r="C975" s="9" t="s">
        <v>39</v>
      </c>
      <c r="D975" s="9" t="s">
        <v>30</v>
      </c>
      <c r="E975" s="9">
        <v>3</v>
      </c>
      <c r="F975" s="11">
        <v>101900</v>
      </c>
      <c r="G975" s="9" t="str">
        <f>INDEX(Products!$B$2:$B$9,MATCH(D975,Products!$A$2:$A$9,0))</f>
        <v>Trà mâm xôi vitamin</v>
      </c>
      <c r="H975" s="9" t="str">
        <f>INDEX(Products!$C$2:$C$9,MATCH(D975,Products!$A$2:$A$9,0))</f>
        <v>Bổ sung dưỡng chất</v>
      </c>
      <c r="I975" s="11">
        <f>INDEX(Products!$D$2:$D$9,MATCH(D975,Products!$A$2:$A$9,0))</f>
        <v>9800</v>
      </c>
      <c r="J975" s="10">
        <f>IFERROR(INDEX(PlatformFees!$C$2:$C$5,MATCH(C975,PlatformFees!$A$2:$A$5,0)),0)</f>
        <v>0</v>
      </c>
      <c r="K975" s="11">
        <f t="shared" si="60"/>
        <v>29400</v>
      </c>
      <c r="L975" s="11">
        <f t="shared" si="61"/>
        <v>0</v>
      </c>
      <c r="M975" s="11">
        <f t="shared" si="62"/>
        <v>72500</v>
      </c>
      <c r="N975" s="10">
        <f t="shared" si="63"/>
        <v>0.71148184494602551</v>
      </c>
    </row>
    <row r="976" spans="1:14" x14ac:dyDescent="0.3">
      <c r="A976" s="9" t="s">
        <v>1080</v>
      </c>
      <c r="B976" s="9" t="s">
        <v>1071</v>
      </c>
      <c r="C976" s="9" t="s">
        <v>36</v>
      </c>
      <c r="D976" s="9" t="s">
        <v>25</v>
      </c>
      <c r="E976" s="9">
        <v>3</v>
      </c>
      <c r="F976" s="11">
        <v>97700</v>
      </c>
      <c r="G976" s="9" t="str">
        <f>INDEX(Products!$B$2:$B$9,MATCH(D976,Products!$A$2:$A$9,0))</f>
        <v>Trà hoa đậu biếc</v>
      </c>
      <c r="H976" s="9" t="str">
        <f>INDEX(Products!$C$2:$C$9,MATCH(D976,Products!$A$2:$A$9,0))</f>
        <v>An thần</v>
      </c>
      <c r="I976" s="11">
        <f>INDEX(Products!$D$2:$D$9,MATCH(D976,Products!$A$2:$A$9,0))</f>
        <v>8800</v>
      </c>
      <c r="J976" s="10">
        <f>IFERROR(INDEX(PlatformFees!$C$2:$C$5,MATCH(C976,PlatformFees!$A$2:$A$5,0)),0)</f>
        <v>0.13</v>
      </c>
      <c r="K976" s="11">
        <f t="shared" si="60"/>
        <v>26400</v>
      </c>
      <c r="L976" s="11">
        <f t="shared" si="61"/>
        <v>12701</v>
      </c>
      <c r="M976" s="11">
        <f t="shared" si="62"/>
        <v>58599</v>
      </c>
      <c r="N976" s="10">
        <f t="shared" si="63"/>
        <v>0.59978505629477996</v>
      </c>
    </row>
    <row r="977" spans="1:14" x14ac:dyDescent="0.3">
      <c r="A977" s="9" t="s">
        <v>1081</v>
      </c>
      <c r="B977" s="9" t="s">
        <v>1082</v>
      </c>
      <c r="C977" s="9" t="s">
        <v>36</v>
      </c>
      <c r="D977" s="9" t="s">
        <v>25</v>
      </c>
      <c r="E977" s="9">
        <v>1</v>
      </c>
      <c r="F977" s="11">
        <v>33200</v>
      </c>
      <c r="G977" s="9" t="str">
        <f>INDEX(Products!$B$2:$B$9,MATCH(D977,Products!$A$2:$A$9,0))</f>
        <v>Trà hoa đậu biếc</v>
      </c>
      <c r="H977" s="9" t="str">
        <f>INDEX(Products!$C$2:$C$9,MATCH(D977,Products!$A$2:$A$9,0))</f>
        <v>An thần</v>
      </c>
      <c r="I977" s="11">
        <f>INDEX(Products!$D$2:$D$9,MATCH(D977,Products!$A$2:$A$9,0))</f>
        <v>8800</v>
      </c>
      <c r="J977" s="10">
        <f>IFERROR(INDEX(PlatformFees!$C$2:$C$5,MATCH(C977,PlatformFees!$A$2:$A$5,0)),0)</f>
        <v>0.13</v>
      </c>
      <c r="K977" s="11">
        <f t="shared" si="60"/>
        <v>8800</v>
      </c>
      <c r="L977" s="11">
        <f t="shared" si="61"/>
        <v>4316</v>
      </c>
      <c r="M977" s="11">
        <f t="shared" si="62"/>
        <v>20084</v>
      </c>
      <c r="N977" s="10">
        <f t="shared" si="63"/>
        <v>0.60493975903614461</v>
      </c>
    </row>
    <row r="978" spans="1:14" x14ac:dyDescent="0.3">
      <c r="A978" s="9" t="s">
        <v>1083</v>
      </c>
      <c r="B978" s="9" t="s">
        <v>1082</v>
      </c>
      <c r="C978" s="9" t="s">
        <v>38</v>
      </c>
      <c r="D978" s="9" t="s">
        <v>17</v>
      </c>
      <c r="E978" s="9">
        <v>1</v>
      </c>
      <c r="F978" s="11">
        <v>42200</v>
      </c>
      <c r="G978" s="9" t="str">
        <f>INDEX(Products!$B$2:$B$9,MATCH(D978,Products!$A$2:$A$9,0))</f>
        <v>Trà diếp cá rau má</v>
      </c>
      <c r="H978" s="9" t="str">
        <f>INDEX(Products!$C$2:$C$9,MATCH(D978,Products!$A$2:$A$9,0))</f>
        <v>Detox</v>
      </c>
      <c r="I978" s="11">
        <f>INDEX(Products!$D$2:$D$9,MATCH(D978,Products!$A$2:$A$9,0))</f>
        <v>10500</v>
      </c>
      <c r="J978" s="10">
        <f>IFERROR(INDEX(PlatformFees!$C$2:$C$5,MATCH(C978,PlatformFees!$A$2:$A$5,0)),0)</f>
        <v>0.16</v>
      </c>
      <c r="K978" s="11">
        <f t="shared" si="60"/>
        <v>10500</v>
      </c>
      <c r="L978" s="11">
        <f t="shared" si="61"/>
        <v>6752</v>
      </c>
      <c r="M978" s="11">
        <f t="shared" si="62"/>
        <v>24948</v>
      </c>
      <c r="N978" s="10">
        <f t="shared" si="63"/>
        <v>0.59118483412322276</v>
      </c>
    </row>
    <row r="979" spans="1:14" x14ac:dyDescent="0.3">
      <c r="A979" s="9" t="s">
        <v>1084</v>
      </c>
      <c r="B979" s="9" t="s">
        <v>1082</v>
      </c>
      <c r="C979" s="9" t="s">
        <v>38</v>
      </c>
      <c r="D979" s="9" t="s">
        <v>20</v>
      </c>
      <c r="E979" s="9">
        <v>3</v>
      </c>
      <c r="F979" s="11">
        <v>164700</v>
      </c>
      <c r="G979" s="9" t="str">
        <f>INDEX(Products!$B$2:$B$9,MATCH(D979,Products!$A$2:$A$9,0))</f>
        <v>Trà cà leo gai giảm cân</v>
      </c>
      <c r="H979" s="9" t="str">
        <f>INDEX(Products!$C$2:$C$9,MATCH(D979,Products!$A$2:$A$9,0))</f>
        <v>Detox</v>
      </c>
      <c r="I979" s="11">
        <f>INDEX(Products!$D$2:$D$9,MATCH(D979,Products!$A$2:$A$9,0))</f>
        <v>15000</v>
      </c>
      <c r="J979" s="10">
        <f>IFERROR(INDEX(PlatformFees!$C$2:$C$5,MATCH(C979,PlatformFees!$A$2:$A$5,0)),0)</f>
        <v>0.16</v>
      </c>
      <c r="K979" s="11">
        <f t="shared" si="60"/>
        <v>45000</v>
      </c>
      <c r="L979" s="11">
        <f t="shared" si="61"/>
        <v>26352</v>
      </c>
      <c r="M979" s="11">
        <f t="shared" si="62"/>
        <v>93348</v>
      </c>
      <c r="N979" s="10">
        <f t="shared" si="63"/>
        <v>0.566775956284153</v>
      </c>
    </row>
    <row r="980" spans="1:14" x14ac:dyDescent="0.3">
      <c r="A980" s="9" t="s">
        <v>1085</v>
      </c>
      <c r="B980" s="9" t="s">
        <v>1082</v>
      </c>
      <c r="C980" s="9" t="s">
        <v>38</v>
      </c>
      <c r="D980" s="9" t="s">
        <v>27</v>
      </c>
      <c r="E980" s="9">
        <v>2</v>
      </c>
      <c r="F980" s="11">
        <v>76100</v>
      </c>
      <c r="G980" s="9" t="str">
        <f>INDEX(Products!$B$2:$B$9,MATCH(D980,Products!$A$2:$A$9,0))</f>
        <v>Trà gừng mật ong</v>
      </c>
      <c r="H980" s="9" t="str">
        <f>INDEX(Products!$C$2:$C$9,MATCH(D980,Products!$A$2:$A$9,0))</f>
        <v>Giữ ấm</v>
      </c>
      <c r="I980" s="11">
        <f>INDEX(Products!$D$2:$D$9,MATCH(D980,Products!$A$2:$A$9,0))</f>
        <v>11000</v>
      </c>
      <c r="J980" s="10">
        <f>IFERROR(INDEX(PlatformFees!$C$2:$C$5,MATCH(C980,PlatformFees!$A$2:$A$5,0)),0)</f>
        <v>0.16</v>
      </c>
      <c r="K980" s="11">
        <f t="shared" si="60"/>
        <v>22000</v>
      </c>
      <c r="L980" s="11">
        <f t="shared" si="61"/>
        <v>12176</v>
      </c>
      <c r="M980" s="11">
        <f t="shared" si="62"/>
        <v>41924</v>
      </c>
      <c r="N980" s="10">
        <f t="shared" si="63"/>
        <v>0.5509067017082786</v>
      </c>
    </row>
    <row r="981" spans="1:14" x14ac:dyDescent="0.3">
      <c r="A981" s="9" t="s">
        <v>1086</v>
      </c>
      <c r="B981" s="9" t="s">
        <v>1082</v>
      </c>
      <c r="C981" s="9" t="s">
        <v>39</v>
      </c>
      <c r="D981" s="9" t="s">
        <v>27</v>
      </c>
      <c r="E981" s="9">
        <v>2</v>
      </c>
      <c r="F981" s="11">
        <v>74500</v>
      </c>
      <c r="G981" s="9" t="str">
        <f>INDEX(Products!$B$2:$B$9,MATCH(D981,Products!$A$2:$A$9,0))</f>
        <v>Trà gừng mật ong</v>
      </c>
      <c r="H981" s="9" t="str">
        <f>INDEX(Products!$C$2:$C$9,MATCH(D981,Products!$A$2:$A$9,0))</f>
        <v>Giữ ấm</v>
      </c>
      <c r="I981" s="11">
        <f>INDEX(Products!$D$2:$D$9,MATCH(D981,Products!$A$2:$A$9,0))</f>
        <v>11000</v>
      </c>
      <c r="J981" s="10">
        <f>IFERROR(INDEX(PlatformFees!$C$2:$C$5,MATCH(C981,PlatformFees!$A$2:$A$5,0)),0)</f>
        <v>0</v>
      </c>
      <c r="K981" s="11">
        <f t="shared" si="60"/>
        <v>22000</v>
      </c>
      <c r="L981" s="11">
        <f t="shared" si="61"/>
        <v>0</v>
      </c>
      <c r="M981" s="11">
        <f t="shared" si="62"/>
        <v>52500</v>
      </c>
      <c r="N981" s="10">
        <f t="shared" si="63"/>
        <v>0.70469798657718119</v>
      </c>
    </row>
    <row r="982" spans="1:14" x14ac:dyDescent="0.3">
      <c r="A982" s="9" t="s">
        <v>1087</v>
      </c>
      <c r="B982" s="9" t="s">
        <v>1082</v>
      </c>
      <c r="C982" s="9" t="s">
        <v>36</v>
      </c>
      <c r="D982" s="9" t="s">
        <v>12</v>
      </c>
      <c r="E982" s="9">
        <v>1</v>
      </c>
      <c r="F982" s="11">
        <v>33000</v>
      </c>
      <c r="G982" s="9" t="str">
        <f>INDEX(Products!$B$2:$B$9,MATCH(D982,Products!$A$2:$A$9,0))</f>
        <v>Trà atiso thanh lọc</v>
      </c>
      <c r="H982" s="9" t="str">
        <f>INDEX(Products!$C$2:$C$9,MATCH(D982,Products!$A$2:$A$9,0))</f>
        <v>Thanh lọc</v>
      </c>
      <c r="I982" s="11">
        <f>INDEX(Products!$D$2:$D$9,MATCH(D982,Products!$A$2:$A$9,0))</f>
        <v>9000</v>
      </c>
      <c r="J982" s="10">
        <f>IFERROR(INDEX(PlatformFees!$C$2:$C$5,MATCH(C982,PlatformFees!$A$2:$A$5,0)),0)</f>
        <v>0.13</v>
      </c>
      <c r="K982" s="11">
        <f t="shared" si="60"/>
        <v>9000</v>
      </c>
      <c r="L982" s="11">
        <f t="shared" si="61"/>
        <v>4290</v>
      </c>
      <c r="M982" s="11">
        <f t="shared" si="62"/>
        <v>19710</v>
      </c>
      <c r="N982" s="10">
        <f t="shared" si="63"/>
        <v>0.59727272727272729</v>
      </c>
    </row>
    <row r="983" spans="1:14" x14ac:dyDescent="0.3">
      <c r="A983" s="9" t="s">
        <v>1088</v>
      </c>
      <c r="B983" s="9" t="s">
        <v>1082</v>
      </c>
      <c r="C983" s="9" t="s">
        <v>39</v>
      </c>
      <c r="D983" s="9" t="s">
        <v>15</v>
      </c>
      <c r="E983" s="9">
        <v>1</v>
      </c>
      <c r="F983" s="11">
        <v>31800</v>
      </c>
      <c r="G983" s="9" t="str">
        <f>INDEX(Products!$B$2:$B$9,MATCH(D983,Products!$A$2:$A$9,0))</f>
        <v>Trà lá nam sen ổi</v>
      </c>
      <c r="H983" s="9" t="str">
        <f>INDEX(Products!$C$2:$C$9,MATCH(D983,Products!$A$2:$A$9,0))</f>
        <v>Thanh lọc</v>
      </c>
      <c r="I983" s="11">
        <f>INDEX(Products!$D$2:$D$9,MATCH(D983,Products!$A$2:$A$9,0))</f>
        <v>8500</v>
      </c>
      <c r="J983" s="10">
        <f>IFERROR(INDEX(PlatformFees!$C$2:$C$5,MATCH(C983,PlatformFees!$A$2:$A$5,0)),0)</f>
        <v>0</v>
      </c>
      <c r="K983" s="11">
        <f t="shared" si="60"/>
        <v>8500</v>
      </c>
      <c r="L983" s="11">
        <f t="shared" si="61"/>
        <v>0</v>
      </c>
      <c r="M983" s="11">
        <f t="shared" si="62"/>
        <v>23300</v>
      </c>
      <c r="N983" s="10">
        <f t="shared" si="63"/>
        <v>0.73270440251572322</v>
      </c>
    </row>
    <row r="984" spans="1:14" x14ac:dyDescent="0.3">
      <c r="A984" s="9" t="s">
        <v>1089</v>
      </c>
      <c r="B984" s="9" t="s">
        <v>1082</v>
      </c>
      <c r="C984" s="9" t="s">
        <v>36</v>
      </c>
      <c r="D984" s="9" t="s">
        <v>12</v>
      </c>
      <c r="E984" s="9">
        <v>1</v>
      </c>
      <c r="F984" s="11">
        <v>33000</v>
      </c>
      <c r="G984" s="9" t="str">
        <f>INDEX(Products!$B$2:$B$9,MATCH(D984,Products!$A$2:$A$9,0))</f>
        <v>Trà atiso thanh lọc</v>
      </c>
      <c r="H984" s="9" t="str">
        <f>INDEX(Products!$C$2:$C$9,MATCH(D984,Products!$A$2:$A$9,0))</f>
        <v>Thanh lọc</v>
      </c>
      <c r="I984" s="11">
        <f>INDEX(Products!$D$2:$D$9,MATCH(D984,Products!$A$2:$A$9,0))</f>
        <v>9000</v>
      </c>
      <c r="J984" s="10">
        <f>IFERROR(INDEX(PlatformFees!$C$2:$C$5,MATCH(C984,PlatformFees!$A$2:$A$5,0)),0)</f>
        <v>0.13</v>
      </c>
      <c r="K984" s="11">
        <f t="shared" si="60"/>
        <v>9000</v>
      </c>
      <c r="L984" s="11">
        <f t="shared" si="61"/>
        <v>4290</v>
      </c>
      <c r="M984" s="11">
        <f t="shared" si="62"/>
        <v>19710</v>
      </c>
      <c r="N984" s="10">
        <f t="shared" si="63"/>
        <v>0.59727272727272729</v>
      </c>
    </row>
    <row r="985" spans="1:14" x14ac:dyDescent="0.3">
      <c r="A985" s="9" t="s">
        <v>1090</v>
      </c>
      <c r="B985" s="9" t="s">
        <v>1082</v>
      </c>
      <c r="C985" s="9" t="s">
        <v>38</v>
      </c>
      <c r="D985" s="9" t="s">
        <v>17</v>
      </c>
      <c r="E985" s="9">
        <v>2</v>
      </c>
      <c r="F985" s="11">
        <v>78200</v>
      </c>
      <c r="G985" s="9" t="str">
        <f>INDEX(Products!$B$2:$B$9,MATCH(D985,Products!$A$2:$A$9,0))</f>
        <v>Trà diếp cá rau má</v>
      </c>
      <c r="H985" s="9" t="str">
        <f>INDEX(Products!$C$2:$C$9,MATCH(D985,Products!$A$2:$A$9,0))</f>
        <v>Detox</v>
      </c>
      <c r="I985" s="11">
        <f>INDEX(Products!$D$2:$D$9,MATCH(D985,Products!$A$2:$A$9,0))</f>
        <v>10500</v>
      </c>
      <c r="J985" s="10">
        <f>IFERROR(INDEX(PlatformFees!$C$2:$C$5,MATCH(C985,PlatformFees!$A$2:$A$5,0)),0)</f>
        <v>0.16</v>
      </c>
      <c r="K985" s="11">
        <f t="shared" si="60"/>
        <v>21000</v>
      </c>
      <c r="L985" s="11">
        <f t="shared" si="61"/>
        <v>12512</v>
      </c>
      <c r="M985" s="11">
        <f t="shared" si="62"/>
        <v>44688</v>
      </c>
      <c r="N985" s="10">
        <f t="shared" si="63"/>
        <v>0.57145780051150896</v>
      </c>
    </row>
    <row r="986" spans="1:14" x14ac:dyDescent="0.3">
      <c r="A986" s="9" t="s">
        <v>1091</v>
      </c>
      <c r="B986" s="9" t="s">
        <v>1082</v>
      </c>
      <c r="C986" s="9" t="s">
        <v>39</v>
      </c>
      <c r="D986" s="9" t="s">
        <v>27</v>
      </c>
      <c r="E986" s="9">
        <v>1</v>
      </c>
      <c r="F986" s="11">
        <v>40100</v>
      </c>
      <c r="G986" s="9" t="str">
        <f>INDEX(Products!$B$2:$B$9,MATCH(D986,Products!$A$2:$A$9,0))</f>
        <v>Trà gừng mật ong</v>
      </c>
      <c r="H986" s="9" t="str">
        <f>INDEX(Products!$C$2:$C$9,MATCH(D986,Products!$A$2:$A$9,0))</f>
        <v>Giữ ấm</v>
      </c>
      <c r="I986" s="11">
        <f>INDEX(Products!$D$2:$D$9,MATCH(D986,Products!$A$2:$A$9,0))</f>
        <v>11000</v>
      </c>
      <c r="J986" s="10">
        <f>IFERROR(INDEX(PlatformFees!$C$2:$C$5,MATCH(C986,PlatformFees!$A$2:$A$5,0)),0)</f>
        <v>0</v>
      </c>
      <c r="K986" s="11">
        <f t="shared" si="60"/>
        <v>11000</v>
      </c>
      <c r="L986" s="11">
        <f t="shared" si="61"/>
        <v>0</v>
      </c>
      <c r="M986" s="11">
        <f t="shared" si="62"/>
        <v>29100</v>
      </c>
      <c r="N986" s="10">
        <f t="shared" si="63"/>
        <v>0.72568578553615959</v>
      </c>
    </row>
    <row r="987" spans="1:14" x14ac:dyDescent="0.3">
      <c r="A987" s="9" t="s">
        <v>1092</v>
      </c>
      <c r="B987" s="9" t="s">
        <v>1082</v>
      </c>
      <c r="C987" s="9" t="s">
        <v>38</v>
      </c>
      <c r="D987" s="9" t="s">
        <v>17</v>
      </c>
      <c r="E987" s="9">
        <v>3</v>
      </c>
      <c r="F987" s="11">
        <v>119900</v>
      </c>
      <c r="G987" s="9" t="str">
        <f>INDEX(Products!$B$2:$B$9,MATCH(D987,Products!$A$2:$A$9,0))</f>
        <v>Trà diếp cá rau má</v>
      </c>
      <c r="H987" s="9" t="str">
        <f>INDEX(Products!$C$2:$C$9,MATCH(D987,Products!$A$2:$A$9,0))</f>
        <v>Detox</v>
      </c>
      <c r="I987" s="11">
        <f>INDEX(Products!$D$2:$D$9,MATCH(D987,Products!$A$2:$A$9,0))</f>
        <v>10500</v>
      </c>
      <c r="J987" s="10">
        <f>IFERROR(INDEX(PlatformFees!$C$2:$C$5,MATCH(C987,PlatformFees!$A$2:$A$5,0)),0)</f>
        <v>0.16</v>
      </c>
      <c r="K987" s="11">
        <f t="shared" si="60"/>
        <v>31500</v>
      </c>
      <c r="L987" s="11">
        <f t="shared" si="61"/>
        <v>19184</v>
      </c>
      <c r="M987" s="11">
        <f t="shared" si="62"/>
        <v>69216</v>
      </c>
      <c r="N987" s="10">
        <f t="shared" si="63"/>
        <v>0.57728106755629693</v>
      </c>
    </row>
    <row r="988" spans="1:14" x14ac:dyDescent="0.3">
      <c r="A988" s="9" t="s">
        <v>1093</v>
      </c>
      <c r="B988" s="9" t="s">
        <v>1082</v>
      </c>
      <c r="C988" s="9" t="s">
        <v>38</v>
      </c>
      <c r="D988" s="9" t="s">
        <v>30</v>
      </c>
      <c r="E988" s="9">
        <v>2</v>
      </c>
      <c r="F988" s="11">
        <v>69500</v>
      </c>
      <c r="G988" s="9" t="str">
        <f>INDEX(Products!$B$2:$B$9,MATCH(D988,Products!$A$2:$A$9,0))</f>
        <v>Trà mâm xôi vitamin</v>
      </c>
      <c r="H988" s="9" t="str">
        <f>INDEX(Products!$C$2:$C$9,MATCH(D988,Products!$A$2:$A$9,0))</f>
        <v>Bổ sung dưỡng chất</v>
      </c>
      <c r="I988" s="11">
        <f>INDEX(Products!$D$2:$D$9,MATCH(D988,Products!$A$2:$A$9,0))</f>
        <v>9800</v>
      </c>
      <c r="J988" s="10">
        <f>IFERROR(INDEX(PlatformFees!$C$2:$C$5,MATCH(C988,PlatformFees!$A$2:$A$5,0)),0)</f>
        <v>0.16</v>
      </c>
      <c r="K988" s="11">
        <f t="shared" si="60"/>
        <v>19600</v>
      </c>
      <c r="L988" s="11">
        <f t="shared" si="61"/>
        <v>11120</v>
      </c>
      <c r="M988" s="11">
        <f t="shared" si="62"/>
        <v>38780</v>
      </c>
      <c r="N988" s="10">
        <f t="shared" si="63"/>
        <v>0.5579856115107914</v>
      </c>
    </row>
    <row r="989" spans="1:14" x14ac:dyDescent="0.3">
      <c r="A989" s="9" t="s">
        <v>1094</v>
      </c>
      <c r="B989" s="9" t="s">
        <v>1082</v>
      </c>
      <c r="C989" s="9" t="s">
        <v>39</v>
      </c>
      <c r="D989" s="9" t="s">
        <v>25</v>
      </c>
      <c r="E989" s="9">
        <v>2</v>
      </c>
      <c r="F989" s="11">
        <v>63000</v>
      </c>
      <c r="G989" s="9" t="str">
        <f>INDEX(Products!$B$2:$B$9,MATCH(D989,Products!$A$2:$A$9,0))</f>
        <v>Trà hoa đậu biếc</v>
      </c>
      <c r="H989" s="9" t="str">
        <f>INDEX(Products!$C$2:$C$9,MATCH(D989,Products!$A$2:$A$9,0))</f>
        <v>An thần</v>
      </c>
      <c r="I989" s="11">
        <f>INDEX(Products!$D$2:$D$9,MATCH(D989,Products!$A$2:$A$9,0))</f>
        <v>8800</v>
      </c>
      <c r="J989" s="10">
        <f>IFERROR(INDEX(PlatformFees!$C$2:$C$5,MATCH(C989,PlatformFees!$A$2:$A$5,0)),0)</f>
        <v>0</v>
      </c>
      <c r="K989" s="11">
        <f t="shared" si="60"/>
        <v>17600</v>
      </c>
      <c r="L989" s="11">
        <f t="shared" si="61"/>
        <v>0</v>
      </c>
      <c r="M989" s="11">
        <f t="shared" si="62"/>
        <v>45400</v>
      </c>
      <c r="N989" s="10">
        <f t="shared" si="63"/>
        <v>0.72063492063492063</v>
      </c>
    </row>
    <row r="990" spans="1:14" x14ac:dyDescent="0.3">
      <c r="A990" s="9" t="s">
        <v>1095</v>
      </c>
      <c r="B990" s="9" t="s">
        <v>1082</v>
      </c>
      <c r="C990" s="9" t="s">
        <v>39</v>
      </c>
      <c r="D990" s="9" t="s">
        <v>15</v>
      </c>
      <c r="E990" s="9">
        <v>2</v>
      </c>
      <c r="F990" s="11">
        <v>64700</v>
      </c>
      <c r="G990" s="9" t="str">
        <f>INDEX(Products!$B$2:$B$9,MATCH(D990,Products!$A$2:$A$9,0))</f>
        <v>Trà lá nam sen ổi</v>
      </c>
      <c r="H990" s="9" t="str">
        <f>INDEX(Products!$C$2:$C$9,MATCH(D990,Products!$A$2:$A$9,0))</f>
        <v>Thanh lọc</v>
      </c>
      <c r="I990" s="11">
        <f>INDEX(Products!$D$2:$D$9,MATCH(D990,Products!$A$2:$A$9,0))</f>
        <v>8500</v>
      </c>
      <c r="J990" s="10">
        <f>IFERROR(INDEX(PlatformFees!$C$2:$C$5,MATCH(C990,PlatformFees!$A$2:$A$5,0)),0)</f>
        <v>0</v>
      </c>
      <c r="K990" s="11">
        <f t="shared" si="60"/>
        <v>17000</v>
      </c>
      <c r="L990" s="11">
        <f t="shared" si="61"/>
        <v>0</v>
      </c>
      <c r="M990" s="11">
        <f t="shared" si="62"/>
        <v>47700</v>
      </c>
      <c r="N990" s="10">
        <f t="shared" si="63"/>
        <v>0.73724884080370945</v>
      </c>
    </row>
    <row r="991" spans="1:14" x14ac:dyDescent="0.3">
      <c r="A991" s="9" t="s">
        <v>1096</v>
      </c>
      <c r="B991" s="9" t="s">
        <v>1082</v>
      </c>
      <c r="C991" s="9" t="s">
        <v>40</v>
      </c>
      <c r="D991" s="9" t="s">
        <v>25</v>
      </c>
      <c r="E991" s="9">
        <v>3</v>
      </c>
      <c r="F991" s="11">
        <v>98000</v>
      </c>
      <c r="G991" s="9" t="str">
        <f>INDEX(Products!$B$2:$B$9,MATCH(D991,Products!$A$2:$A$9,0))</f>
        <v>Trà hoa đậu biếc</v>
      </c>
      <c r="H991" s="9" t="str">
        <f>INDEX(Products!$C$2:$C$9,MATCH(D991,Products!$A$2:$A$9,0))</f>
        <v>An thần</v>
      </c>
      <c r="I991" s="11">
        <f>INDEX(Products!$D$2:$D$9,MATCH(D991,Products!$A$2:$A$9,0))</f>
        <v>8800</v>
      </c>
      <c r="J991" s="10">
        <f>IFERROR(INDEX(PlatformFees!$C$2:$C$5,MATCH(C991,PlatformFees!$A$2:$A$5,0)),0)</f>
        <v>0</v>
      </c>
      <c r="K991" s="11">
        <f t="shared" si="60"/>
        <v>26400</v>
      </c>
      <c r="L991" s="11">
        <f t="shared" si="61"/>
        <v>0</v>
      </c>
      <c r="M991" s="11">
        <f t="shared" si="62"/>
        <v>71600</v>
      </c>
      <c r="N991" s="10">
        <f t="shared" si="63"/>
        <v>0.73061224489795917</v>
      </c>
    </row>
    <row r="992" spans="1:14" x14ac:dyDescent="0.3">
      <c r="A992" s="9" t="s">
        <v>1097</v>
      </c>
      <c r="B992" s="9" t="s">
        <v>1082</v>
      </c>
      <c r="C992" s="9" t="s">
        <v>38</v>
      </c>
      <c r="D992" s="9" t="s">
        <v>25</v>
      </c>
      <c r="E992" s="9">
        <v>1</v>
      </c>
      <c r="F992" s="11">
        <v>34200</v>
      </c>
      <c r="G992" s="9" t="str">
        <f>INDEX(Products!$B$2:$B$9,MATCH(D992,Products!$A$2:$A$9,0))</f>
        <v>Trà hoa đậu biếc</v>
      </c>
      <c r="H992" s="9" t="str">
        <f>INDEX(Products!$C$2:$C$9,MATCH(D992,Products!$A$2:$A$9,0))</f>
        <v>An thần</v>
      </c>
      <c r="I992" s="11">
        <f>INDEX(Products!$D$2:$D$9,MATCH(D992,Products!$A$2:$A$9,0))</f>
        <v>8800</v>
      </c>
      <c r="J992" s="10">
        <f>IFERROR(INDEX(PlatformFees!$C$2:$C$5,MATCH(C992,PlatformFees!$A$2:$A$5,0)),0)</f>
        <v>0.16</v>
      </c>
      <c r="K992" s="11">
        <f t="shared" si="60"/>
        <v>8800</v>
      </c>
      <c r="L992" s="11">
        <f t="shared" si="61"/>
        <v>5472</v>
      </c>
      <c r="M992" s="11">
        <f t="shared" si="62"/>
        <v>19928</v>
      </c>
      <c r="N992" s="10">
        <f t="shared" si="63"/>
        <v>0.58269005847953215</v>
      </c>
    </row>
    <row r="993" spans="1:14" x14ac:dyDescent="0.3">
      <c r="A993" s="9" t="s">
        <v>1098</v>
      </c>
      <c r="B993" s="9" t="s">
        <v>1082</v>
      </c>
      <c r="C993" s="9" t="s">
        <v>40</v>
      </c>
      <c r="D993" s="9" t="s">
        <v>17</v>
      </c>
      <c r="E993" s="9">
        <v>1</v>
      </c>
      <c r="F993" s="11">
        <v>43200</v>
      </c>
      <c r="G993" s="9" t="str">
        <f>INDEX(Products!$B$2:$B$9,MATCH(D993,Products!$A$2:$A$9,0))</f>
        <v>Trà diếp cá rau má</v>
      </c>
      <c r="H993" s="9" t="str">
        <f>INDEX(Products!$C$2:$C$9,MATCH(D993,Products!$A$2:$A$9,0))</f>
        <v>Detox</v>
      </c>
      <c r="I993" s="11">
        <f>INDEX(Products!$D$2:$D$9,MATCH(D993,Products!$A$2:$A$9,0))</f>
        <v>10500</v>
      </c>
      <c r="J993" s="10">
        <f>IFERROR(INDEX(PlatformFees!$C$2:$C$5,MATCH(C993,PlatformFees!$A$2:$A$5,0)),0)</f>
        <v>0</v>
      </c>
      <c r="K993" s="11">
        <f t="shared" si="60"/>
        <v>10500</v>
      </c>
      <c r="L993" s="11">
        <f t="shared" si="61"/>
        <v>0</v>
      </c>
      <c r="M993" s="11">
        <f t="shared" si="62"/>
        <v>32700</v>
      </c>
      <c r="N993" s="10">
        <f t="shared" si="63"/>
        <v>0.75694444444444442</v>
      </c>
    </row>
    <row r="994" spans="1:14" x14ac:dyDescent="0.3">
      <c r="A994" s="9" t="s">
        <v>1099</v>
      </c>
      <c r="B994" s="9" t="s">
        <v>1082</v>
      </c>
      <c r="C994" s="9" t="s">
        <v>36</v>
      </c>
      <c r="D994" s="9" t="s">
        <v>30</v>
      </c>
      <c r="E994" s="9">
        <v>3</v>
      </c>
      <c r="F994" s="11">
        <v>105500</v>
      </c>
      <c r="G994" s="9" t="str">
        <f>INDEX(Products!$B$2:$B$9,MATCH(D994,Products!$A$2:$A$9,0))</f>
        <v>Trà mâm xôi vitamin</v>
      </c>
      <c r="H994" s="9" t="str">
        <f>INDEX(Products!$C$2:$C$9,MATCH(D994,Products!$A$2:$A$9,0))</f>
        <v>Bổ sung dưỡng chất</v>
      </c>
      <c r="I994" s="11">
        <f>INDEX(Products!$D$2:$D$9,MATCH(D994,Products!$A$2:$A$9,0))</f>
        <v>9800</v>
      </c>
      <c r="J994" s="10">
        <f>IFERROR(INDEX(PlatformFees!$C$2:$C$5,MATCH(C994,PlatformFees!$A$2:$A$5,0)),0)</f>
        <v>0.13</v>
      </c>
      <c r="K994" s="11">
        <f t="shared" si="60"/>
        <v>29400</v>
      </c>
      <c r="L994" s="11">
        <f t="shared" si="61"/>
        <v>13715</v>
      </c>
      <c r="M994" s="11">
        <f t="shared" si="62"/>
        <v>62385</v>
      </c>
      <c r="N994" s="10">
        <f t="shared" si="63"/>
        <v>0.59132701421800948</v>
      </c>
    </row>
    <row r="995" spans="1:14" x14ac:dyDescent="0.3">
      <c r="A995" s="9" t="s">
        <v>1100</v>
      </c>
      <c r="B995" s="9" t="s">
        <v>1082</v>
      </c>
      <c r="C995" s="9" t="s">
        <v>36</v>
      </c>
      <c r="D995" s="9" t="s">
        <v>20</v>
      </c>
      <c r="E995" s="9">
        <v>2</v>
      </c>
      <c r="F995" s="11">
        <v>104400</v>
      </c>
      <c r="G995" s="9" t="str">
        <f>INDEX(Products!$B$2:$B$9,MATCH(D995,Products!$A$2:$A$9,0))</f>
        <v>Trà cà leo gai giảm cân</v>
      </c>
      <c r="H995" s="9" t="str">
        <f>INDEX(Products!$C$2:$C$9,MATCH(D995,Products!$A$2:$A$9,0))</f>
        <v>Detox</v>
      </c>
      <c r="I995" s="11">
        <f>INDEX(Products!$D$2:$D$9,MATCH(D995,Products!$A$2:$A$9,0))</f>
        <v>15000</v>
      </c>
      <c r="J995" s="10">
        <f>IFERROR(INDEX(PlatformFees!$C$2:$C$5,MATCH(C995,PlatformFees!$A$2:$A$5,0)),0)</f>
        <v>0.13</v>
      </c>
      <c r="K995" s="11">
        <f t="shared" si="60"/>
        <v>30000</v>
      </c>
      <c r="L995" s="11">
        <f t="shared" si="61"/>
        <v>13572</v>
      </c>
      <c r="M995" s="11">
        <f t="shared" si="62"/>
        <v>60828</v>
      </c>
      <c r="N995" s="10">
        <f t="shared" si="63"/>
        <v>0.58264367816091955</v>
      </c>
    </row>
    <row r="996" spans="1:14" x14ac:dyDescent="0.3">
      <c r="A996" s="9" t="s">
        <v>1101</v>
      </c>
      <c r="B996" s="9" t="s">
        <v>1082</v>
      </c>
      <c r="C996" s="9" t="s">
        <v>36</v>
      </c>
      <c r="D996" s="9" t="s">
        <v>27</v>
      </c>
      <c r="E996" s="9">
        <v>1</v>
      </c>
      <c r="F996" s="11">
        <v>38300</v>
      </c>
      <c r="G996" s="9" t="str">
        <f>INDEX(Products!$B$2:$B$9,MATCH(D996,Products!$A$2:$A$9,0))</f>
        <v>Trà gừng mật ong</v>
      </c>
      <c r="H996" s="9" t="str">
        <f>INDEX(Products!$C$2:$C$9,MATCH(D996,Products!$A$2:$A$9,0))</f>
        <v>Giữ ấm</v>
      </c>
      <c r="I996" s="11">
        <f>INDEX(Products!$D$2:$D$9,MATCH(D996,Products!$A$2:$A$9,0))</f>
        <v>11000</v>
      </c>
      <c r="J996" s="10">
        <f>IFERROR(INDEX(PlatformFees!$C$2:$C$5,MATCH(C996,PlatformFees!$A$2:$A$5,0)),0)</f>
        <v>0.13</v>
      </c>
      <c r="K996" s="11">
        <f t="shared" si="60"/>
        <v>11000</v>
      </c>
      <c r="L996" s="11">
        <f t="shared" si="61"/>
        <v>4979</v>
      </c>
      <c r="M996" s="11">
        <f t="shared" si="62"/>
        <v>22321</v>
      </c>
      <c r="N996" s="10">
        <f t="shared" si="63"/>
        <v>0.58279373368146214</v>
      </c>
    </row>
    <row r="997" spans="1:14" x14ac:dyDescent="0.3">
      <c r="A997" s="9" t="s">
        <v>1102</v>
      </c>
      <c r="B997" s="9" t="s">
        <v>1103</v>
      </c>
      <c r="C997" s="9" t="s">
        <v>40</v>
      </c>
      <c r="D997" s="9" t="s">
        <v>12</v>
      </c>
      <c r="E997" s="9">
        <v>1</v>
      </c>
      <c r="F997" s="11">
        <v>34500</v>
      </c>
      <c r="G997" s="9" t="str">
        <f>INDEX(Products!$B$2:$B$9,MATCH(D997,Products!$A$2:$A$9,0))</f>
        <v>Trà atiso thanh lọc</v>
      </c>
      <c r="H997" s="9" t="str">
        <f>INDEX(Products!$C$2:$C$9,MATCH(D997,Products!$A$2:$A$9,0))</f>
        <v>Thanh lọc</v>
      </c>
      <c r="I997" s="11">
        <f>INDEX(Products!$D$2:$D$9,MATCH(D997,Products!$A$2:$A$9,0))</f>
        <v>9000</v>
      </c>
      <c r="J997" s="10">
        <f>IFERROR(INDEX(PlatformFees!$C$2:$C$5,MATCH(C997,PlatformFees!$A$2:$A$5,0)),0)</f>
        <v>0</v>
      </c>
      <c r="K997" s="11">
        <f t="shared" si="60"/>
        <v>9000</v>
      </c>
      <c r="L997" s="11">
        <f t="shared" si="61"/>
        <v>0</v>
      </c>
      <c r="M997" s="11">
        <f t="shared" si="62"/>
        <v>25500</v>
      </c>
      <c r="N997" s="10">
        <f t="shared" si="63"/>
        <v>0.73913043478260865</v>
      </c>
    </row>
    <row r="998" spans="1:14" x14ac:dyDescent="0.3">
      <c r="A998" s="9" t="s">
        <v>1104</v>
      </c>
      <c r="B998" s="9" t="s">
        <v>1103</v>
      </c>
      <c r="C998" s="9" t="s">
        <v>39</v>
      </c>
      <c r="D998" s="9" t="s">
        <v>25</v>
      </c>
      <c r="E998" s="9">
        <v>3</v>
      </c>
      <c r="F998" s="11">
        <v>97200</v>
      </c>
      <c r="G998" s="9" t="str">
        <f>INDEX(Products!$B$2:$B$9,MATCH(D998,Products!$A$2:$A$9,0))</f>
        <v>Trà hoa đậu biếc</v>
      </c>
      <c r="H998" s="9" t="str">
        <f>INDEX(Products!$C$2:$C$9,MATCH(D998,Products!$A$2:$A$9,0))</f>
        <v>An thần</v>
      </c>
      <c r="I998" s="11">
        <f>INDEX(Products!$D$2:$D$9,MATCH(D998,Products!$A$2:$A$9,0))</f>
        <v>8800</v>
      </c>
      <c r="J998" s="10">
        <f>IFERROR(INDEX(PlatformFees!$C$2:$C$5,MATCH(C998,PlatformFees!$A$2:$A$5,0)),0)</f>
        <v>0</v>
      </c>
      <c r="K998" s="11">
        <f t="shared" si="60"/>
        <v>26400</v>
      </c>
      <c r="L998" s="11">
        <f t="shared" si="61"/>
        <v>0</v>
      </c>
      <c r="M998" s="11">
        <f t="shared" si="62"/>
        <v>70800</v>
      </c>
      <c r="N998" s="10">
        <f t="shared" si="63"/>
        <v>0.72839506172839508</v>
      </c>
    </row>
    <row r="999" spans="1:14" x14ac:dyDescent="0.3">
      <c r="A999" s="9" t="s">
        <v>1105</v>
      </c>
      <c r="B999" s="9" t="s">
        <v>1103</v>
      </c>
      <c r="C999" s="9" t="s">
        <v>39</v>
      </c>
      <c r="D999" s="9" t="s">
        <v>22</v>
      </c>
      <c r="E999" s="9">
        <v>1</v>
      </c>
      <c r="F999" s="11">
        <v>38200</v>
      </c>
      <c r="G999" s="9" t="str">
        <f>INDEX(Products!$B$2:$B$9,MATCH(D999,Products!$A$2:$A$9,0))</f>
        <v>Trà hoa cúc an thần</v>
      </c>
      <c r="H999" s="9" t="str">
        <f>INDEX(Products!$C$2:$C$9,MATCH(D999,Products!$A$2:$A$9,0))</f>
        <v>An thần</v>
      </c>
      <c r="I999" s="11">
        <f>INDEX(Products!$D$2:$D$9,MATCH(D999,Products!$A$2:$A$9,0))</f>
        <v>9500</v>
      </c>
      <c r="J999" s="10">
        <f>IFERROR(INDEX(PlatformFees!$C$2:$C$5,MATCH(C999,PlatformFees!$A$2:$A$5,0)),0)</f>
        <v>0</v>
      </c>
      <c r="K999" s="11">
        <f t="shared" si="60"/>
        <v>9500</v>
      </c>
      <c r="L999" s="11">
        <f t="shared" si="61"/>
        <v>0</v>
      </c>
      <c r="M999" s="11">
        <f t="shared" si="62"/>
        <v>28700</v>
      </c>
      <c r="N999" s="10">
        <f t="shared" si="63"/>
        <v>0.75130890052356025</v>
      </c>
    </row>
    <row r="1000" spans="1:14" x14ac:dyDescent="0.3">
      <c r="A1000" s="9" t="s">
        <v>1106</v>
      </c>
      <c r="B1000" s="9" t="s">
        <v>1103</v>
      </c>
      <c r="C1000" s="9" t="s">
        <v>36</v>
      </c>
      <c r="D1000" s="9" t="s">
        <v>17</v>
      </c>
      <c r="E1000" s="9">
        <v>1</v>
      </c>
      <c r="F1000" s="11">
        <v>41000</v>
      </c>
      <c r="G1000" s="9" t="str">
        <f>INDEX(Products!$B$2:$B$9,MATCH(D1000,Products!$A$2:$A$9,0))</f>
        <v>Trà diếp cá rau má</v>
      </c>
      <c r="H1000" s="9" t="str">
        <f>INDEX(Products!$C$2:$C$9,MATCH(D1000,Products!$A$2:$A$9,0))</f>
        <v>Detox</v>
      </c>
      <c r="I1000" s="11">
        <f>INDEX(Products!$D$2:$D$9,MATCH(D1000,Products!$A$2:$A$9,0))</f>
        <v>10500</v>
      </c>
      <c r="J1000" s="10">
        <f>IFERROR(INDEX(PlatformFees!$C$2:$C$5,MATCH(C1000,PlatformFees!$A$2:$A$5,0)),0)</f>
        <v>0.13</v>
      </c>
      <c r="K1000" s="11">
        <f t="shared" si="60"/>
        <v>10500</v>
      </c>
      <c r="L1000" s="11">
        <f t="shared" si="61"/>
        <v>5330</v>
      </c>
      <c r="M1000" s="11">
        <f t="shared" si="62"/>
        <v>25170</v>
      </c>
      <c r="N1000" s="10">
        <f t="shared" si="63"/>
        <v>0.61390243902439023</v>
      </c>
    </row>
    <row r="1001" spans="1:14" x14ac:dyDescent="0.3">
      <c r="A1001" s="9" t="s">
        <v>1107</v>
      </c>
      <c r="B1001" s="9" t="s">
        <v>1103</v>
      </c>
      <c r="C1001" s="9" t="s">
        <v>39</v>
      </c>
      <c r="D1001" s="9" t="s">
        <v>15</v>
      </c>
      <c r="E1001" s="9">
        <v>2</v>
      </c>
      <c r="F1001" s="11">
        <v>62700</v>
      </c>
      <c r="G1001" s="9" t="str">
        <f>INDEX(Products!$B$2:$B$9,MATCH(D1001,Products!$A$2:$A$9,0))</f>
        <v>Trà lá nam sen ổi</v>
      </c>
      <c r="H1001" s="9" t="str">
        <f>INDEX(Products!$C$2:$C$9,MATCH(D1001,Products!$A$2:$A$9,0))</f>
        <v>Thanh lọc</v>
      </c>
      <c r="I1001" s="11">
        <f>INDEX(Products!$D$2:$D$9,MATCH(D1001,Products!$A$2:$A$9,0))</f>
        <v>8500</v>
      </c>
      <c r="J1001" s="10">
        <f>IFERROR(INDEX(PlatformFees!$C$2:$C$5,MATCH(C1001,PlatformFees!$A$2:$A$5,0)),0)</f>
        <v>0</v>
      </c>
      <c r="K1001" s="11">
        <f t="shared" si="60"/>
        <v>17000</v>
      </c>
      <c r="L1001" s="11">
        <f t="shared" si="61"/>
        <v>0</v>
      </c>
      <c r="M1001" s="11">
        <f t="shared" si="62"/>
        <v>45700</v>
      </c>
      <c r="N1001" s="10">
        <f t="shared" si="63"/>
        <v>0.72886762360446566</v>
      </c>
    </row>
    <row r="1002" spans="1:14" x14ac:dyDescent="0.3">
      <c r="A1002" s="9" t="s">
        <v>1108</v>
      </c>
      <c r="B1002" s="9" t="s">
        <v>1103</v>
      </c>
      <c r="C1002" s="9" t="s">
        <v>36</v>
      </c>
      <c r="D1002" s="9" t="s">
        <v>17</v>
      </c>
      <c r="E1002" s="9">
        <v>1</v>
      </c>
      <c r="F1002" s="11">
        <v>41700</v>
      </c>
      <c r="G1002" s="9" t="str">
        <f>INDEX(Products!$B$2:$B$9,MATCH(D1002,Products!$A$2:$A$9,0))</f>
        <v>Trà diếp cá rau má</v>
      </c>
      <c r="H1002" s="9" t="str">
        <f>INDEX(Products!$C$2:$C$9,MATCH(D1002,Products!$A$2:$A$9,0))</f>
        <v>Detox</v>
      </c>
      <c r="I1002" s="11">
        <f>INDEX(Products!$D$2:$D$9,MATCH(D1002,Products!$A$2:$A$9,0))</f>
        <v>10500</v>
      </c>
      <c r="J1002" s="10">
        <f>IFERROR(INDEX(PlatformFees!$C$2:$C$5,MATCH(C1002,PlatformFees!$A$2:$A$5,0)),0)</f>
        <v>0.13</v>
      </c>
      <c r="K1002" s="11">
        <f t="shared" si="60"/>
        <v>10500</v>
      </c>
      <c r="L1002" s="11">
        <f t="shared" si="61"/>
        <v>5421</v>
      </c>
      <c r="M1002" s="11">
        <f t="shared" si="62"/>
        <v>25779</v>
      </c>
      <c r="N1002" s="10">
        <f t="shared" si="63"/>
        <v>0.61820143884892087</v>
      </c>
    </row>
    <row r="1003" spans="1:14" x14ac:dyDescent="0.3">
      <c r="A1003" s="9" t="s">
        <v>1109</v>
      </c>
      <c r="B1003" s="9" t="s">
        <v>1103</v>
      </c>
      <c r="C1003" s="9" t="s">
        <v>36</v>
      </c>
      <c r="D1003" s="9" t="s">
        <v>17</v>
      </c>
      <c r="E1003" s="9">
        <v>2</v>
      </c>
      <c r="F1003" s="11">
        <v>82200</v>
      </c>
      <c r="G1003" s="9" t="str">
        <f>INDEX(Products!$B$2:$B$9,MATCH(D1003,Products!$A$2:$A$9,0))</f>
        <v>Trà diếp cá rau má</v>
      </c>
      <c r="H1003" s="9" t="str">
        <f>INDEX(Products!$C$2:$C$9,MATCH(D1003,Products!$A$2:$A$9,0))</f>
        <v>Detox</v>
      </c>
      <c r="I1003" s="11">
        <f>INDEX(Products!$D$2:$D$9,MATCH(D1003,Products!$A$2:$A$9,0))</f>
        <v>10500</v>
      </c>
      <c r="J1003" s="10">
        <f>IFERROR(INDEX(PlatformFees!$C$2:$C$5,MATCH(C1003,PlatformFees!$A$2:$A$5,0)),0)</f>
        <v>0.13</v>
      </c>
      <c r="K1003" s="11">
        <f t="shared" si="60"/>
        <v>21000</v>
      </c>
      <c r="L1003" s="11">
        <f t="shared" si="61"/>
        <v>10686</v>
      </c>
      <c r="M1003" s="11">
        <f t="shared" si="62"/>
        <v>50514</v>
      </c>
      <c r="N1003" s="10">
        <f t="shared" si="63"/>
        <v>0.61452554744525545</v>
      </c>
    </row>
    <row r="1004" spans="1:14" x14ac:dyDescent="0.3">
      <c r="A1004" s="9" t="s">
        <v>1110</v>
      </c>
      <c r="B1004" s="9" t="s">
        <v>1103</v>
      </c>
      <c r="C1004" s="9" t="s">
        <v>40</v>
      </c>
      <c r="D1004" s="9" t="s">
        <v>27</v>
      </c>
      <c r="E1004" s="9">
        <v>3</v>
      </c>
      <c r="F1004" s="11">
        <v>110500</v>
      </c>
      <c r="G1004" s="9" t="str">
        <f>INDEX(Products!$B$2:$B$9,MATCH(D1004,Products!$A$2:$A$9,0))</f>
        <v>Trà gừng mật ong</v>
      </c>
      <c r="H1004" s="9" t="str">
        <f>INDEX(Products!$C$2:$C$9,MATCH(D1004,Products!$A$2:$A$9,0))</f>
        <v>Giữ ấm</v>
      </c>
      <c r="I1004" s="11">
        <f>INDEX(Products!$D$2:$D$9,MATCH(D1004,Products!$A$2:$A$9,0))</f>
        <v>11000</v>
      </c>
      <c r="J1004" s="10">
        <f>IFERROR(INDEX(PlatformFees!$C$2:$C$5,MATCH(C1004,PlatformFees!$A$2:$A$5,0)),0)</f>
        <v>0</v>
      </c>
      <c r="K1004" s="11">
        <f t="shared" si="60"/>
        <v>33000</v>
      </c>
      <c r="L1004" s="11">
        <f t="shared" si="61"/>
        <v>0</v>
      </c>
      <c r="M1004" s="11">
        <f t="shared" si="62"/>
        <v>77500</v>
      </c>
      <c r="N1004" s="10">
        <f t="shared" si="63"/>
        <v>0.70135746606334837</v>
      </c>
    </row>
    <row r="1005" spans="1:14" x14ac:dyDescent="0.3">
      <c r="A1005" s="9" t="s">
        <v>1111</v>
      </c>
      <c r="B1005" s="9" t="s">
        <v>1103</v>
      </c>
      <c r="C1005" s="9" t="s">
        <v>38</v>
      </c>
      <c r="D1005" s="9" t="s">
        <v>20</v>
      </c>
      <c r="E1005" s="9">
        <v>3</v>
      </c>
      <c r="F1005" s="11">
        <v>162900</v>
      </c>
      <c r="G1005" s="9" t="str">
        <f>INDEX(Products!$B$2:$B$9,MATCH(D1005,Products!$A$2:$A$9,0))</f>
        <v>Trà cà leo gai giảm cân</v>
      </c>
      <c r="H1005" s="9" t="str">
        <f>INDEX(Products!$C$2:$C$9,MATCH(D1005,Products!$A$2:$A$9,0))</f>
        <v>Detox</v>
      </c>
      <c r="I1005" s="11">
        <f>INDEX(Products!$D$2:$D$9,MATCH(D1005,Products!$A$2:$A$9,0))</f>
        <v>15000</v>
      </c>
      <c r="J1005" s="10">
        <f>IFERROR(INDEX(PlatformFees!$C$2:$C$5,MATCH(C1005,PlatformFees!$A$2:$A$5,0)),0)</f>
        <v>0.16</v>
      </c>
      <c r="K1005" s="11">
        <f t="shared" si="60"/>
        <v>45000</v>
      </c>
      <c r="L1005" s="11">
        <f t="shared" si="61"/>
        <v>26064</v>
      </c>
      <c r="M1005" s="11">
        <f t="shared" si="62"/>
        <v>91836</v>
      </c>
      <c r="N1005" s="10">
        <f t="shared" si="63"/>
        <v>0.56375690607734807</v>
      </c>
    </row>
    <row r="1006" spans="1:14" x14ac:dyDescent="0.3">
      <c r="A1006" s="9" t="s">
        <v>1112</v>
      </c>
      <c r="B1006" s="9" t="s">
        <v>1103</v>
      </c>
      <c r="C1006" s="9" t="s">
        <v>38</v>
      </c>
      <c r="D1006" s="9" t="s">
        <v>30</v>
      </c>
      <c r="E1006" s="9">
        <v>3</v>
      </c>
      <c r="F1006" s="11">
        <v>109900</v>
      </c>
      <c r="G1006" s="9" t="str">
        <f>INDEX(Products!$B$2:$B$9,MATCH(D1006,Products!$A$2:$A$9,0))</f>
        <v>Trà mâm xôi vitamin</v>
      </c>
      <c r="H1006" s="9" t="str">
        <f>INDEX(Products!$C$2:$C$9,MATCH(D1006,Products!$A$2:$A$9,0))</f>
        <v>Bổ sung dưỡng chất</v>
      </c>
      <c r="I1006" s="11">
        <f>INDEX(Products!$D$2:$D$9,MATCH(D1006,Products!$A$2:$A$9,0))</f>
        <v>9800</v>
      </c>
      <c r="J1006" s="10">
        <f>IFERROR(INDEX(PlatformFees!$C$2:$C$5,MATCH(C1006,PlatformFees!$A$2:$A$5,0)),0)</f>
        <v>0.16</v>
      </c>
      <c r="K1006" s="11">
        <f t="shared" si="60"/>
        <v>29400</v>
      </c>
      <c r="L1006" s="11">
        <f t="shared" si="61"/>
        <v>17584</v>
      </c>
      <c r="M1006" s="11">
        <f t="shared" si="62"/>
        <v>62916</v>
      </c>
      <c r="N1006" s="10">
        <f t="shared" si="63"/>
        <v>0.57248407643312105</v>
      </c>
    </row>
    <row r="1007" spans="1:14" x14ac:dyDescent="0.3">
      <c r="A1007" s="9" t="s">
        <v>1113</v>
      </c>
      <c r="B1007" s="9" t="s">
        <v>1103</v>
      </c>
      <c r="C1007" s="9" t="s">
        <v>36</v>
      </c>
      <c r="D1007" s="9" t="s">
        <v>25</v>
      </c>
      <c r="E1007" s="9">
        <v>1</v>
      </c>
      <c r="F1007" s="11">
        <v>32700</v>
      </c>
      <c r="G1007" s="9" t="str">
        <f>INDEX(Products!$B$2:$B$9,MATCH(D1007,Products!$A$2:$A$9,0))</f>
        <v>Trà hoa đậu biếc</v>
      </c>
      <c r="H1007" s="9" t="str">
        <f>INDEX(Products!$C$2:$C$9,MATCH(D1007,Products!$A$2:$A$9,0))</f>
        <v>An thần</v>
      </c>
      <c r="I1007" s="11">
        <f>INDEX(Products!$D$2:$D$9,MATCH(D1007,Products!$A$2:$A$9,0))</f>
        <v>8800</v>
      </c>
      <c r="J1007" s="10">
        <f>IFERROR(INDEX(PlatformFees!$C$2:$C$5,MATCH(C1007,PlatformFees!$A$2:$A$5,0)),0)</f>
        <v>0.13</v>
      </c>
      <c r="K1007" s="11">
        <f t="shared" si="60"/>
        <v>8800</v>
      </c>
      <c r="L1007" s="11">
        <f t="shared" si="61"/>
        <v>4251</v>
      </c>
      <c r="M1007" s="11">
        <f t="shared" si="62"/>
        <v>19649</v>
      </c>
      <c r="N1007" s="10">
        <f t="shared" si="63"/>
        <v>0.60088685015290522</v>
      </c>
    </row>
    <row r="1008" spans="1:14" x14ac:dyDescent="0.3">
      <c r="A1008" s="9" t="s">
        <v>1114</v>
      </c>
      <c r="B1008" s="9" t="s">
        <v>1103</v>
      </c>
      <c r="C1008" s="9" t="s">
        <v>38</v>
      </c>
      <c r="D1008" s="9" t="s">
        <v>17</v>
      </c>
      <c r="E1008" s="9">
        <v>2</v>
      </c>
      <c r="F1008" s="11">
        <v>84900</v>
      </c>
      <c r="G1008" s="9" t="str">
        <f>INDEX(Products!$B$2:$B$9,MATCH(D1008,Products!$A$2:$A$9,0))</f>
        <v>Trà diếp cá rau má</v>
      </c>
      <c r="H1008" s="9" t="str">
        <f>INDEX(Products!$C$2:$C$9,MATCH(D1008,Products!$A$2:$A$9,0))</f>
        <v>Detox</v>
      </c>
      <c r="I1008" s="11">
        <f>INDEX(Products!$D$2:$D$9,MATCH(D1008,Products!$A$2:$A$9,0))</f>
        <v>10500</v>
      </c>
      <c r="J1008" s="10">
        <f>IFERROR(INDEX(PlatformFees!$C$2:$C$5,MATCH(C1008,PlatformFees!$A$2:$A$5,0)),0)</f>
        <v>0.16</v>
      </c>
      <c r="K1008" s="11">
        <f t="shared" si="60"/>
        <v>21000</v>
      </c>
      <c r="L1008" s="11">
        <f t="shared" si="61"/>
        <v>13584</v>
      </c>
      <c r="M1008" s="11">
        <f t="shared" si="62"/>
        <v>50316</v>
      </c>
      <c r="N1008" s="10">
        <f t="shared" si="63"/>
        <v>0.59265017667844522</v>
      </c>
    </row>
    <row r="1009" spans="1:14" x14ac:dyDescent="0.3">
      <c r="A1009" s="9" t="s">
        <v>1115</v>
      </c>
      <c r="B1009" s="9" t="s">
        <v>1103</v>
      </c>
      <c r="C1009" s="9" t="s">
        <v>36</v>
      </c>
      <c r="D1009" s="9" t="s">
        <v>27</v>
      </c>
      <c r="E1009" s="9">
        <v>2</v>
      </c>
      <c r="F1009" s="11">
        <v>77900</v>
      </c>
      <c r="G1009" s="9" t="str">
        <f>INDEX(Products!$B$2:$B$9,MATCH(D1009,Products!$A$2:$A$9,0))</f>
        <v>Trà gừng mật ong</v>
      </c>
      <c r="H1009" s="9" t="str">
        <f>INDEX(Products!$C$2:$C$9,MATCH(D1009,Products!$A$2:$A$9,0))</f>
        <v>Giữ ấm</v>
      </c>
      <c r="I1009" s="11">
        <f>INDEX(Products!$D$2:$D$9,MATCH(D1009,Products!$A$2:$A$9,0))</f>
        <v>11000</v>
      </c>
      <c r="J1009" s="10">
        <f>IFERROR(INDEX(PlatformFees!$C$2:$C$5,MATCH(C1009,PlatformFees!$A$2:$A$5,0)),0)</f>
        <v>0.13</v>
      </c>
      <c r="K1009" s="11">
        <f t="shared" si="60"/>
        <v>22000</v>
      </c>
      <c r="L1009" s="11">
        <f t="shared" si="61"/>
        <v>10127</v>
      </c>
      <c r="M1009" s="11">
        <f t="shared" si="62"/>
        <v>45773</v>
      </c>
      <c r="N1009" s="10">
        <f t="shared" si="63"/>
        <v>0.58758664955070605</v>
      </c>
    </row>
    <row r="1010" spans="1:14" x14ac:dyDescent="0.3">
      <c r="A1010" s="9" t="s">
        <v>1116</v>
      </c>
      <c r="B1010" s="9" t="s">
        <v>1103</v>
      </c>
      <c r="C1010" s="9" t="s">
        <v>36</v>
      </c>
      <c r="D1010" s="9" t="s">
        <v>22</v>
      </c>
      <c r="E1010" s="9">
        <v>1</v>
      </c>
      <c r="F1010" s="11">
        <v>37100</v>
      </c>
      <c r="G1010" s="9" t="str">
        <f>INDEX(Products!$B$2:$B$9,MATCH(D1010,Products!$A$2:$A$9,0))</f>
        <v>Trà hoa cúc an thần</v>
      </c>
      <c r="H1010" s="9" t="str">
        <f>INDEX(Products!$C$2:$C$9,MATCH(D1010,Products!$A$2:$A$9,0))</f>
        <v>An thần</v>
      </c>
      <c r="I1010" s="11">
        <f>INDEX(Products!$D$2:$D$9,MATCH(D1010,Products!$A$2:$A$9,0))</f>
        <v>9500</v>
      </c>
      <c r="J1010" s="10">
        <f>IFERROR(INDEX(PlatformFees!$C$2:$C$5,MATCH(C1010,PlatformFees!$A$2:$A$5,0)),0)</f>
        <v>0.13</v>
      </c>
      <c r="K1010" s="11">
        <f t="shared" si="60"/>
        <v>9500</v>
      </c>
      <c r="L1010" s="11">
        <f t="shared" si="61"/>
        <v>4823</v>
      </c>
      <c r="M1010" s="11">
        <f t="shared" si="62"/>
        <v>22777</v>
      </c>
      <c r="N1010" s="10">
        <f t="shared" si="63"/>
        <v>0.6139353099730458</v>
      </c>
    </row>
    <row r="1011" spans="1:14" x14ac:dyDescent="0.3">
      <c r="A1011" s="9" t="s">
        <v>1117</v>
      </c>
      <c r="B1011" s="9" t="s">
        <v>1103</v>
      </c>
      <c r="C1011" s="9" t="s">
        <v>40</v>
      </c>
      <c r="D1011" s="9" t="s">
        <v>15</v>
      </c>
      <c r="E1011" s="9">
        <v>2</v>
      </c>
      <c r="F1011" s="11">
        <v>62600</v>
      </c>
      <c r="G1011" s="9" t="str">
        <f>INDEX(Products!$B$2:$B$9,MATCH(D1011,Products!$A$2:$A$9,0))</f>
        <v>Trà lá nam sen ổi</v>
      </c>
      <c r="H1011" s="9" t="str">
        <f>INDEX(Products!$C$2:$C$9,MATCH(D1011,Products!$A$2:$A$9,0))</f>
        <v>Thanh lọc</v>
      </c>
      <c r="I1011" s="11">
        <f>INDEX(Products!$D$2:$D$9,MATCH(D1011,Products!$A$2:$A$9,0))</f>
        <v>8500</v>
      </c>
      <c r="J1011" s="10">
        <f>IFERROR(INDEX(PlatformFees!$C$2:$C$5,MATCH(C1011,PlatformFees!$A$2:$A$5,0)),0)</f>
        <v>0</v>
      </c>
      <c r="K1011" s="11">
        <f t="shared" si="60"/>
        <v>17000</v>
      </c>
      <c r="L1011" s="11">
        <f t="shared" si="61"/>
        <v>0</v>
      </c>
      <c r="M1011" s="11">
        <f t="shared" si="62"/>
        <v>45600</v>
      </c>
      <c r="N1011" s="10">
        <f t="shared" si="63"/>
        <v>0.72843450479233229</v>
      </c>
    </row>
    <row r="1012" spans="1:14" x14ac:dyDescent="0.3">
      <c r="A1012" s="9" t="s">
        <v>1118</v>
      </c>
      <c r="B1012" s="9" t="s">
        <v>1103</v>
      </c>
      <c r="C1012" s="9" t="s">
        <v>38</v>
      </c>
      <c r="D1012" s="9" t="s">
        <v>17</v>
      </c>
      <c r="E1012" s="9">
        <v>3</v>
      </c>
      <c r="F1012" s="11">
        <v>126600</v>
      </c>
      <c r="G1012" s="9" t="str">
        <f>INDEX(Products!$B$2:$B$9,MATCH(D1012,Products!$A$2:$A$9,0))</f>
        <v>Trà diếp cá rau má</v>
      </c>
      <c r="H1012" s="9" t="str">
        <f>INDEX(Products!$C$2:$C$9,MATCH(D1012,Products!$A$2:$A$9,0))</f>
        <v>Detox</v>
      </c>
      <c r="I1012" s="11">
        <f>INDEX(Products!$D$2:$D$9,MATCH(D1012,Products!$A$2:$A$9,0))</f>
        <v>10500</v>
      </c>
      <c r="J1012" s="10">
        <f>IFERROR(INDEX(PlatformFees!$C$2:$C$5,MATCH(C1012,PlatformFees!$A$2:$A$5,0)),0)</f>
        <v>0.16</v>
      </c>
      <c r="K1012" s="11">
        <f t="shared" si="60"/>
        <v>31500</v>
      </c>
      <c r="L1012" s="11">
        <f t="shared" si="61"/>
        <v>20256</v>
      </c>
      <c r="M1012" s="11">
        <f t="shared" si="62"/>
        <v>74844</v>
      </c>
      <c r="N1012" s="10">
        <f t="shared" si="63"/>
        <v>0.59118483412322276</v>
      </c>
    </row>
    <row r="1013" spans="1:14" x14ac:dyDescent="0.3">
      <c r="A1013" s="9" t="s">
        <v>1119</v>
      </c>
      <c r="B1013" s="9" t="s">
        <v>1103</v>
      </c>
      <c r="C1013" s="9" t="s">
        <v>39</v>
      </c>
      <c r="D1013" s="9" t="s">
        <v>20</v>
      </c>
      <c r="E1013" s="9">
        <v>1</v>
      </c>
      <c r="F1013" s="11">
        <v>51800</v>
      </c>
      <c r="G1013" s="9" t="str">
        <f>INDEX(Products!$B$2:$B$9,MATCH(D1013,Products!$A$2:$A$9,0))</f>
        <v>Trà cà leo gai giảm cân</v>
      </c>
      <c r="H1013" s="9" t="str">
        <f>INDEX(Products!$C$2:$C$9,MATCH(D1013,Products!$A$2:$A$9,0))</f>
        <v>Detox</v>
      </c>
      <c r="I1013" s="11">
        <f>INDEX(Products!$D$2:$D$9,MATCH(D1013,Products!$A$2:$A$9,0))</f>
        <v>15000</v>
      </c>
      <c r="J1013" s="10">
        <f>IFERROR(INDEX(PlatformFees!$C$2:$C$5,MATCH(C1013,PlatformFees!$A$2:$A$5,0)),0)</f>
        <v>0</v>
      </c>
      <c r="K1013" s="11">
        <f t="shared" si="60"/>
        <v>15000</v>
      </c>
      <c r="L1013" s="11">
        <f t="shared" si="61"/>
        <v>0</v>
      </c>
      <c r="M1013" s="11">
        <f t="shared" si="62"/>
        <v>36800</v>
      </c>
      <c r="N1013" s="10">
        <f t="shared" si="63"/>
        <v>0.71042471042471045</v>
      </c>
    </row>
    <row r="1014" spans="1:14" x14ac:dyDescent="0.3">
      <c r="A1014" s="9" t="s">
        <v>1120</v>
      </c>
      <c r="B1014" s="9" t="s">
        <v>1103</v>
      </c>
      <c r="C1014" s="9" t="s">
        <v>39</v>
      </c>
      <c r="D1014" s="9" t="s">
        <v>30</v>
      </c>
      <c r="E1014" s="9">
        <v>3</v>
      </c>
      <c r="F1014" s="11">
        <v>108600</v>
      </c>
      <c r="G1014" s="9" t="str">
        <f>INDEX(Products!$B$2:$B$9,MATCH(D1014,Products!$A$2:$A$9,0))</f>
        <v>Trà mâm xôi vitamin</v>
      </c>
      <c r="H1014" s="9" t="str">
        <f>INDEX(Products!$C$2:$C$9,MATCH(D1014,Products!$A$2:$A$9,0))</f>
        <v>Bổ sung dưỡng chất</v>
      </c>
      <c r="I1014" s="11">
        <f>INDEX(Products!$D$2:$D$9,MATCH(D1014,Products!$A$2:$A$9,0))</f>
        <v>9800</v>
      </c>
      <c r="J1014" s="10">
        <f>IFERROR(INDEX(PlatformFees!$C$2:$C$5,MATCH(C1014,PlatformFees!$A$2:$A$5,0)),0)</f>
        <v>0</v>
      </c>
      <c r="K1014" s="11">
        <f t="shared" si="60"/>
        <v>29400</v>
      </c>
      <c r="L1014" s="11">
        <f t="shared" si="61"/>
        <v>0</v>
      </c>
      <c r="M1014" s="11">
        <f t="shared" si="62"/>
        <v>79200</v>
      </c>
      <c r="N1014" s="10">
        <f t="shared" si="63"/>
        <v>0.72928176795580113</v>
      </c>
    </row>
    <row r="1015" spans="1:14" x14ac:dyDescent="0.3">
      <c r="A1015" s="9" t="s">
        <v>1121</v>
      </c>
      <c r="B1015" s="9" t="s">
        <v>1103</v>
      </c>
      <c r="C1015" s="9" t="s">
        <v>38</v>
      </c>
      <c r="D1015" s="9" t="s">
        <v>30</v>
      </c>
      <c r="E1015" s="9">
        <v>3</v>
      </c>
      <c r="F1015" s="11">
        <v>107500</v>
      </c>
      <c r="G1015" s="9" t="str">
        <f>INDEX(Products!$B$2:$B$9,MATCH(D1015,Products!$A$2:$A$9,0))</f>
        <v>Trà mâm xôi vitamin</v>
      </c>
      <c r="H1015" s="9" t="str">
        <f>INDEX(Products!$C$2:$C$9,MATCH(D1015,Products!$A$2:$A$9,0))</f>
        <v>Bổ sung dưỡng chất</v>
      </c>
      <c r="I1015" s="11">
        <f>INDEX(Products!$D$2:$D$9,MATCH(D1015,Products!$A$2:$A$9,0))</f>
        <v>9800</v>
      </c>
      <c r="J1015" s="10">
        <f>IFERROR(INDEX(PlatformFees!$C$2:$C$5,MATCH(C1015,PlatformFees!$A$2:$A$5,0)),0)</f>
        <v>0.16</v>
      </c>
      <c r="K1015" s="11">
        <f t="shared" si="60"/>
        <v>29400</v>
      </c>
      <c r="L1015" s="11">
        <f t="shared" si="61"/>
        <v>17200</v>
      </c>
      <c r="M1015" s="11">
        <f t="shared" si="62"/>
        <v>60900</v>
      </c>
      <c r="N1015" s="10">
        <f t="shared" si="63"/>
        <v>0.56651162790697673</v>
      </c>
    </row>
    <row r="1016" spans="1:14" x14ac:dyDescent="0.3">
      <c r="A1016" s="9" t="s">
        <v>1122</v>
      </c>
      <c r="B1016" s="9" t="s">
        <v>1103</v>
      </c>
      <c r="C1016" s="9" t="s">
        <v>36</v>
      </c>
      <c r="D1016" s="9" t="s">
        <v>25</v>
      </c>
      <c r="E1016" s="9">
        <v>1</v>
      </c>
      <c r="F1016" s="11">
        <v>31600</v>
      </c>
      <c r="G1016" s="9" t="str">
        <f>INDEX(Products!$B$2:$B$9,MATCH(D1016,Products!$A$2:$A$9,0))</f>
        <v>Trà hoa đậu biếc</v>
      </c>
      <c r="H1016" s="9" t="str">
        <f>INDEX(Products!$C$2:$C$9,MATCH(D1016,Products!$A$2:$A$9,0))</f>
        <v>An thần</v>
      </c>
      <c r="I1016" s="11">
        <f>INDEX(Products!$D$2:$D$9,MATCH(D1016,Products!$A$2:$A$9,0))</f>
        <v>8800</v>
      </c>
      <c r="J1016" s="10">
        <f>IFERROR(INDEX(PlatformFees!$C$2:$C$5,MATCH(C1016,PlatformFees!$A$2:$A$5,0)),0)</f>
        <v>0.13</v>
      </c>
      <c r="K1016" s="11">
        <f t="shared" si="60"/>
        <v>8800</v>
      </c>
      <c r="L1016" s="11">
        <f t="shared" si="61"/>
        <v>4108</v>
      </c>
      <c r="M1016" s="11">
        <f t="shared" si="62"/>
        <v>18692</v>
      </c>
      <c r="N1016" s="10">
        <f t="shared" si="63"/>
        <v>0.59151898734177211</v>
      </c>
    </row>
    <row r="1017" spans="1:14" x14ac:dyDescent="0.3">
      <c r="A1017" s="9" t="s">
        <v>1123</v>
      </c>
      <c r="B1017" s="9" t="s">
        <v>1103</v>
      </c>
      <c r="C1017" s="9" t="s">
        <v>36</v>
      </c>
      <c r="D1017" s="9" t="s">
        <v>25</v>
      </c>
      <c r="E1017" s="9">
        <v>2</v>
      </c>
      <c r="F1017" s="11">
        <v>63100</v>
      </c>
      <c r="G1017" s="9" t="str">
        <f>INDEX(Products!$B$2:$B$9,MATCH(D1017,Products!$A$2:$A$9,0))</f>
        <v>Trà hoa đậu biếc</v>
      </c>
      <c r="H1017" s="9" t="str">
        <f>INDEX(Products!$C$2:$C$9,MATCH(D1017,Products!$A$2:$A$9,0))</f>
        <v>An thần</v>
      </c>
      <c r="I1017" s="11">
        <f>INDEX(Products!$D$2:$D$9,MATCH(D1017,Products!$A$2:$A$9,0))</f>
        <v>8800</v>
      </c>
      <c r="J1017" s="10">
        <f>IFERROR(INDEX(PlatformFees!$C$2:$C$5,MATCH(C1017,PlatformFees!$A$2:$A$5,0)),0)</f>
        <v>0.13</v>
      </c>
      <c r="K1017" s="11">
        <f t="shared" si="60"/>
        <v>17600</v>
      </c>
      <c r="L1017" s="11">
        <f t="shared" si="61"/>
        <v>8203</v>
      </c>
      <c r="M1017" s="11">
        <f t="shared" si="62"/>
        <v>37297</v>
      </c>
      <c r="N1017" s="10">
        <f t="shared" si="63"/>
        <v>0.59107765451664029</v>
      </c>
    </row>
    <row r="1018" spans="1:14" x14ac:dyDescent="0.3">
      <c r="A1018" s="9" t="s">
        <v>1124</v>
      </c>
      <c r="B1018" s="9" t="s">
        <v>1125</v>
      </c>
      <c r="C1018" s="9" t="s">
        <v>40</v>
      </c>
      <c r="D1018" s="9" t="s">
        <v>20</v>
      </c>
      <c r="E1018" s="9">
        <v>2</v>
      </c>
      <c r="F1018" s="11">
        <v>108800</v>
      </c>
      <c r="G1018" s="9" t="str">
        <f>INDEX(Products!$B$2:$B$9,MATCH(D1018,Products!$A$2:$A$9,0))</f>
        <v>Trà cà leo gai giảm cân</v>
      </c>
      <c r="H1018" s="9" t="str">
        <f>INDEX(Products!$C$2:$C$9,MATCH(D1018,Products!$A$2:$A$9,0))</f>
        <v>Detox</v>
      </c>
      <c r="I1018" s="11">
        <f>INDEX(Products!$D$2:$D$9,MATCH(D1018,Products!$A$2:$A$9,0))</f>
        <v>15000</v>
      </c>
      <c r="J1018" s="10">
        <f>IFERROR(INDEX(PlatformFees!$C$2:$C$5,MATCH(C1018,PlatformFees!$A$2:$A$5,0)),0)</f>
        <v>0</v>
      </c>
      <c r="K1018" s="11">
        <f t="shared" si="60"/>
        <v>30000</v>
      </c>
      <c r="L1018" s="11">
        <f t="shared" si="61"/>
        <v>0</v>
      </c>
      <c r="M1018" s="11">
        <f t="shared" si="62"/>
        <v>78800</v>
      </c>
      <c r="N1018" s="10">
        <f t="shared" si="63"/>
        <v>0.72426470588235292</v>
      </c>
    </row>
    <row r="1019" spans="1:14" x14ac:dyDescent="0.3">
      <c r="A1019" s="9" t="s">
        <v>1126</v>
      </c>
      <c r="B1019" s="9" t="s">
        <v>1125</v>
      </c>
      <c r="C1019" s="9" t="s">
        <v>36</v>
      </c>
      <c r="D1019" s="9" t="s">
        <v>12</v>
      </c>
      <c r="E1019" s="9">
        <v>3</v>
      </c>
      <c r="F1019" s="11">
        <v>98000</v>
      </c>
      <c r="G1019" s="9" t="str">
        <f>INDEX(Products!$B$2:$B$9,MATCH(D1019,Products!$A$2:$A$9,0))</f>
        <v>Trà atiso thanh lọc</v>
      </c>
      <c r="H1019" s="9" t="str">
        <f>INDEX(Products!$C$2:$C$9,MATCH(D1019,Products!$A$2:$A$9,0))</f>
        <v>Thanh lọc</v>
      </c>
      <c r="I1019" s="11">
        <f>INDEX(Products!$D$2:$D$9,MATCH(D1019,Products!$A$2:$A$9,0))</f>
        <v>9000</v>
      </c>
      <c r="J1019" s="10">
        <f>IFERROR(INDEX(PlatformFees!$C$2:$C$5,MATCH(C1019,PlatformFees!$A$2:$A$5,0)),0)</f>
        <v>0.13</v>
      </c>
      <c r="K1019" s="11">
        <f t="shared" si="60"/>
        <v>27000</v>
      </c>
      <c r="L1019" s="11">
        <f t="shared" si="61"/>
        <v>12740</v>
      </c>
      <c r="M1019" s="11">
        <f t="shared" si="62"/>
        <v>58260</v>
      </c>
      <c r="N1019" s="10">
        <f t="shared" si="63"/>
        <v>0.59448979591836737</v>
      </c>
    </row>
    <row r="1020" spans="1:14" x14ac:dyDescent="0.3">
      <c r="A1020" s="9" t="s">
        <v>1127</v>
      </c>
      <c r="B1020" s="9" t="s">
        <v>1125</v>
      </c>
      <c r="C1020" s="9" t="s">
        <v>36</v>
      </c>
      <c r="D1020" s="9" t="s">
        <v>25</v>
      </c>
      <c r="E1020" s="9">
        <v>1</v>
      </c>
      <c r="F1020" s="11">
        <v>34100</v>
      </c>
      <c r="G1020" s="9" t="str">
        <f>INDEX(Products!$B$2:$B$9,MATCH(D1020,Products!$A$2:$A$9,0))</f>
        <v>Trà hoa đậu biếc</v>
      </c>
      <c r="H1020" s="9" t="str">
        <f>INDEX(Products!$C$2:$C$9,MATCH(D1020,Products!$A$2:$A$9,0))</f>
        <v>An thần</v>
      </c>
      <c r="I1020" s="11">
        <f>INDEX(Products!$D$2:$D$9,MATCH(D1020,Products!$A$2:$A$9,0))</f>
        <v>8800</v>
      </c>
      <c r="J1020" s="10">
        <f>IFERROR(INDEX(PlatformFees!$C$2:$C$5,MATCH(C1020,PlatformFees!$A$2:$A$5,0)),0)</f>
        <v>0.13</v>
      </c>
      <c r="K1020" s="11">
        <f t="shared" si="60"/>
        <v>8800</v>
      </c>
      <c r="L1020" s="11">
        <f t="shared" si="61"/>
        <v>4433</v>
      </c>
      <c r="M1020" s="11">
        <f t="shared" si="62"/>
        <v>20867</v>
      </c>
      <c r="N1020" s="10">
        <f t="shared" si="63"/>
        <v>0.61193548387096774</v>
      </c>
    </row>
    <row r="1021" spans="1:14" x14ac:dyDescent="0.3">
      <c r="A1021" s="9" t="s">
        <v>1128</v>
      </c>
      <c r="B1021" s="9" t="s">
        <v>1125</v>
      </c>
      <c r="C1021" s="9" t="s">
        <v>38</v>
      </c>
      <c r="D1021" s="9" t="s">
        <v>25</v>
      </c>
      <c r="E1021" s="9">
        <v>1</v>
      </c>
      <c r="F1021" s="11">
        <v>32600</v>
      </c>
      <c r="G1021" s="9" t="str">
        <f>INDEX(Products!$B$2:$B$9,MATCH(D1021,Products!$A$2:$A$9,0))</f>
        <v>Trà hoa đậu biếc</v>
      </c>
      <c r="H1021" s="9" t="str">
        <f>INDEX(Products!$C$2:$C$9,MATCH(D1021,Products!$A$2:$A$9,0))</f>
        <v>An thần</v>
      </c>
      <c r="I1021" s="11">
        <f>INDEX(Products!$D$2:$D$9,MATCH(D1021,Products!$A$2:$A$9,0))</f>
        <v>8800</v>
      </c>
      <c r="J1021" s="10">
        <f>IFERROR(INDEX(PlatformFees!$C$2:$C$5,MATCH(C1021,PlatformFees!$A$2:$A$5,0)),0)</f>
        <v>0.16</v>
      </c>
      <c r="K1021" s="11">
        <f t="shared" si="60"/>
        <v>8800</v>
      </c>
      <c r="L1021" s="11">
        <f t="shared" si="61"/>
        <v>5216</v>
      </c>
      <c r="M1021" s="11">
        <f t="shared" si="62"/>
        <v>18584</v>
      </c>
      <c r="N1021" s="10">
        <f t="shared" si="63"/>
        <v>0.57006134969325151</v>
      </c>
    </row>
    <row r="1022" spans="1:14" x14ac:dyDescent="0.3">
      <c r="A1022" s="9" t="s">
        <v>1129</v>
      </c>
      <c r="B1022" s="9" t="s">
        <v>1125</v>
      </c>
      <c r="C1022" s="9" t="s">
        <v>38</v>
      </c>
      <c r="D1022" s="9" t="s">
        <v>17</v>
      </c>
      <c r="E1022" s="9">
        <v>3</v>
      </c>
      <c r="F1022" s="11">
        <v>120100</v>
      </c>
      <c r="G1022" s="9" t="str">
        <f>INDEX(Products!$B$2:$B$9,MATCH(D1022,Products!$A$2:$A$9,0))</f>
        <v>Trà diếp cá rau má</v>
      </c>
      <c r="H1022" s="9" t="str">
        <f>INDEX(Products!$C$2:$C$9,MATCH(D1022,Products!$A$2:$A$9,0))</f>
        <v>Detox</v>
      </c>
      <c r="I1022" s="11">
        <f>INDEX(Products!$D$2:$D$9,MATCH(D1022,Products!$A$2:$A$9,0))</f>
        <v>10500</v>
      </c>
      <c r="J1022" s="10">
        <f>IFERROR(INDEX(PlatformFees!$C$2:$C$5,MATCH(C1022,PlatformFees!$A$2:$A$5,0)),0)</f>
        <v>0.16</v>
      </c>
      <c r="K1022" s="11">
        <f t="shared" si="60"/>
        <v>31500</v>
      </c>
      <c r="L1022" s="11">
        <f t="shared" si="61"/>
        <v>19216</v>
      </c>
      <c r="M1022" s="11">
        <f t="shared" si="62"/>
        <v>69384</v>
      </c>
      <c r="N1022" s="10">
        <f t="shared" si="63"/>
        <v>0.57771856786011655</v>
      </c>
    </row>
    <row r="1023" spans="1:14" x14ac:dyDescent="0.3">
      <c r="A1023" s="9" t="s">
        <v>1130</v>
      </c>
      <c r="B1023" s="9" t="s">
        <v>1125</v>
      </c>
      <c r="C1023" s="9" t="s">
        <v>36</v>
      </c>
      <c r="D1023" s="9" t="s">
        <v>25</v>
      </c>
      <c r="E1023" s="9">
        <v>2</v>
      </c>
      <c r="F1023" s="11">
        <v>65400</v>
      </c>
      <c r="G1023" s="9" t="str">
        <f>INDEX(Products!$B$2:$B$9,MATCH(D1023,Products!$A$2:$A$9,0))</f>
        <v>Trà hoa đậu biếc</v>
      </c>
      <c r="H1023" s="9" t="str">
        <f>INDEX(Products!$C$2:$C$9,MATCH(D1023,Products!$A$2:$A$9,0))</f>
        <v>An thần</v>
      </c>
      <c r="I1023" s="11">
        <f>INDEX(Products!$D$2:$D$9,MATCH(D1023,Products!$A$2:$A$9,0))</f>
        <v>8800</v>
      </c>
      <c r="J1023" s="10">
        <f>IFERROR(INDEX(PlatformFees!$C$2:$C$5,MATCH(C1023,PlatformFees!$A$2:$A$5,0)),0)</f>
        <v>0.13</v>
      </c>
      <c r="K1023" s="11">
        <f t="shared" si="60"/>
        <v>17600</v>
      </c>
      <c r="L1023" s="11">
        <f t="shared" si="61"/>
        <v>8502</v>
      </c>
      <c r="M1023" s="11">
        <f t="shared" si="62"/>
        <v>39298</v>
      </c>
      <c r="N1023" s="10">
        <f t="shared" si="63"/>
        <v>0.60088685015290522</v>
      </c>
    </row>
    <row r="1024" spans="1:14" x14ac:dyDescent="0.3">
      <c r="A1024" s="9" t="s">
        <v>1131</v>
      </c>
      <c r="B1024" s="9" t="s">
        <v>1125</v>
      </c>
      <c r="C1024" s="9" t="s">
        <v>39</v>
      </c>
      <c r="D1024" s="9" t="s">
        <v>12</v>
      </c>
      <c r="E1024" s="9">
        <v>1</v>
      </c>
      <c r="F1024" s="11">
        <v>34300</v>
      </c>
      <c r="G1024" s="9" t="str">
        <f>INDEX(Products!$B$2:$B$9,MATCH(D1024,Products!$A$2:$A$9,0))</f>
        <v>Trà atiso thanh lọc</v>
      </c>
      <c r="H1024" s="9" t="str">
        <f>INDEX(Products!$C$2:$C$9,MATCH(D1024,Products!$A$2:$A$9,0))</f>
        <v>Thanh lọc</v>
      </c>
      <c r="I1024" s="11">
        <f>INDEX(Products!$D$2:$D$9,MATCH(D1024,Products!$A$2:$A$9,0))</f>
        <v>9000</v>
      </c>
      <c r="J1024" s="10">
        <f>IFERROR(INDEX(PlatformFees!$C$2:$C$5,MATCH(C1024,PlatformFees!$A$2:$A$5,0)),0)</f>
        <v>0</v>
      </c>
      <c r="K1024" s="11">
        <f t="shared" si="60"/>
        <v>9000</v>
      </c>
      <c r="L1024" s="11">
        <f t="shared" si="61"/>
        <v>0</v>
      </c>
      <c r="M1024" s="11">
        <f t="shared" si="62"/>
        <v>25300</v>
      </c>
      <c r="N1024" s="10">
        <f t="shared" si="63"/>
        <v>0.73760932944606417</v>
      </c>
    </row>
    <row r="1025" spans="1:14" x14ac:dyDescent="0.3">
      <c r="A1025" s="9" t="s">
        <v>1132</v>
      </c>
      <c r="B1025" s="9" t="s">
        <v>1125</v>
      </c>
      <c r="C1025" s="9" t="s">
        <v>36</v>
      </c>
      <c r="D1025" s="9" t="s">
        <v>17</v>
      </c>
      <c r="E1025" s="9">
        <v>2</v>
      </c>
      <c r="F1025" s="11">
        <v>80000</v>
      </c>
      <c r="G1025" s="9" t="str">
        <f>INDEX(Products!$B$2:$B$9,MATCH(D1025,Products!$A$2:$A$9,0))</f>
        <v>Trà diếp cá rau má</v>
      </c>
      <c r="H1025" s="9" t="str">
        <f>INDEX(Products!$C$2:$C$9,MATCH(D1025,Products!$A$2:$A$9,0))</f>
        <v>Detox</v>
      </c>
      <c r="I1025" s="11">
        <f>INDEX(Products!$D$2:$D$9,MATCH(D1025,Products!$A$2:$A$9,0))</f>
        <v>10500</v>
      </c>
      <c r="J1025" s="10">
        <f>IFERROR(INDEX(PlatformFees!$C$2:$C$5,MATCH(C1025,PlatformFees!$A$2:$A$5,0)),0)</f>
        <v>0.13</v>
      </c>
      <c r="K1025" s="11">
        <f t="shared" si="60"/>
        <v>21000</v>
      </c>
      <c r="L1025" s="11">
        <f t="shared" si="61"/>
        <v>10400</v>
      </c>
      <c r="M1025" s="11">
        <f t="shared" si="62"/>
        <v>48600</v>
      </c>
      <c r="N1025" s="10">
        <f t="shared" si="63"/>
        <v>0.60750000000000004</v>
      </c>
    </row>
    <row r="1026" spans="1:14" x14ac:dyDescent="0.3">
      <c r="A1026" s="9" t="s">
        <v>1133</v>
      </c>
      <c r="B1026" s="9" t="s">
        <v>1125</v>
      </c>
      <c r="C1026" s="9" t="s">
        <v>38</v>
      </c>
      <c r="D1026" s="9" t="s">
        <v>17</v>
      </c>
      <c r="E1026" s="9">
        <v>3</v>
      </c>
      <c r="F1026" s="11">
        <v>124900</v>
      </c>
      <c r="G1026" s="9" t="str">
        <f>INDEX(Products!$B$2:$B$9,MATCH(D1026,Products!$A$2:$A$9,0))</f>
        <v>Trà diếp cá rau má</v>
      </c>
      <c r="H1026" s="9" t="str">
        <f>INDEX(Products!$C$2:$C$9,MATCH(D1026,Products!$A$2:$A$9,0))</f>
        <v>Detox</v>
      </c>
      <c r="I1026" s="11">
        <f>INDEX(Products!$D$2:$D$9,MATCH(D1026,Products!$A$2:$A$9,0))</f>
        <v>10500</v>
      </c>
      <c r="J1026" s="10">
        <f>IFERROR(INDEX(PlatformFees!$C$2:$C$5,MATCH(C1026,PlatformFees!$A$2:$A$5,0)),0)</f>
        <v>0.16</v>
      </c>
      <c r="K1026" s="11">
        <f t="shared" ref="K1026:K1089" si="64">E1026*I1026</f>
        <v>31500</v>
      </c>
      <c r="L1026" s="11">
        <f t="shared" ref="L1026:L1089" si="65">F1026*J1026</f>
        <v>19984</v>
      </c>
      <c r="M1026" s="11">
        <f t="shared" ref="M1026:M1089" si="66">F1026-L1026-K1026</f>
        <v>73416</v>
      </c>
      <c r="N1026" s="10">
        <f t="shared" ref="N1026:N1089" si="67">IFERROR(M1026/F1026,0)</f>
        <v>0.58779823859087266</v>
      </c>
    </row>
    <row r="1027" spans="1:14" x14ac:dyDescent="0.3">
      <c r="A1027" s="9" t="s">
        <v>1134</v>
      </c>
      <c r="B1027" s="9" t="s">
        <v>1125</v>
      </c>
      <c r="C1027" s="9" t="s">
        <v>40</v>
      </c>
      <c r="D1027" s="9" t="s">
        <v>12</v>
      </c>
      <c r="E1027" s="9">
        <v>2</v>
      </c>
      <c r="F1027" s="11">
        <v>65500</v>
      </c>
      <c r="G1027" s="9" t="str">
        <f>INDEX(Products!$B$2:$B$9,MATCH(D1027,Products!$A$2:$A$9,0))</f>
        <v>Trà atiso thanh lọc</v>
      </c>
      <c r="H1027" s="9" t="str">
        <f>INDEX(Products!$C$2:$C$9,MATCH(D1027,Products!$A$2:$A$9,0))</f>
        <v>Thanh lọc</v>
      </c>
      <c r="I1027" s="11">
        <f>INDEX(Products!$D$2:$D$9,MATCH(D1027,Products!$A$2:$A$9,0))</f>
        <v>9000</v>
      </c>
      <c r="J1027" s="10">
        <f>IFERROR(INDEX(PlatformFees!$C$2:$C$5,MATCH(C1027,PlatformFees!$A$2:$A$5,0)),0)</f>
        <v>0</v>
      </c>
      <c r="K1027" s="11">
        <f t="shared" si="64"/>
        <v>18000</v>
      </c>
      <c r="L1027" s="11">
        <f t="shared" si="65"/>
        <v>0</v>
      </c>
      <c r="M1027" s="11">
        <f t="shared" si="66"/>
        <v>47500</v>
      </c>
      <c r="N1027" s="10">
        <f t="shared" si="67"/>
        <v>0.72519083969465647</v>
      </c>
    </row>
    <row r="1028" spans="1:14" x14ac:dyDescent="0.3">
      <c r="A1028" s="9" t="s">
        <v>1135</v>
      </c>
      <c r="B1028" s="9" t="s">
        <v>1125</v>
      </c>
      <c r="C1028" s="9" t="s">
        <v>36</v>
      </c>
      <c r="D1028" s="9" t="s">
        <v>20</v>
      </c>
      <c r="E1028" s="9">
        <v>2</v>
      </c>
      <c r="F1028" s="11">
        <v>107700</v>
      </c>
      <c r="G1028" s="9" t="str">
        <f>INDEX(Products!$B$2:$B$9,MATCH(D1028,Products!$A$2:$A$9,0))</f>
        <v>Trà cà leo gai giảm cân</v>
      </c>
      <c r="H1028" s="9" t="str">
        <f>INDEX(Products!$C$2:$C$9,MATCH(D1028,Products!$A$2:$A$9,0))</f>
        <v>Detox</v>
      </c>
      <c r="I1028" s="11">
        <f>INDEX(Products!$D$2:$D$9,MATCH(D1028,Products!$A$2:$A$9,0))</f>
        <v>15000</v>
      </c>
      <c r="J1028" s="10">
        <f>IFERROR(INDEX(PlatformFees!$C$2:$C$5,MATCH(C1028,PlatformFees!$A$2:$A$5,0)),0)</f>
        <v>0.13</v>
      </c>
      <c r="K1028" s="11">
        <f t="shared" si="64"/>
        <v>30000</v>
      </c>
      <c r="L1028" s="11">
        <f t="shared" si="65"/>
        <v>14001</v>
      </c>
      <c r="M1028" s="11">
        <f t="shared" si="66"/>
        <v>63699</v>
      </c>
      <c r="N1028" s="10">
        <f t="shared" si="67"/>
        <v>0.5914484679665738</v>
      </c>
    </row>
    <row r="1029" spans="1:14" x14ac:dyDescent="0.3">
      <c r="A1029" s="9" t="s">
        <v>1136</v>
      </c>
      <c r="B1029" s="9" t="s">
        <v>1125</v>
      </c>
      <c r="C1029" s="9" t="s">
        <v>40</v>
      </c>
      <c r="D1029" s="9" t="s">
        <v>17</v>
      </c>
      <c r="E1029" s="9">
        <v>3</v>
      </c>
      <c r="F1029" s="11">
        <v>126200</v>
      </c>
      <c r="G1029" s="9" t="str">
        <f>INDEX(Products!$B$2:$B$9,MATCH(D1029,Products!$A$2:$A$9,0))</f>
        <v>Trà diếp cá rau má</v>
      </c>
      <c r="H1029" s="9" t="str">
        <f>INDEX(Products!$C$2:$C$9,MATCH(D1029,Products!$A$2:$A$9,0))</f>
        <v>Detox</v>
      </c>
      <c r="I1029" s="11">
        <f>INDEX(Products!$D$2:$D$9,MATCH(D1029,Products!$A$2:$A$9,0))</f>
        <v>10500</v>
      </c>
      <c r="J1029" s="10">
        <f>IFERROR(INDEX(PlatformFees!$C$2:$C$5,MATCH(C1029,PlatformFees!$A$2:$A$5,0)),0)</f>
        <v>0</v>
      </c>
      <c r="K1029" s="11">
        <f t="shared" si="64"/>
        <v>31500</v>
      </c>
      <c r="L1029" s="11">
        <f t="shared" si="65"/>
        <v>0</v>
      </c>
      <c r="M1029" s="11">
        <f t="shared" si="66"/>
        <v>94700</v>
      </c>
      <c r="N1029" s="10">
        <f t="shared" si="67"/>
        <v>0.75039619651347067</v>
      </c>
    </row>
    <row r="1030" spans="1:14" x14ac:dyDescent="0.3">
      <c r="A1030" s="9" t="s">
        <v>1137</v>
      </c>
      <c r="B1030" s="9" t="s">
        <v>1125</v>
      </c>
      <c r="C1030" s="9" t="s">
        <v>39</v>
      </c>
      <c r="D1030" s="9" t="s">
        <v>15</v>
      </c>
      <c r="E1030" s="9">
        <v>3</v>
      </c>
      <c r="F1030" s="11">
        <v>97300</v>
      </c>
      <c r="G1030" s="9" t="str">
        <f>INDEX(Products!$B$2:$B$9,MATCH(D1030,Products!$A$2:$A$9,0))</f>
        <v>Trà lá nam sen ổi</v>
      </c>
      <c r="H1030" s="9" t="str">
        <f>INDEX(Products!$C$2:$C$9,MATCH(D1030,Products!$A$2:$A$9,0))</f>
        <v>Thanh lọc</v>
      </c>
      <c r="I1030" s="11">
        <f>INDEX(Products!$D$2:$D$9,MATCH(D1030,Products!$A$2:$A$9,0))</f>
        <v>8500</v>
      </c>
      <c r="J1030" s="10">
        <f>IFERROR(INDEX(PlatformFees!$C$2:$C$5,MATCH(C1030,PlatformFees!$A$2:$A$5,0)),0)</f>
        <v>0</v>
      </c>
      <c r="K1030" s="11">
        <f t="shared" si="64"/>
        <v>25500</v>
      </c>
      <c r="L1030" s="11">
        <f t="shared" si="65"/>
        <v>0</v>
      </c>
      <c r="M1030" s="11">
        <f t="shared" si="66"/>
        <v>71800</v>
      </c>
      <c r="N1030" s="10">
        <f t="shared" si="67"/>
        <v>0.73792394655704008</v>
      </c>
    </row>
    <row r="1031" spans="1:14" x14ac:dyDescent="0.3">
      <c r="A1031" s="9" t="s">
        <v>1138</v>
      </c>
      <c r="B1031" s="9" t="s">
        <v>1139</v>
      </c>
      <c r="C1031" s="9" t="s">
        <v>36</v>
      </c>
      <c r="D1031" s="9" t="s">
        <v>17</v>
      </c>
      <c r="E1031" s="9">
        <v>1</v>
      </c>
      <c r="F1031" s="11">
        <v>39500</v>
      </c>
      <c r="G1031" s="9" t="str">
        <f>INDEX(Products!$B$2:$B$9,MATCH(D1031,Products!$A$2:$A$9,0))</f>
        <v>Trà diếp cá rau má</v>
      </c>
      <c r="H1031" s="9" t="str">
        <f>INDEX(Products!$C$2:$C$9,MATCH(D1031,Products!$A$2:$A$9,0))</f>
        <v>Detox</v>
      </c>
      <c r="I1031" s="11">
        <f>INDEX(Products!$D$2:$D$9,MATCH(D1031,Products!$A$2:$A$9,0))</f>
        <v>10500</v>
      </c>
      <c r="J1031" s="10">
        <f>IFERROR(INDEX(PlatformFees!$C$2:$C$5,MATCH(C1031,PlatformFees!$A$2:$A$5,0)),0)</f>
        <v>0.13</v>
      </c>
      <c r="K1031" s="11">
        <f t="shared" si="64"/>
        <v>10500</v>
      </c>
      <c r="L1031" s="11">
        <f t="shared" si="65"/>
        <v>5135</v>
      </c>
      <c r="M1031" s="11">
        <f t="shared" si="66"/>
        <v>23865</v>
      </c>
      <c r="N1031" s="10">
        <f t="shared" si="67"/>
        <v>0.60417721518987344</v>
      </c>
    </row>
    <row r="1032" spans="1:14" x14ac:dyDescent="0.3">
      <c r="A1032" s="9" t="s">
        <v>1140</v>
      </c>
      <c r="B1032" s="9" t="s">
        <v>1139</v>
      </c>
      <c r="C1032" s="9" t="s">
        <v>36</v>
      </c>
      <c r="D1032" s="9" t="s">
        <v>25</v>
      </c>
      <c r="E1032" s="9">
        <v>1</v>
      </c>
      <c r="F1032" s="11">
        <v>34500</v>
      </c>
      <c r="G1032" s="9" t="str">
        <f>INDEX(Products!$B$2:$B$9,MATCH(D1032,Products!$A$2:$A$9,0))</f>
        <v>Trà hoa đậu biếc</v>
      </c>
      <c r="H1032" s="9" t="str">
        <f>INDEX(Products!$C$2:$C$9,MATCH(D1032,Products!$A$2:$A$9,0))</f>
        <v>An thần</v>
      </c>
      <c r="I1032" s="11">
        <f>INDEX(Products!$D$2:$D$9,MATCH(D1032,Products!$A$2:$A$9,0))</f>
        <v>8800</v>
      </c>
      <c r="J1032" s="10">
        <f>IFERROR(INDEX(PlatformFees!$C$2:$C$5,MATCH(C1032,PlatformFees!$A$2:$A$5,0)),0)</f>
        <v>0.13</v>
      </c>
      <c r="K1032" s="11">
        <f t="shared" si="64"/>
        <v>8800</v>
      </c>
      <c r="L1032" s="11">
        <f t="shared" si="65"/>
        <v>4485</v>
      </c>
      <c r="M1032" s="11">
        <f t="shared" si="66"/>
        <v>21215</v>
      </c>
      <c r="N1032" s="10">
        <f t="shared" si="67"/>
        <v>0.61492753623188401</v>
      </c>
    </row>
    <row r="1033" spans="1:14" x14ac:dyDescent="0.3">
      <c r="A1033" s="9" t="s">
        <v>1141</v>
      </c>
      <c r="B1033" s="9" t="s">
        <v>1139</v>
      </c>
      <c r="C1033" s="9" t="s">
        <v>40</v>
      </c>
      <c r="D1033" s="9" t="s">
        <v>30</v>
      </c>
      <c r="E1033" s="9">
        <v>2</v>
      </c>
      <c r="F1033" s="11">
        <v>71300</v>
      </c>
      <c r="G1033" s="9" t="str">
        <f>INDEX(Products!$B$2:$B$9,MATCH(D1033,Products!$A$2:$A$9,0))</f>
        <v>Trà mâm xôi vitamin</v>
      </c>
      <c r="H1033" s="9" t="str">
        <f>INDEX(Products!$C$2:$C$9,MATCH(D1033,Products!$A$2:$A$9,0))</f>
        <v>Bổ sung dưỡng chất</v>
      </c>
      <c r="I1033" s="11">
        <f>INDEX(Products!$D$2:$D$9,MATCH(D1033,Products!$A$2:$A$9,0))</f>
        <v>9800</v>
      </c>
      <c r="J1033" s="10">
        <f>IFERROR(INDEX(PlatformFees!$C$2:$C$5,MATCH(C1033,PlatformFees!$A$2:$A$5,0)),0)</f>
        <v>0</v>
      </c>
      <c r="K1033" s="11">
        <f t="shared" si="64"/>
        <v>19600</v>
      </c>
      <c r="L1033" s="11">
        <f t="shared" si="65"/>
        <v>0</v>
      </c>
      <c r="M1033" s="11">
        <f t="shared" si="66"/>
        <v>51700</v>
      </c>
      <c r="N1033" s="10">
        <f t="shared" si="67"/>
        <v>0.72510518934081347</v>
      </c>
    </row>
    <row r="1034" spans="1:14" x14ac:dyDescent="0.3">
      <c r="A1034" s="9" t="s">
        <v>1142</v>
      </c>
      <c r="B1034" s="9" t="s">
        <v>1139</v>
      </c>
      <c r="C1034" s="9" t="s">
        <v>36</v>
      </c>
      <c r="D1034" s="9" t="s">
        <v>22</v>
      </c>
      <c r="E1034" s="9">
        <v>1</v>
      </c>
      <c r="F1034" s="11">
        <v>35400</v>
      </c>
      <c r="G1034" s="9" t="str">
        <f>INDEX(Products!$B$2:$B$9,MATCH(D1034,Products!$A$2:$A$9,0))</f>
        <v>Trà hoa cúc an thần</v>
      </c>
      <c r="H1034" s="9" t="str">
        <f>INDEX(Products!$C$2:$C$9,MATCH(D1034,Products!$A$2:$A$9,0))</f>
        <v>An thần</v>
      </c>
      <c r="I1034" s="11">
        <f>INDEX(Products!$D$2:$D$9,MATCH(D1034,Products!$A$2:$A$9,0))</f>
        <v>9500</v>
      </c>
      <c r="J1034" s="10">
        <f>IFERROR(INDEX(PlatformFees!$C$2:$C$5,MATCH(C1034,PlatformFees!$A$2:$A$5,0)),0)</f>
        <v>0.13</v>
      </c>
      <c r="K1034" s="11">
        <f t="shared" si="64"/>
        <v>9500</v>
      </c>
      <c r="L1034" s="11">
        <f t="shared" si="65"/>
        <v>4602</v>
      </c>
      <c r="M1034" s="11">
        <f t="shared" si="66"/>
        <v>21298</v>
      </c>
      <c r="N1034" s="10">
        <f t="shared" si="67"/>
        <v>0.60163841807909602</v>
      </c>
    </row>
    <row r="1035" spans="1:14" x14ac:dyDescent="0.3">
      <c r="A1035" s="9" t="s">
        <v>1143</v>
      </c>
      <c r="B1035" s="9" t="s">
        <v>1139</v>
      </c>
      <c r="C1035" s="9" t="s">
        <v>39</v>
      </c>
      <c r="D1035" s="9" t="s">
        <v>22</v>
      </c>
      <c r="E1035" s="9">
        <v>1</v>
      </c>
      <c r="F1035" s="11">
        <v>36500</v>
      </c>
      <c r="G1035" s="9" t="str">
        <f>INDEX(Products!$B$2:$B$9,MATCH(D1035,Products!$A$2:$A$9,0))</f>
        <v>Trà hoa cúc an thần</v>
      </c>
      <c r="H1035" s="9" t="str">
        <f>INDEX(Products!$C$2:$C$9,MATCH(D1035,Products!$A$2:$A$9,0))</f>
        <v>An thần</v>
      </c>
      <c r="I1035" s="11">
        <f>INDEX(Products!$D$2:$D$9,MATCH(D1035,Products!$A$2:$A$9,0))</f>
        <v>9500</v>
      </c>
      <c r="J1035" s="10">
        <f>IFERROR(INDEX(PlatformFees!$C$2:$C$5,MATCH(C1035,PlatformFees!$A$2:$A$5,0)),0)</f>
        <v>0</v>
      </c>
      <c r="K1035" s="11">
        <f t="shared" si="64"/>
        <v>9500</v>
      </c>
      <c r="L1035" s="11">
        <f t="shared" si="65"/>
        <v>0</v>
      </c>
      <c r="M1035" s="11">
        <f t="shared" si="66"/>
        <v>27000</v>
      </c>
      <c r="N1035" s="10">
        <f t="shared" si="67"/>
        <v>0.73972602739726023</v>
      </c>
    </row>
    <row r="1036" spans="1:14" x14ac:dyDescent="0.3">
      <c r="A1036" s="9" t="s">
        <v>1144</v>
      </c>
      <c r="B1036" s="9" t="s">
        <v>1139</v>
      </c>
      <c r="C1036" s="9" t="s">
        <v>38</v>
      </c>
      <c r="D1036" s="9" t="s">
        <v>17</v>
      </c>
      <c r="E1036" s="9">
        <v>1</v>
      </c>
      <c r="F1036" s="11">
        <v>41500</v>
      </c>
      <c r="G1036" s="9" t="str">
        <f>INDEX(Products!$B$2:$B$9,MATCH(D1036,Products!$A$2:$A$9,0))</f>
        <v>Trà diếp cá rau má</v>
      </c>
      <c r="H1036" s="9" t="str">
        <f>INDEX(Products!$C$2:$C$9,MATCH(D1036,Products!$A$2:$A$9,0))</f>
        <v>Detox</v>
      </c>
      <c r="I1036" s="11">
        <f>INDEX(Products!$D$2:$D$9,MATCH(D1036,Products!$A$2:$A$9,0))</f>
        <v>10500</v>
      </c>
      <c r="J1036" s="10">
        <f>IFERROR(INDEX(PlatformFees!$C$2:$C$5,MATCH(C1036,PlatformFees!$A$2:$A$5,0)),0)</f>
        <v>0.16</v>
      </c>
      <c r="K1036" s="11">
        <f t="shared" si="64"/>
        <v>10500</v>
      </c>
      <c r="L1036" s="11">
        <f t="shared" si="65"/>
        <v>6640</v>
      </c>
      <c r="M1036" s="11">
        <f t="shared" si="66"/>
        <v>24360</v>
      </c>
      <c r="N1036" s="10">
        <f t="shared" si="67"/>
        <v>0.58698795180722896</v>
      </c>
    </row>
    <row r="1037" spans="1:14" x14ac:dyDescent="0.3">
      <c r="A1037" s="9" t="s">
        <v>1145</v>
      </c>
      <c r="B1037" s="9" t="s">
        <v>1139</v>
      </c>
      <c r="C1037" s="9" t="s">
        <v>40</v>
      </c>
      <c r="D1037" s="9" t="s">
        <v>17</v>
      </c>
      <c r="E1037" s="9">
        <v>2</v>
      </c>
      <c r="F1037" s="11">
        <v>80300</v>
      </c>
      <c r="G1037" s="9" t="str">
        <f>INDEX(Products!$B$2:$B$9,MATCH(D1037,Products!$A$2:$A$9,0))</f>
        <v>Trà diếp cá rau má</v>
      </c>
      <c r="H1037" s="9" t="str">
        <f>INDEX(Products!$C$2:$C$9,MATCH(D1037,Products!$A$2:$A$9,0))</f>
        <v>Detox</v>
      </c>
      <c r="I1037" s="11">
        <f>INDEX(Products!$D$2:$D$9,MATCH(D1037,Products!$A$2:$A$9,0))</f>
        <v>10500</v>
      </c>
      <c r="J1037" s="10">
        <f>IFERROR(INDEX(PlatformFees!$C$2:$C$5,MATCH(C1037,PlatformFees!$A$2:$A$5,0)),0)</f>
        <v>0</v>
      </c>
      <c r="K1037" s="11">
        <f t="shared" si="64"/>
        <v>21000</v>
      </c>
      <c r="L1037" s="11">
        <f t="shared" si="65"/>
        <v>0</v>
      </c>
      <c r="M1037" s="11">
        <f t="shared" si="66"/>
        <v>59300</v>
      </c>
      <c r="N1037" s="10">
        <f t="shared" si="67"/>
        <v>0.73848069738480693</v>
      </c>
    </row>
    <row r="1038" spans="1:14" x14ac:dyDescent="0.3">
      <c r="A1038" s="9" t="s">
        <v>1146</v>
      </c>
      <c r="B1038" s="9" t="s">
        <v>1139</v>
      </c>
      <c r="C1038" s="9" t="s">
        <v>38</v>
      </c>
      <c r="D1038" s="9" t="s">
        <v>22</v>
      </c>
      <c r="E1038" s="9">
        <v>1</v>
      </c>
      <c r="F1038" s="11">
        <v>37300</v>
      </c>
      <c r="G1038" s="9" t="str">
        <f>INDEX(Products!$B$2:$B$9,MATCH(D1038,Products!$A$2:$A$9,0))</f>
        <v>Trà hoa cúc an thần</v>
      </c>
      <c r="H1038" s="9" t="str">
        <f>INDEX(Products!$C$2:$C$9,MATCH(D1038,Products!$A$2:$A$9,0))</f>
        <v>An thần</v>
      </c>
      <c r="I1038" s="11">
        <f>INDEX(Products!$D$2:$D$9,MATCH(D1038,Products!$A$2:$A$9,0))</f>
        <v>9500</v>
      </c>
      <c r="J1038" s="10">
        <f>IFERROR(INDEX(PlatformFees!$C$2:$C$5,MATCH(C1038,PlatformFees!$A$2:$A$5,0)),0)</f>
        <v>0.16</v>
      </c>
      <c r="K1038" s="11">
        <f t="shared" si="64"/>
        <v>9500</v>
      </c>
      <c r="L1038" s="11">
        <f t="shared" si="65"/>
        <v>5968</v>
      </c>
      <c r="M1038" s="11">
        <f t="shared" si="66"/>
        <v>21832</v>
      </c>
      <c r="N1038" s="10">
        <f t="shared" si="67"/>
        <v>0.58530831099195713</v>
      </c>
    </row>
    <row r="1039" spans="1:14" x14ac:dyDescent="0.3">
      <c r="A1039" s="9" t="s">
        <v>1147</v>
      </c>
      <c r="B1039" s="9" t="s">
        <v>1139</v>
      </c>
      <c r="C1039" s="9" t="s">
        <v>36</v>
      </c>
      <c r="D1039" s="9" t="s">
        <v>17</v>
      </c>
      <c r="E1039" s="9">
        <v>2</v>
      </c>
      <c r="F1039" s="11">
        <v>78800</v>
      </c>
      <c r="G1039" s="9" t="str">
        <f>INDEX(Products!$B$2:$B$9,MATCH(D1039,Products!$A$2:$A$9,0))</f>
        <v>Trà diếp cá rau má</v>
      </c>
      <c r="H1039" s="9" t="str">
        <f>INDEX(Products!$C$2:$C$9,MATCH(D1039,Products!$A$2:$A$9,0))</f>
        <v>Detox</v>
      </c>
      <c r="I1039" s="11">
        <f>INDEX(Products!$D$2:$D$9,MATCH(D1039,Products!$A$2:$A$9,0))</f>
        <v>10500</v>
      </c>
      <c r="J1039" s="10">
        <f>IFERROR(INDEX(PlatformFees!$C$2:$C$5,MATCH(C1039,PlatformFees!$A$2:$A$5,0)),0)</f>
        <v>0.13</v>
      </c>
      <c r="K1039" s="11">
        <f t="shared" si="64"/>
        <v>21000</v>
      </c>
      <c r="L1039" s="11">
        <f t="shared" si="65"/>
        <v>10244</v>
      </c>
      <c r="M1039" s="11">
        <f t="shared" si="66"/>
        <v>47556</v>
      </c>
      <c r="N1039" s="10">
        <f t="shared" si="67"/>
        <v>0.60350253807106602</v>
      </c>
    </row>
    <row r="1040" spans="1:14" x14ac:dyDescent="0.3">
      <c r="A1040" s="9" t="s">
        <v>1148</v>
      </c>
      <c r="B1040" s="9" t="s">
        <v>1139</v>
      </c>
      <c r="C1040" s="9" t="s">
        <v>36</v>
      </c>
      <c r="D1040" s="9" t="s">
        <v>25</v>
      </c>
      <c r="E1040" s="9">
        <v>3</v>
      </c>
      <c r="F1040" s="11">
        <v>102100</v>
      </c>
      <c r="G1040" s="9" t="str">
        <f>INDEX(Products!$B$2:$B$9,MATCH(D1040,Products!$A$2:$A$9,0))</f>
        <v>Trà hoa đậu biếc</v>
      </c>
      <c r="H1040" s="9" t="str">
        <f>INDEX(Products!$C$2:$C$9,MATCH(D1040,Products!$A$2:$A$9,0))</f>
        <v>An thần</v>
      </c>
      <c r="I1040" s="11">
        <f>INDEX(Products!$D$2:$D$9,MATCH(D1040,Products!$A$2:$A$9,0))</f>
        <v>8800</v>
      </c>
      <c r="J1040" s="10">
        <f>IFERROR(INDEX(PlatformFees!$C$2:$C$5,MATCH(C1040,PlatformFees!$A$2:$A$5,0)),0)</f>
        <v>0.13</v>
      </c>
      <c r="K1040" s="11">
        <f t="shared" si="64"/>
        <v>26400</v>
      </c>
      <c r="L1040" s="11">
        <f t="shared" si="65"/>
        <v>13273</v>
      </c>
      <c r="M1040" s="11">
        <f t="shared" si="66"/>
        <v>62427</v>
      </c>
      <c r="N1040" s="10">
        <f t="shared" si="67"/>
        <v>0.61142997061704207</v>
      </c>
    </row>
    <row r="1041" spans="1:14" x14ac:dyDescent="0.3">
      <c r="A1041" s="9" t="s">
        <v>1149</v>
      </c>
      <c r="B1041" s="9" t="s">
        <v>1139</v>
      </c>
      <c r="C1041" s="9" t="s">
        <v>36</v>
      </c>
      <c r="D1041" s="9" t="s">
        <v>27</v>
      </c>
      <c r="E1041" s="9">
        <v>1</v>
      </c>
      <c r="F1041" s="11">
        <v>39800</v>
      </c>
      <c r="G1041" s="9" t="str">
        <f>INDEX(Products!$B$2:$B$9,MATCH(D1041,Products!$A$2:$A$9,0))</f>
        <v>Trà gừng mật ong</v>
      </c>
      <c r="H1041" s="9" t="str">
        <f>INDEX(Products!$C$2:$C$9,MATCH(D1041,Products!$A$2:$A$9,0))</f>
        <v>Giữ ấm</v>
      </c>
      <c r="I1041" s="11">
        <f>INDEX(Products!$D$2:$D$9,MATCH(D1041,Products!$A$2:$A$9,0))</f>
        <v>11000</v>
      </c>
      <c r="J1041" s="10">
        <f>IFERROR(INDEX(PlatformFees!$C$2:$C$5,MATCH(C1041,PlatformFees!$A$2:$A$5,0)),0)</f>
        <v>0.13</v>
      </c>
      <c r="K1041" s="11">
        <f t="shared" si="64"/>
        <v>11000</v>
      </c>
      <c r="L1041" s="11">
        <f t="shared" si="65"/>
        <v>5174</v>
      </c>
      <c r="M1041" s="11">
        <f t="shared" si="66"/>
        <v>23626</v>
      </c>
      <c r="N1041" s="10">
        <f t="shared" si="67"/>
        <v>0.59361809045226133</v>
      </c>
    </row>
    <row r="1042" spans="1:14" x14ac:dyDescent="0.3">
      <c r="A1042" s="9" t="s">
        <v>1150</v>
      </c>
      <c r="B1042" s="9" t="s">
        <v>1139</v>
      </c>
      <c r="C1042" s="9" t="s">
        <v>36</v>
      </c>
      <c r="D1042" s="9" t="s">
        <v>20</v>
      </c>
      <c r="E1042" s="9">
        <v>2</v>
      </c>
      <c r="F1042" s="11">
        <v>105500</v>
      </c>
      <c r="G1042" s="9" t="str">
        <f>INDEX(Products!$B$2:$B$9,MATCH(D1042,Products!$A$2:$A$9,0))</f>
        <v>Trà cà leo gai giảm cân</v>
      </c>
      <c r="H1042" s="9" t="str">
        <f>INDEX(Products!$C$2:$C$9,MATCH(D1042,Products!$A$2:$A$9,0))</f>
        <v>Detox</v>
      </c>
      <c r="I1042" s="11">
        <f>INDEX(Products!$D$2:$D$9,MATCH(D1042,Products!$A$2:$A$9,0))</f>
        <v>15000</v>
      </c>
      <c r="J1042" s="10">
        <f>IFERROR(INDEX(PlatformFees!$C$2:$C$5,MATCH(C1042,PlatformFees!$A$2:$A$5,0)),0)</f>
        <v>0.13</v>
      </c>
      <c r="K1042" s="11">
        <f t="shared" si="64"/>
        <v>30000</v>
      </c>
      <c r="L1042" s="11">
        <f t="shared" si="65"/>
        <v>13715</v>
      </c>
      <c r="M1042" s="11">
        <f t="shared" si="66"/>
        <v>61785</v>
      </c>
      <c r="N1042" s="10">
        <f t="shared" si="67"/>
        <v>0.58563981042654023</v>
      </c>
    </row>
    <row r="1043" spans="1:14" x14ac:dyDescent="0.3">
      <c r="A1043" s="9" t="s">
        <v>1151</v>
      </c>
      <c r="B1043" s="9" t="s">
        <v>1152</v>
      </c>
      <c r="C1043" s="9" t="s">
        <v>38</v>
      </c>
      <c r="D1043" s="9" t="s">
        <v>15</v>
      </c>
      <c r="E1043" s="9">
        <v>3</v>
      </c>
      <c r="F1043" s="11">
        <v>94700</v>
      </c>
      <c r="G1043" s="9" t="str">
        <f>INDEX(Products!$B$2:$B$9,MATCH(D1043,Products!$A$2:$A$9,0))</f>
        <v>Trà lá nam sen ổi</v>
      </c>
      <c r="H1043" s="9" t="str">
        <f>INDEX(Products!$C$2:$C$9,MATCH(D1043,Products!$A$2:$A$9,0))</f>
        <v>Thanh lọc</v>
      </c>
      <c r="I1043" s="11">
        <f>INDEX(Products!$D$2:$D$9,MATCH(D1043,Products!$A$2:$A$9,0))</f>
        <v>8500</v>
      </c>
      <c r="J1043" s="10">
        <f>IFERROR(INDEX(PlatformFees!$C$2:$C$5,MATCH(C1043,PlatformFees!$A$2:$A$5,0)),0)</f>
        <v>0.16</v>
      </c>
      <c r="K1043" s="11">
        <f t="shared" si="64"/>
        <v>25500</v>
      </c>
      <c r="L1043" s="11">
        <f t="shared" si="65"/>
        <v>15152</v>
      </c>
      <c r="M1043" s="11">
        <f t="shared" si="66"/>
        <v>54048</v>
      </c>
      <c r="N1043" s="10">
        <f t="shared" si="67"/>
        <v>0.57072861668426611</v>
      </c>
    </row>
    <row r="1044" spans="1:14" x14ac:dyDescent="0.3">
      <c r="A1044" s="9" t="s">
        <v>1153</v>
      </c>
      <c r="B1044" s="9" t="s">
        <v>1152</v>
      </c>
      <c r="C1044" s="9" t="s">
        <v>39</v>
      </c>
      <c r="D1044" s="9" t="s">
        <v>30</v>
      </c>
      <c r="E1044" s="9">
        <v>1</v>
      </c>
      <c r="F1044" s="11">
        <v>36600</v>
      </c>
      <c r="G1044" s="9" t="str">
        <f>INDEX(Products!$B$2:$B$9,MATCH(D1044,Products!$A$2:$A$9,0))</f>
        <v>Trà mâm xôi vitamin</v>
      </c>
      <c r="H1044" s="9" t="str">
        <f>INDEX(Products!$C$2:$C$9,MATCH(D1044,Products!$A$2:$A$9,0))</f>
        <v>Bổ sung dưỡng chất</v>
      </c>
      <c r="I1044" s="11">
        <f>INDEX(Products!$D$2:$D$9,MATCH(D1044,Products!$A$2:$A$9,0))</f>
        <v>9800</v>
      </c>
      <c r="J1044" s="10">
        <f>IFERROR(INDEX(PlatformFees!$C$2:$C$5,MATCH(C1044,PlatformFees!$A$2:$A$5,0)),0)</f>
        <v>0</v>
      </c>
      <c r="K1044" s="11">
        <f t="shared" si="64"/>
        <v>9800</v>
      </c>
      <c r="L1044" s="11">
        <f t="shared" si="65"/>
        <v>0</v>
      </c>
      <c r="M1044" s="11">
        <f t="shared" si="66"/>
        <v>26800</v>
      </c>
      <c r="N1044" s="10">
        <f t="shared" si="67"/>
        <v>0.73224043715846998</v>
      </c>
    </row>
    <row r="1045" spans="1:14" x14ac:dyDescent="0.3">
      <c r="A1045" s="9" t="s">
        <v>1154</v>
      </c>
      <c r="B1045" s="9" t="s">
        <v>1152</v>
      </c>
      <c r="C1045" s="9" t="s">
        <v>36</v>
      </c>
      <c r="D1045" s="9" t="s">
        <v>25</v>
      </c>
      <c r="E1045" s="9">
        <v>3</v>
      </c>
      <c r="F1045" s="11">
        <v>94700</v>
      </c>
      <c r="G1045" s="9" t="str">
        <f>INDEX(Products!$B$2:$B$9,MATCH(D1045,Products!$A$2:$A$9,0))</f>
        <v>Trà hoa đậu biếc</v>
      </c>
      <c r="H1045" s="9" t="str">
        <f>INDEX(Products!$C$2:$C$9,MATCH(D1045,Products!$A$2:$A$9,0))</f>
        <v>An thần</v>
      </c>
      <c r="I1045" s="11">
        <f>INDEX(Products!$D$2:$D$9,MATCH(D1045,Products!$A$2:$A$9,0))</f>
        <v>8800</v>
      </c>
      <c r="J1045" s="10">
        <f>IFERROR(INDEX(PlatformFees!$C$2:$C$5,MATCH(C1045,PlatformFees!$A$2:$A$5,0)),0)</f>
        <v>0.13</v>
      </c>
      <c r="K1045" s="11">
        <f t="shared" si="64"/>
        <v>26400</v>
      </c>
      <c r="L1045" s="11">
        <f t="shared" si="65"/>
        <v>12311</v>
      </c>
      <c r="M1045" s="11">
        <f t="shared" si="66"/>
        <v>55989</v>
      </c>
      <c r="N1045" s="10">
        <f t="shared" si="67"/>
        <v>0.5912249208025343</v>
      </c>
    </row>
    <row r="1046" spans="1:14" x14ac:dyDescent="0.3">
      <c r="A1046" s="9" t="s">
        <v>1155</v>
      </c>
      <c r="B1046" s="9" t="s">
        <v>1152</v>
      </c>
      <c r="C1046" s="9" t="s">
        <v>36</v>
      </c>
      <c r="D1046" s="9" t="s">
        <v>12</v>
      </c>
      <c r="E1046" s="9">
        <v>2</v>
      </c>
      <c r="F1046" s="11">
        <v>69300</v>
      </c>
      <c r="G1046" s="9" t="str">
        <f>INDEX(Products!$B$2:$B$9,MATCH(D1046,Products!$A$2:$A$9,0))</f>
        <v>Trà atiso thanh lọc</v>
      </c>
      <c r="H1046" s="9" t="str">
        <f>INDEX(Products!$C$2:$C$9,MATCH(D1046,Products!$A$2:$A$9,0))</f>
        <v>Thanh lọc</v>
      </c>
      <c r="I1046" s="11">
        <f>INDEX(Products!$D$2:$D$9,MATCH(D1046,Products!$A$2:$A$9,0))</f>
        <v>9000</v>
      </c>
      <c r="J1046" s="10">
        <f>IFERROR(INDEX(PlatformFees!$C$2:$C$5,MATCH(C1046,PlatformFees!$A$2:$A$5,0)),0)</f>
        <v>0.13</v>
      </c>
      <c r="K1046" s="11">
        <f t="shared" si="64"/>
        <v>18000</v>
      </c>
      <c r="L1046" s="11">
        <f t="shared" si="65"/>
        <v>9009</v>
      </c>
      <c r="M1046" s="11">
        <f t="shared" si="66"/>
        <v>42291</v>
      </c>
      <c r="N1046" s="10">
        <f t="shared" si="67"/>
        <v>0.61025974025974028</v>
      </c>
    </row>
    <row r="1047" spans="1:14" x14ac:dyDescent="0.3">
      <c r="A1047" s="9" t="s">
        <v>1156</v>
      </c>
      <c r="B1047" s="9" t="s">
        <v>1152</v>
      </c>
      <c r="C1047" s="9" t="s">
        <v>39</v>
      </c>
      <c r="D1047" s="9" t="s">
        <v>25</v>
      </c>
      <c r="E1047" s="9">
        <v>2</v>
      </c>
      <c r="F1047" s="11">
        <v>64200</v>
      </c>
      <c r="G1047" s="9" t="str">
        <f>INDEX(Products!$B$2:$B$9,MATCH(D1047,Products!$A$2:$A$9,0))</f>
        <v>Trà hoa đậu biếc</v>
      </c>
      <c r="H1047" s="9" t="str">
        <f>INDEX(Products!$C$2:$C$9,MATCH(D1047,Products!$A$2:$A$9,0))</f>
        <v>An thần</v>
      </c>
      <c r="I1047" s="11">
        <f>INDEX(Products!$D$2:$D$9,MATCH(D1047,Products!$A$2:$A$9,0))</f>
        <v>8800</v>
      </c>
      <c r="J1047" s="10">
        <f>IFERROR(INDEX(PlatformFees!$C$2:$C$5,MATCH(C1047,PlatformFees!$A$2:$A$5,0)),0)</f>
        <v>0</v>
      </c>
      <c r="K1047" s="11">
        <f t="shared" si="64"/>
        <v>17600</v>
      </c>
      <c r="L1047" s="11">
        <f t="shared" si="65"/>
        <v>0</v>
      </c>
      <c r="M1047" s="11">
        <f t="shared" si="66"/>
        <v>46600</v>
      </c>
      <c r="N1047" s="10">
        <f t="shared" si="67"/>
        <v>0.72585669781931461</v>
      </c>
    </row>
    <row r="1048" spans="1:14" x14ac:dyDescent="0.3">
      <c r="A1048" s="9" t="s">
        <v>1157</v>
      </c>
      <c r="B1048" s="9" t="s">
        <v>1152</v>
      </c>
      <c r="C1048" s="9" t="s">
        <v>36</v>
      </c>
      <c r="D1048" s="9" t="s">
        <v>17</v>
      </c>
      <c r="E1048" s="9">
        <v>2</v>
      </c>
      <c r="F1048" s="11">
        <v>81600</v>
      </c>
      <c r="G1048" s="9" t="str">
        <f>INDEX(Products!$B$2:$B$9,MATCH(D1048,Products!$A$2:$A$9,0))</f>
        <v>Trà diếp cá rau má</v>
      </c>
      <c r="H1048" s="9" t="str">
        <f>INDEX(Products!$C$2:$C$9,MATCH(D1048,Products!$A$2:$A$9,0))</f>
        <v>Detox</v>
      </c>
      <c r="I1048" s="11">
        <f>INDEX(Products!$D$2:$D$9,MATCH(D1048,Products!$A$2:$A$9,0))</f>
        <v>10500</v>
      </c>
      <c r="J1048" s="10">
        <f>IFERROR(INDEX(PlatformFees!$C$2:$C$5,MATCH(C1048,PlatformFees!$A$2:$A$5,0)),0)</f>
        <v>0.13</v>
      </c>
      <c r="K1048" s="11">
        <f t="shared" si="64"/>
        <v>21000</v>
      </c>
      <c r="L1048" s="11">
        <f t="shared" si="65"/>
        <v>10608</v>
      </c>
      <c r="M1048" s="11">
        <f t="shared" si="66"/>
        <v>49992</v>
      </c>
      <c r="N1048" s="10">
        <f t="shared" si="67"/>
        <v>0.61264705882352943</v>
      </c>
    </row>
    <row r="1049" spans="1:14" x14ac:dyDescent="0.3">
      <c r="A1049" s="9" t="s">
        <v>1158</v>
      </c>
      <c r="B1049" s="9" t="s">
        <v>1152</v>
      </c>
      <c r="C1049" s="9" t="s">
        <v>39</v>
      </c>
      <c r="D1049" s="9" t="s">
        <v>20</v>
      </c>
      <c r="E1049" s="9">
        <v>1</v>
      </c>
      <c r="F1049" s="11">
        <v>56000</v>
      </c>
      <c r="G1049" s="9" t="str">
        <f>INDEX(Products!$B$2:$B$9,MATCH(D1049,Products!$A$2:$A$9,0))</f>
        <v>Trà cà leo gai giảm cân</v>
      </c>
      <c r="H1049" s="9" t="str">
        <f>INDEX(Products!$C$2:$C$9,MATCH(D1049,Products!$A$2:$A$9,0))</f>
        <v>Detox</v>
      </c>
      <c r="I1049" s="11">
        <f>INDEX(Products!$D$2:$D$9,MATCH(D1049,Products!$A$2:$A$9,0))</f>
        <v>15000</v>
      </c>
      <c r="J1049" s="10">
        <f>IFERROR(INDEX(PlatformFees!$C$2:$C$5,MATCH(C1049,PlatformFees!$A$2:$A$5,0)),0)</f>
        <v>0</v>
      </c>
      <c r="K1049" s="11">
        <f t="shared" si="64"/>
        <v>15000</v>
      </c>
      <c r="L1049" s="11">
        <f t="shared" si="65"/>
        <v>0</v>
      </c>
      <c r="M1049" s="11">
        <f t="shared" si="66"/>
        <v>41000</v>
      </c>
      <c r="N1049" s="10">
        <f t="shared" si="67"/>
        <v>0.7321428571428571</v>
      </c>
    </row>
    <row r="1050" spans="1:14" x14ac:dyDescent="0.3">
      <c r="A1050" s="9" t="s">
        <v>1159</v>
      </c>
      <c r="B1050" s="9" t="s">
        <v>1152</v>
      </c>
      <c r="C1050" s="9" t="s">
        <v>38</v>
      </c>
      <c r="D1050" s="9" t="s">
        <v>27</v>
      </c>
      <c r="E1050" s="9">
        <v>1</v>
      </c>
      <c r="F1050" s="11">
        <v>38800</v>
      </c>
      <c r="G1050" s="9" t="str">
        <f>INDEX(Products!$B$2:$B$9,MATCH(D1050,Products!$A$2:$A$9,0))</f>
        <v>Trà gừng mật ong</v>
      </c>
      <c r="H1050" s="9" t="str">
        <f>INDEX(Products!$C$2:$C$9,MATCH(D1050,Products!$A$2:$A$9,0))</f>
        <v>Giữ ấm</v>
      </c>
      <c r="I1050" s="11">
        <f>INDEX(Products!$D$2:$D$9,MATCH(D1050,Products!$A$2:$A$9,0))</f>
        <v>11000</v>
      </c>
      <c r="J1050" s="10">
        <f>IFERROR(INDEX(PlatformFees!$C$2:$C$5,MATCH(C1050,PlatformFees!$A$2:$A$5,0)),0)</f>
        <v>0.16</v>
      </c>
      <c r="K1050" s="11">
        <f t="shared" si="64"/>
        <v>11000</v>
      </c>
      <c r="L1050" s="11">
        <f t="shared" si="65"/>
        <v>6208</v>
      </c>
      <c r="M1050" s="11">
        <f t="shared" si="66"/>
        <v>21592</v>
      </c>
      <c r="N1050" s="10">
        <f t="shared" si="67"/>
        <v>0.55649484536082472</v>
      </c>
    </row>
    <row r="1051" spans="1:14" x14ac:dyDescent="0.3">
      <c r="A1051" s="9" t="s">
        <v>1160</v>
      </c>
      <c r="B1051" s="9" t="s">
        <v>1152</v>
      </c>
      <c r="C1051" s="9" t="s">
        <v>38</v>
      </c>
      <c r="D1051" s="9" t="s">
        <v>17</v>
      </c>
      <c r="E1051" s="9">
        <v>2</v>
      </c>
      <c r="F1051" s="11">
        <v>77400</v>
      </c>
      <c r="G1051" s="9" t="str">
        <f>INDEX(Products!$B$2:$B$9,MATCH(D1051,Products!$A$2:$A$9,0))</f>
        <v>Trà diếp cá rau má</v>
      </c>
      <c r="H1051" s="9" t="str">
        <f>INDEX(Products!$C$2:$C$9,MATCH(D1051,Products!$A$2:$A$9,0))</f>
        <v>Detox</v>
      </c>
      <c r="I1051" s="11">
        <f>INDEX(Products!$D$2:$D$9,MATCH(D1051,Products!$A$2:$A$9,0))</f>
        <v>10500</v>
      </c>
      <c r="J1051" s="10">
        <f>IFERROR(INDEX(PlatformFees!$C$2:$C$5,MATCH(C1051,PlatformFees!$A$2:$A$5,0)),0)</f>
        <v>0.16</v>
      </c>
      <c r="K1051" s="11">
        <f t="shared" si="64"/>
        <v>21000</v>
      </c>
      <c r="L1051" s="11">
        <f t="shared" si="65"/>
        <v>12384</v>
      </c>
      <c r="M1051" s="11">
        <f t="shared" si="66"/>
        <v>44016</v>
      </c>
      <c r="N1051" s="10">
        <f t="shared" si="67"/>
        <v>0.5686821705426357</v>
      </c>
    </row>
    <row r="1052" spans="1:14" x14ac:dyDescent="0.3">
      <c r="A1052" s="9" t="s">
        <v>1161</v>
      </c>
      <c r="B1052" s="9" t="s">
        <v>1152</v>
      </c>
      <c r="C1052" s="9" t="s">
        <v>36</v>
      </c>
      <c r="D1052" s="9" t="s">
        <v>30</v>
      </c>
      <c r="E1052" s="9">
        <v>2</v>
      </c>
      <c r="F1052" s="11">
        <v>71700</v>
      </c>
      <c r="G1052" s="9" t="str">
        <f>INDEX(Products!$B$2:$B$9,MATCH(D1052,Products!$A$2:$A$9,0))</f>
        <v>Trà mâm xôi vitamin</v>
      </c>
      <c r="H1052" s="9" t="str">
        <f>INDEX(Products!$C$2:$C$9,MATCH(D1052,Products!$A$2:$A$9,0))</f>
        <v>Bổ sung dưỡng chất</v>
      </c>
      <c r="I1052" s="11">
        <f>INDEX(Products!$D$2:$D$9,MATCH(D1052,Products!$A$2:$A$9,0))</f>
        <v>9800</v>
      </c>
      <c r="J1052" s="10">
        <f>IFERROR(INDEX(PlatformFees!$C$2:$C$5,MATCH(C1052,PlatformFees!$A$2:$A$5,0)),0)</f>
        <v>0.13</v>
      </c>
      <c r="K1052" s="11">
        <f t="shared" si="64"/>
        <v>19600</v>
      </c>
      <c r="L1052" s="11">
        <f t="shared" si="65"/>
        <v>9321</v>
      </c>
      <c r="M1052" s="11">
        <f t="shared" si="66"/>
        <v>42779</v>
      </c>
      <c r="N1052" s="10">
        <f t="shared" si="67"/>
        <v>0.59663877266387721</v>
      </c>
    </row>
    <row r="1053" spans="1:14" x14ac:dyDescent="0.3">
      <c r="A1053" s="9" t="s">
        <v>1162</v>
      </c>
      <c r="B1053" s="9" t="s">
        <v>1152</v>
      </c>
      <c r="C1053" s="9" t="s">
        <v>39</v>
      </c>
      <c r="D1053" s="9" t="s">
        <v>12</v>
      </c>
      <c r="E1053" s="9">
        <v>1</v>
      </c>
      <c r="F1053" s="11">
        <v>32900</v>
      </c>
      <c r="G1053" s="9" t="str">
        <f>INDEX(Products!$B$2:$B$9,MATCH(D1053,Products!$A$2:$A$9,0))</f>
        <v>Trà atiso thanh lọc</v>
      </c>
      <c r="H1053" s="9" t="str">
        <f>INDEX(Products!$C$2:$C$9,MATCH(D1053,Products!$A$2:$A$9,0))</f>
        <v>Thanh lọc</v>
      </c>
      <c r="I1053" s="11">
        <f>INDEX(Products!$D$2:$D$9,MATCH(D1053,Products!$A$2:$A$9,0))</f>
        <v>9000</v>
      </c>
      <c r="J1053" s="10">
        <f>IFERROR(INDEX(PlatformFees!$C$2:$C$5,MATCH(C1053,PlatformFees!$A$2:$A$5,0)),0)</f>
        <v>0</v>
      </c>
      <c r="K1053" s="11">
        <f t="shared" si="64"/>
        <v>9000</v>
      </c>
      <c r="L1053" s="11">
        <f t="shared" si="65"/>
        <v>0</v>
      </c>
      <c r="M1053" s="11">
        <f t="shared" si="66"/>
        <v>23900</v>
      </c>
      <c r="N1053" s="10">
        <f t="shared" si="67"/>
        <v>0.7264437689969605</v>
      </c>
    </row>
    <row r="1054" spans="1:14" x14ac:dyDescent="0.3">
      <c r="A1054" s="9" t="s">
        <v>1163</v>
      </c>
      <c r="B1054" s="9" t="s">
        <v>1152</v>
      </c>
      <c r="C1054" s="9" t="s">
        <v>40</v>
      </c>
      <c r="D1054" s="9" t="s">
        <v>25</v>
      </c>
      <c r="E1054" s="9">
        <v>1</v>
      </c>
      <c r="F1054" s="11">
        <v>34000</v>
      </c>
      <c r="G1054" s="9" t="str">
        <f>INDEX(Products!$B$2:$B$9,MATCH(D1054,Products!$A$2:$A$9,0))</f>
        <v>Trà hoa đậu biếc</v>
      </c>
      <c r="H1054" s="9" t="str">
        <f>INDEX(Products!$C$2:$C$9,MATCH(D1054,Products!$A$2:$A$9,0))</f>
        <v>An thần</v>
      </c>
      <c r="I1054" s="11">
        <f>INDEX(Products!$D$2:$D$9,MATCH(D1054,Products!$A$2:$A$9,0))</f>
        <v>8800</v>
      </c>
      <c r="J1054" s="10">
        <f>IFERROR(INDEX(PlatformFees!$C$2:$C$5,MATCH(C1054,PlatformFees!$A$2:$A$5,0)),0)</f>
        <v>0</v>
      </c>
      <c r="K1054" s="11">
        <f t="shared" si="64"/>
        <v>8800</v>
      </c>
      <c r="L1054" s="11">
        <f t="shared" si="65"/>
        <v>0</v>
      </c>
      <c r="M1054" s="11">
        <f t="shared" si="66"/>
        <v>25200</v>
      </c>
      <c r="N1054" s="10">
        <f t="shared" si="67"/>
        <v>0.74117647058823533</v>
      </c>
    </row>
    <row r="1055" spans="1:14" x14ac:dyDescent="0.3">
      <c r="A1055" s="9" t="s">
        <v>1164</v>
      </c>
      <c r="B1055" s="9" t="s">
        <v>1152</v>
      </c>
      <c r="C1055" s="9" t="s">
        <v>38</v>
      </c>
      <c r="D1055" s="9" t="s">
        <v>17</v>
      </c>
      <c r="E1055" s="9">
        <v>1</v>
      </c>
      <c r="F1055" s="11">
        <v>42200</v>
      </c>
      <c r="G1055" s="9" t="str">
        <f>INDEX(Products!$B$2:$B$9,MATCH(D1055,Products!$A$2:$A$9,0))</f>
        <v>Trà diếp cá rau má</v>
      </c>
      <c r="H1055" s="9" t="str">
        <f>INDEX(Products!$C$2:$C$9,MATCH(D1055,Products!$A$2:$A$9,0))</f>
        <v>Detox</v>
      </c>
      <c r="I1055" s="11">
        <f>INDEX(Products!$D$2:$D$9,MATCH(D1055,Products!$A$2:$A$9,0))</f>
        <v>10500</v>
      </c>
      <c r="J1055" s="10">
        <f>IFERROR(INDEX(PlatformFees!$C$2:$C$5,MATCH(C1055,PlatformFees!$A$2:$A$5,0)),0)</f>
        <v>0.16</v>
      </c>
      <c r="K1055" s="11">
        <f t="shared" si="64"/>
        <v>10500</v>
      </c>
      <c r="L1055" s="11">
        <f t="shared" si="65"/>
        <v>6752</v>
      </c>
      <c r="M1055" s="11">
        <f t="shared" si="66"/>
        <v>24948</v>
      </c>
      <c r="N1055" s="10">
        <f t="shared" si="67"/>
        <v>0.59118483412322276</v>
      </c>
    </row>
    <row r="1056" spans="1:14" x14ac:dyDescent="0.3">
      <c r="A1056" s="9" t="s">
        <v>1165</v>
      </c>
      <c r="B1056" s="9" t="s">
        <v>1152</v>
      </c>
      <c r="C1056" s="9" t="s">
        <v>36</v>
      </c>
      <c r="D1056" s="9" t="s">
        <v>17</v>
      </c>
      <c r="E1056" s="9">
        <v>1</v>
      </c>
      <c r="F1056" s="11">
        <v>38800</v>
      </c>
      <c r="G1056" s="9" t="str">
        <f>INDEX(Products!$B$2:$B$9,MATCH(D1056,Products!$A$2:$A$9,0))</f>
        <v>Trà diếp cá rau má</v>
      </c>
      <c r="H1056" s="9" t="str">
        <f>INDEX(Products!$C$2:$C$9,MATCH(D1056,Products!$A$2:$A$9,0))</f>
        <v>Detox</v>
      </c>
      <c r="I1056" s="11">
        <f>INDEX(Products!$D$2:$D$9,MATCH(D1056,Products!$A$2:$A$9,0))</f>
        <v>10500</v>
      </c>
      <c r="J1056" s="10">
        <f>IFERROR(INDEX(PlatformFees!$C$2:$C$5,MATCH(C1056,PlatformFees!$A$2:$A$5,0)),0)</f>
        <v>0.13</v>
      </c>
      <c r="K1056" s="11">
        <f t="shared" si="64"/>
        <v>10500</v>
      </c>
      <c r="L1056" s="11">
        <f t="shared" si="65"/>
        <v>5044</v>
      </c>
      <c r="M1056" s="11">
        <f t="shared" si="66"/>
        <v>23256</v>
      </c>
      <c r="N1056" s="10">
        <f t="shared" si="67"/>
        <v>0.59938144329896903</v>
      </c>
    </row>
    <row r="1057" spans="1:14" x14ac:dyDescent="0.3">
      <c r="A1057" s="9" t="s">
        <v>1166</v>
      </c>
      <c r="B1057" s="9" t="s">
        <v>1152</v>
      </c>
      <c r="C1057" s="9" t="s">
        <v>36</v>
      </c>
      <c r="D1057" s="9" t="s">
        <v>30</v>
      </c>
      <c r="E1057" s="9">
        <v>1</v>
      </c>
      <c r="F1057" s="11">
        <v>34700</v>
      </c>
      <c r="G1057" s="9" t="str">
        <f>INDEX(Products!$B$2:$B$9,MATCH(D1057,Products!$A$2:$A$9,0))</f>
        <v>Trà mâm xôi vitamin</v>
      </c>
      <c r="H1057" s="9" t="str">
        <f>INDEX(Products!$C$2:$C$9,MATCH(D1057,Products!$A$2:$A$9,0))</f>
        <v>Bổ sung dưỡng chất</v>
      </c>
      <c r="I1057" s="11">
        <f>INDEX(Products!$D$2:$D$9,MATCH(D1057,Products!$A$2:$A$9,0))</f>
        <v>9800</v>
      </c>
      <c r="J1057" s="10">
        <f>IFERROR(INDEX(PlatformFees!$C$2:$C$5,MATCH(C1057,PlatformFees!$A$2:$A$5,0)),0)</f>
        <v>0.13</v>
      </c>
      <c r="K1057" s="11">
        <f t="shared" si="64"/>
        <v>9800</v>
      </c>
      <c r="L1057" s="11">
        <f t="shared" si="65"/>
        <v>4511</v>
      </c>
      <c r="M1057" s="11">
        <f t="shared" si="66"/>
        <v>20389</v>
      </c>
      <c r="N1057" s="10">
        <f t="shared" si="67"/>
        <v>0.58757925072046113</v>
      </c>
    </row>
    <row r="1058" spans="1:14" x14ac:dyDescent="0.3">
      <c r="A1058" s="9" t="s">
        <v>1167</v>
      </c>
      <c r="B1058" s="9" t="s">
        <v>1152</v>
      </c>
      <c r="C1058" s="9" t="s">
        <v>40</v>
      </c>
      <c r="D1058" s="9" t="s">
        <v>30</v>
      </c>
      <c r="E1058" s="9">
        <v>1</v>
      </c>
      <c r="F1058" s="11">
        <v>37000</v>
      </c>
      <c r="G1058" s="9" t="str">
        <f>INDEX(Products!$B$2:$B$9,MATCH(D1058,Products!$A$2:$A$9,0))</f>
        <v>Trà mâm xôi vitamin</v>
      </c>
      <c r="H1058" s="9" t="str">
        <f>INDEX(Products!$C$2:$C$9,MATCH(D1058,Products!$A$2:$A$9,0))</f>
        <v>Bổ sung dưỡng chất</v>
      </c>
      <c r="I1058" s="11">
        <f>INDEX(Products!$D$2:$D$9,MATCH(D1058,Products!$A$2:$A$9,0))</f>
        <v>9800</v>
      </c>
      <c r="J1058" s="10">
        <f>IFERROR(INDEX(PlatformFees!$C$2:$C$5,MATCH(C1058,PlatformFees!$A$2:$A$5,0)),0)</f>
        <v>0</v>
      </c>
      <c r="K1058" s="11">
        <f t="shared" si="64"/>
        <v>9800</v>
      </c>
      <c r="L1058" s="11">
        <f t="shared" si="65"/>
        <v>0</v>
      </c>
      <c r="M1058" s="11">
        <f t="shared" si="66"/>
        <v>27200</v>
      </c>
      <c r="N1058" s="10">
        <f t="shared" si="67"/>
        <v>0.73513513513513518</v>
      </c>
    </row>
    <row r="1059" spans="1:14" x14ac:dyDescent="0.3">
      <c r="A1059" s="9" t="s">
        <v>1168</v>
      </c>
      <c r="B1059" s="9" t="s">
        <v>1152</v>
      </c>
      <c r="C1059" s="9" t="s">
        <v>36</v>
      </c>
      <c r="D1059" s="9" t="s">
        <v>25</v>
      </c>
      <c r="E1059" s="9">
        <v>2</v>
      </c>
      <c r="F1059" s="11">
        <v>67300</v>
      </c>
      <c r="G1059" s="9" t="str">
        <f>INDEX(Products!$B$2:$B$9,MATCH(D1059,Products!$A$2:$A$9,0))</f>
        <v>Trà hoa đậu biếc</v>
      </c>
      <c r="H1059" s="9" t="str">
        <f>INDEX(Products!$C$2:$C$9,MATCH(D1059,Products!$A$2:$A$9,0))</f>
        <v>An thần</v>
      </c>
      <c r="I1059" s="11">
        <f>INDEX(Products!$D$2:$D$9,MATCH(D1059,Products!$A$2:$A$9,0))</f>
        <v>8800</v>
      </c>
      <c r="J1059" s="10">
        <f>IFERROR(INDEX(PlatformFees!$C$2:$C$5,MATCH(C1059,PlatformFees!$A$2:$A$5,0)),0)</f>
        <v>0.13</v>
      </c>
      <c r="K1059" s="11">
        <f t="shared" si="64"/>
        <v>17600</v>
      </c>
      <c r="L1059" s="11">
        <f t="shared" si="65"/>
        <v>8749</v>
      </c>
      <c r="M1059" s="11">
        <f t="shared" si="66"/>
        <v>40951</v>
      </c>
      <c r="N1059" s="10">
        <f t="shared" si="67"/>
        <v>0.60848439821693912</v>
      </c>
    </row>
    <row r="1060" spans="1:14" x14ac:dyDescent="0.3">
      <c r="A1060" s="9" t="s">
        <v>1169</v>
      </c>
      <c r="B1060" s="9" t="s">
        <v>1152</v>
      </c>
      <c r="C1060" s="9" t="s">
        <v>36</v>
      </c>
      <c r="D1060" s="9" t="s">
        <v>25</v>
      </c>
      <c r="E1060" s="9">
        <v>2</v>
      </c>
      <c r="F1060" s="11">
        <v>66600</v>
      </c>
      <c r="G1060" s="9" t="str">
        <f>INDEX(Products!$B$2:$B$9,MATCH(D1060,Products!$A$2:$A$9,0))</f>
        <v>Trà hoa đậu biếc</v>
      </c>
      <c r="H1060" s="9" t="str">
        <f>INDEX(Products!$C$2:$C$9,MATCH(D1060,Products!$A$2:$A$9,0))</f>
        <v>An thần</v>
      </c>
      <c r="I1060" s="11">
        <f>INDEX(Products!$D$2:$D$9,MATCH(D1060,Products!$A$2:$A$9,0))</f>
        <v>8800</v>
      </c>
      <c r="J1060" s="10">
        <f>IFERROR(INDEX(PlatformFees!$C$2:$C$5,MATCH(C1060,PlatformFees!$A$2:$A$5,0)),0)</f>
        <v>0.13</v>
      </c>
      <c r="K1060" s="11">
        <f t="shared" si="64"/>
        <v>17600</v>
      </c>
      <c r="L1060" s="11">
        <f t="shared" si="65"/>
        <v>8658</v>
      </c>
      <c r="M1060" s="11">
        <f t="shared" si="66"/>
        <v>40342</v>
      </c>
      <c r="N1060" s="10">
        <f t="shared" si="67"/>
        <v>0.60573573573573569</v>
      </c>
    </row>
    <row r="1061" spans="1:14" x14ac:dyDescent="0.3">
      <c r="A1061" s="9" t="s">
        <v>1170</v>
      </c>
      <c r="B1061" s="9" t="s">
        <v>1152</v>
      </c>
      <c r="C1061" s="9" t="s">
        <v>36</v>
      </c>
      <c r="D1061" s="9" t="s">
        <v>22</v>
      </c>
      <c r="E1061" s="9">
        <v>1</v>
      </c>
      <c r="F1061" s="11">
        <v>37400</v>
      </c>
      <c r="G1061" s="9" t="str">
        <f>INDEX(Products!$B$2:$B$9,MATCH(D1061,Products!$A$2:$A$9,0))</f>
        <v>Trà hoa cúc an thần</v>
      </c>
      <c r="H1061" s="9" t="str">
        <f>INDEX(Products!$C$2:$C$9,MATCH(D1061,Products!$A$2:$A$9,0))</f>
        <v>An thần</v>
      </c>
      <c r="I1061" s="11">
        <f>INDEX(Products!$D$2:$D$9,MATCH(D1061,Products!$A$2:$A$9,0))</f>
        <v>9500</v>
      </c>
      <c r="J1061" s="10">
        <f>IFERROR(INDEX(PlatformFees!$C$2:$C$5,MATCH(C1061,PlatformFees!$A$2:$A$5,0)),0)</f>
        <v>0.13</v>
      </c>
      <c r="K1061" s="11">
        <f t="shared" si="64"/>
        <v>9500</v>
      </c>
      <c r="L1061" s="11">
        <f t="shared" si="65"/>
        <v>4862</v>
      </c>
      <c r="M1061" s="11">
        <f t="shared" si="66"/>
        <v>23038</v>
      </c>
      <c r="N1061" s="10">
        <f t="shared" si="67"/>
        <v>0.6159893048128342</v>
      </c>
    </row>
    <row r="1062" spans="1:14" x14ac:dyDescent="0.3">
      <c r="A1062" s="9" t="s">
        <v>1171</v>
      </c>
      <c r="B1062" s="9" t="s">
        <v>1172</v>
      </c>
      <c r="C1062" s="9" t="s">
        <v>38</v>
      </c>
      <c r="D1062" s="9" t="s">
        <v>17</v>
      </c>
      <c r="E1062" s="9">
        <v>1</v>
      </c>
      <c r="F1062" s="11">
        <v>41000</v>
      </c>
      <c r="G1062" s="9" t="str">
        <f>INDEX(Products!$B$2:$B$9,MATCH(D1062,Products!$A$2:$A$9,0))</f>
        <v>Trà diếp cá rau má</v>
      </c>
      <c r="H1062" s="9" t="str">
        <f>INDEX(Products!$C$2:$C$9,MATCH(D1062,Products!$A$2:$A$9,0))</f>
        <v>Detox</v>
      </c>
      <c r="I1062" s="11">
        <f>INDEX(Products!$D$2:$D$9,MATCH(D1062,Products!$A$2:$A$9,0))</f>
        <v>10500</v>
      </c>
      <c r="J1062" s="10">
        <f>IFERROR(INDEX(PlatformFees!$C$2:$C$5,MATCH(C1062,PlatformFees!$A$2:$A$5,0)),0)</f>
        <v>0.16</v>
      </c>
      <c r="K1062" s="11">
        <f t="shared" si="64"/>
        <v>10500</v>
      </c>
      <c r="L1062" s="11">
        <f t="shared" si="65"/>
        <v>6560</v>
      </c>
      <c r="M1062" s="11">
        <f t="shared" si="66"/>
        <v>23940</v>
      </c>
      <c r="N1062" s="10">
        <f t="shared" si="67"/>
        <v>0.58390243902439021</v>
      </c>
    </row>
    <row r="1063" spans="1:14" x14ac:dyDescent="0.3">
      <c r="A1063" s="9" t="s">
        <v>1173</v>
      </c>
      <c r="B1063" s="9" t="s">
        <v>1172</v>
      </c>
      <c r="C1063" s="9" t="s">
        <v>36</v>
      </c>
      <c r="D1063" s="9" t="s">
        <v>27</v>
      </c>
      <c r="E1063" s="9">
        <v>2</v>
      </c>
      <c r="F1063" s="11">
        <v>80600</v>
      </c>
      <c r="G1063" s="9" t="str">
        <f>INDEX(Products!$B$2:$B$9,MATCH(D1063,Products!$A$2:$A$9,0))</f>
        <v>Trà gừng mật ong</v>
      </c>
      <c r="H1063" s="9" t="str">
        <f>INDEX(Products!$C$2:$C$9,MATCH(D1063,Products!$A$2:$A$9,0))</f>
        <v>Giữ ấm</v>
      </c>
      <c r="I1063" s="11">
        <f>INDEX(Products!$D$2:$D$9,MATCH(D1063,Products!$A$2:$A$9,0))</f>
        <v>11000</v>
      </c>
      <c r="J1063" s="10">
        <f>IFERROR(INDEX(PlatformFees!$C$2:$C$5,MATCH(C1063,PlatformFees!$A$2:$A$5,0)),0)</f>
        <v>0.13</v>
      </c>
      <c r="K1063" s="11">
        <f t="shared" si="64"/>
        <v>22000</v>
      </c>
      <c r="L1063" s="11">
        <f t="shared" si="65"/>
        <v>10478</v>
      </c>
      <c r="M1063" s="11">
        <f t="shared" si="66"/>
        <v>48122</v>
      </c>
      <c r="N1063" s="10">
        <f t="shared" si="67"/>
        <v>0.59704714640198508</v>
      </c>
    </row>
    <row r="1064" spans="1:14" x14ac:dyDescent="0.3">
      <c r="A1064" s="9" t="s">
        <v>1174</v>
      </c>
      <c r="B1064" s="9" t="s">
        <v>1172</v>
      </c>
      <c r="C1064" s="9" t="s">
        <v>39</v>
      </c>
      <c r="D1064" s="9" t="s">
        <v>12</v>
      </c>
      <c r="E1064" s="9">
        <v>1</v>
      </c>
      <c r="F1064" s="11">
        <v>33900</v>
      </c>
      <c r="G1064" s="9" t="str">
        <f>INDEX(Products!$B$2:$B$9,MATCH(D1064,Products!$A$2:$A$9,0))</f>
        <v>Trà atiso thanh lọc</v>
      </c>
      <c r="H1064" s="9" t="str">
        <f>INDEX(Products!$C$2:$C$9,MATCH(D1064,Products!$A$2:$A$9,0))</f>
        <v>Thanh lọc</v>
      </c>
      <c r="I1064" s="11">
        <f>INDEX(Products!$D$2:$D$9,MATCH(D1064,Products!$A$2:$A$9,0))</f>
        <v>9000</v>
      </c>
      <c r="J1064" s="10">
        <f>IFERROR(INDEX(PlatformFees!$C$2:$C$5,MATCH(C1064,PlatformFees!$A$2:$A$5,0)),0)</f>
        <v>0</v>
      </c>
      <c r="K1064" s="11">
        <f t="shared" si="64"/>
        <v>9000</v>
      </c>
      <c r="L1064" s="11">
        <f t="shared" si="65"/>
        <v>0</v>
      </c>
      <c r="M1064" s="11">
        <f t="shared" si="66"/>
        <v>24900</v>
      </c>
      <c r="N1064" s="10">
        <f t="shared" si="67"/>
        <v>0.73451327433628322</v>
      </c>
    </row>
    <row r="1065" spans="1:14" x14ac:dyDescent="0.3">
      <c r="A1065" s="9" t="s">
        <v>1175</v>
      </c>
      <c r="B1065" s="9" t="s">
        <v>1172</v>
      </c>
      <c r="C1065" s="9" t="s">
        <v>36</v>
      </c>
      <c r="D1065" s="9" t="s">
        <v>20</v>
      </c>
      <c r="E1065" s="9">
        <v>1</v>
      </c>
      <c r="F1065" s="11">
        <v>51900</v>
      </c>
      <c r="G1065" s="9" t="str">
        <f>INDEX(Products!$B$2:$B$9,MATCH(D1065,Products!$A$2:$A$9,0))</f>
        <v>Trà cà leo gai giảm cân</v>
      </c>
      <c r="H1065" s="9" t="str">
        <f>INDEX(Products!$C$2:$C$9,MATCH(D1065,Products!$A$2:$A$9,0))</f>
        <v>Detox</v>
      </c>
      <c r="I1065" s="11">
        <f>INDEX(Products!$D$2:$D$9,MATCH(D1065,Products!$A$2:$A$9,0))</f>
        <v>15000</v>
      </c>
      <c r="J1065" s="10">
        <f>IFERROR(INDEX(PlatformFees!$C$2:$C$5,MATCH(C1065,PlatformFees!$A$2:$A$5,0)),0)</f>
        <v>0.13</v>
      </c>
      <c r="K1065" s="11">
        <f t="shared" si="64"/>
        <v>15000</v>
      </c>
      <c r="L1065" s="11">
        <f t="shared" si="65"/>
        <v>6747</v>
      </c>
      <c r="M1065" s="11">
        <f t="shared" si="66"/>
        <v>30153</v>
      </c>
      <c r="N1065" s="10">
        <f t="shared" si="67"/>
        <v>0.5809826589595376</v>
      </c>
    </row>
    <row r="1066" spans="1:14" x14ac:dyDescent="0.3">
      <c r="A1066" s="9" t="s">
        <v>1176</v>
      </c>
      <c r="B1066" s="9" t="s">
        <v>1172</v>
      </c>
      <c r="C1066" s="9" t="s">
        <v>36</v>
      </c>
      <c r="D1066" s="9" t="s">
        <v>17</v>
      </c>
      <c r="E1066" s="9">
        <v>3</v>
      </c>
      <c r="F1066" s="11">
        <v>127200</v>
      </c>
      <c r="G1066" s="9" t="str">
        <f>INDEX(Products!$B$2:$B$9,MATCH(D1066,Products!$A$2:$A$9,0))</f>
        <v>Trà diếp cá rau má</v>
      </c>
      <c r="H1066" s="9" t="str">
        <f>INDEX(Products!$C$2:$C$9,MATCH(D1066,Products!$A$2:$A$9,0))</f>
        <v>Detox</v>
      </c>
      <c r="I1066" s="11">
        <f>INDEX(Products!$D$2:$D$9,MATCH(D1066,Products!$A$2:$A$9,0))</f>
        <v>10500</v>
      </c>
      <c r="J1066" s="10">
        <f>IFERROR(INDEX(PlatformFees!$C$2:$C$5,MATCH(C1066,PlatformFees!$A$2:$A$5,0)),0)</f>
        <v>0.13</v>
      </c>
      <c r="K1066" s="11">
        <f t="shared" si="64"/>
        <v>31500</v>
      </c>
      <c r="L1066" s="11">
        <f t="shared" si="65"/>
        <v>16536</v>
      </c>
      <c r="M1066" s="11">
        <f t="shared" si="66"/>
        <v>79164</v>
      </c>
      <c r="N1066" s="10">
        <f t="shared" si="67"/>
        <v>0.62235849056603776</v>
      </c>
    </row>
    <row r="1067" spans="1:14" x14ac:dyDescent="0.3">
      <c r="A1067" s="9" t="s">
        <v>1177</v>
      </c>
      <c r="B1067" s="9" t="s">
        <v>1172</v>
      </c>
      <c r="C1067" s="9" t="s">
        <v>38</v>
      </c>
      <c r="D1067" s="9" t="s">
        <v>20</v>
      </c>
      <c r="E1067" s="9">
        <v>1</v>
      </c>
      <c r="F1067" s="11">
        <v>55000</v>
      </c>
      <c r="G1067" s="9" t="str">
        <f>INDEX(Products!$B$2:$B$9,MATCH(D1067,Products!$A$2:$A$9,0))</f>
        <v>Trà cà leo gai giảm cân</v>
      </c>
      <c r="H1067" s="9" t="str">
        <f>INDEX(Products!$C$2:$C$9,MATCH(D1067,Products!$A$2:$A$9,0))</f>
        <v>Detox</v>
      </c>
      <c r="I1067" s="11">
        <f>INDEX(Products!$D$2:$D$9,MATCH(D1067,Products!$A$2:$A$9,0))</f>
        <v>15000</v>
      </c>
      <c r="J1067" s="10">
        <f>IFERROR(INDEX(PlatformFees!$C$2:$C$5,MATCH(C1067,PlatformFees!$A$2:$A$5,0)),0)</f>
        <v>0.16</v>
      </c>
      <c r="K1067" s="11">
        <f t="shared" si="64"/>
        <v>15000</v>
      </c>
      <c r="L1067" s="11">
        <f t="shared" si="65"/>
        <v>8800</v>
      </c>
      <c r="M1067" s="11">
        <f t="shared" si="66"/>
        <v>31200</v>
      </c>
      <c r="N1067" s="10">
        <f t="shared" si="67"/>
        <v>0.56727272727272726</v>
      </c>
    </row>
    <row r="1068" spans="1:14" x14ac:dyDescent="0.3">
      <c r="A1068" s="9" t="s">
        <v>1178</v>
      </c>
      <c r="B1068" s="9" t="s">
        <v>1172</v>
      </c>
      <c r="C1068" s="9" t="s">
        <v>38</v>
      </c>
      <c r="D1068" s="9" t="s">
        <v>20</v>
      </c>
      <c r="E1068" s="9">
        <v>1</v>
      </c>
      <c r="F1068" s="11">
        <v>54200</v>
      </c>
      <c r="G1068" s="9" t="str">
        <f>INDEX(Products!$B$2:$B$9,MATCH(D1068,Products!$A$2:$A$9,0))</f>
        <v>Trà cà leo gai giảm cân</v>
      </c>
      <c r="H1068" s="9" t="str">
        <f>INDEX(Products!$C$2:$C$9,MATCH(D1068,Products!$A$2:$A$9,0))</f>
        <v>Detox</v>
      </c>
      <c r="I1068" s="11">
        <f>INDEX(Products!$D$2:$D$9,MATCH(D1068,Products!$A$2:$A$9,0))</f>
        <v>15000</v>
      </c>
      <c r="J1068" s="10">
        <f>IFERROR(INDEX(PlatformFees!$C$2:$C$5,MATCH(C1068,PlatformFees!$A$2:$A$5,0)),0)</f>
        <v>0.16</v>
      </c>
      <c r="K1068" s="11">
        <f t="shared" si="64"/>
        <v>15000</v>
      </c>
      <c r="L1068" s="11">
        <f t="shared" si="65"/>
        <v>8672</v>
      </c>
      <c r="M1068" s="11">
        <f t="shared" si="66"/>
        <v>30528</v>
      </c>
      <c r="N1068" s="10">
        <f t="shared" si="67"/>
        <v>0.56324723247232478</v>
      </c>
    </row>
    <row r="1069" spans="1:14" x14ac:dyDescent="0.3">
      <c r="A1069" s="9" t="s">
        <v>1179</v>
      </c>
      <c r="B1069" s="9" t="s">
        <v>1172</v>
      </c>
      <c r="C1069" s="9" t="s">
        <v>38</v>
      </c>
      <c r="D1069" s="9" t="s">
        <v>20</v>
      </c>
      <c r="E1069" s="9">
        <v>1</v>
      </c>
      <c r="F1069" s="11">
        <v>50900</v>
      </c>
      <c r="G1069" s="9" t="str">
        <f>INDEX(Products!$B$2:$B$9,MATCH(D1069,Products!$A$2:$A$9,0))</f>
        <v>Trà cà leo gai giảm cân</v>
      </c>
      <c r="H1069" s="9" t="str">
        <f>INDEX(Products!$C$2:$C$9,MATCH(D1069,Products!$A$2:$A$9,0))</f>
        <v>Detox</v>
      </c>
      <c r="I1069" s="11">
        <f>INDEX(Products!$D$2:$D$9,MATCH(D1069,Products!$A$2:$A$9,0))</f>
        <v>15000</v>
      </c>
      <c r="J1069" s="10">
        <f>IFERROR(INDEX(PlatformFees!$C$2:$C$5,MATCH(C1069,PlatformFees!$A$2:$A$5,0)),0)</f>
        <v>0.16</v>
      </c>
      <c r="K1069" s="11">
        <f t="shared" si="64"/>
        <v>15000</v>
      </c>
      <c r="L1069" s="11">
        <f t="shared" si="65"/>
        <v>8144</v>
      </c>
      <c r="M1069" s="11">
        <f t="shared" si="66"/>
        <v>27756</v>
      </c>
      <c r="N1069" s="10">
        <f t="shared" si="67"/>
        <v>0.54530451866404717</v>
      </c>
    </row>
    <row r="1070" spans="1:14" x14ac:dyDescent="0.3">
      <c r="A1070" s="9" t="s">
        <v>1180</v>
      </c>
      <c r="B1070" s="9" t="s">
        <v>1172</v>
      </c>
      <c r="C1070" s="9" t="s">
        <v>38</v>
      </c>
      <c r="D1070" s="9" t="s">
        <v>15</v>
      </c>
      <c r="E1070" s="9">
        <v>3</v>
      </c>
      <c r="F1070" s="11">
        <v>93700</v>
      </c>
      <c r="G1070" s="9" t="str">
        <f>INDEX(Products!$B$2:$B$9,MATCH(D1070,Products!$A$2:$A$9,0))</f>
        <v>Trà lá nam sen ổi</v>
      </c>
      <c r="H1070" s="9" t="str">
        <f>INDEX(Products!$C$2:$C$9,MATCH(D1070,Products!$A$2:$A$9,0))</f>
        <v>Thanh lọc</v>
      </c>
      <c r="I1070" s="11">
        <f>INDEX(Products!$D$2:$D$9,MATCH(D1070,Products!$A$2:$A$9,0))</f>
        <v>8500</v>
      </c>
      <c r="J1070" s="10">
        <f>IFERROR(INDEX(PlatformFees!$C$2:$C$5,MATCH(C1070,PlatformFees!$A$2:$A$5,0)),0)</f>
        <v>0.16</v>
      </c>
      <c r="K1070" s="11">
        <f t="shared" si="64"/>
        <v>25500</v>
      </c>
      <c r="L1070" s="11">
        <f t="shared" si="65"/>
        <v>14992</v>
      </c>
      <c r="M1070" s="11">
        <f t="shared" si="66"/>
        <v>53208</v>
      </c>
      <c r="N1070" s="10">
        <f t="shared" si="67"/>
        <v>0.56785485592315899</v>
      </c>
    </row>
    <row r="1071" spans="1:14" x14ac:dyDescent="0.3">
      <c r="A1071" s="9" t="s">
        <v>1181</v>
      </c>
      <c r="B1071" s="9" t="s">
        <v>1172</v>
      </c>
      <c r="C1071" s="9" t="s">
        <v>39</v>
      </c>
      <c r="D1071" s="9" t="s">
        <v>15</v>
      </c>
      <c r="E1071" s="9">
        <v>1</v>
      </c>
      <c r="F1071" s="11">
        <v>30300</v>
      </c>
      <c r="G1071" s="9" t="str">
        <f>INDEX(Products!$B$2:$B$9,MATCH(D1071,Products!$A$2:$A$9,0))</f>
        <v>Trà lá nam sen ổi</v>
      </c>
      <c r="H1071" s="9" t="str">
        <f>INDEX(Products!$C$2:$C$9,MATCH(D1071,Products!$A$2:$A$9,0))</f>
        <v>Thanh lọc</v>
      </c>
      <c r="I1071" s="11">
        <f>INDEX(Products!$D$2:$D$9,MATCH(D1071,Products!$A$2:$A$9,0))</f>
        <v>8500</v>
      </c>
      <c r="J1071" s="10">
        <f>IFERROR(INDEX(PlatformFees!$C$2:$C$5,MATCH(C1071,PlatformFees!$A$2:$A$5,0)),0)</f>
        <v>0</v>
      </c>
      <c r="K1071" s="11">
        <f t="shared" si="64"/>
        <v>8500</v>
      </c>
      <c r="L1071" s="11">
        <f t="shared" si="65"/>
        <v>0</v>
      </c>
      <c r="M1071" s="11">
        <f t="shared" si="66"/>
        <v>21800</v>
      </c>
      <c r="N1071" s="10">
        <f t="shared" si="67"/>
        <v>0.71947194719471952</v>
      </c>
    </row>
    <row r="1072" spans="1:14" x14ac:dyDescent="0.3">
      <c r="A1072" s="9" t="s">
        <v>1182</v>
      </c>
      <c r="B1072" s="9" t="s">
        <v>1172</v>
      </c>
      <c r="C1072" s="9" t="s">
        <v>36</v>
      </c>
      <c r="D1072" s="9" t="s">
        <v>30</v>
      </c>
      <c r="E1072" s="9">
        <v>2</v>
      </c>
      <c r="F1072" s="11">
        <v>73900</v>
      </c>
      <c r="G1072" s="9" t="str">
        <f>INDEX(Products!$B$2:$B$9,MATCH(D1072,Products!$A$2:$A$9,0))</f>
        <v>Trà mâm xôi vitamin</v>
      </c>
      <c r="H1072" s="9" t="str">
        <f>INDEX(Products!$C$2:$C$9,MATCH(D1072,Products!$A$2:$A$9,0))</f>
        <v>Bổ sung dưỡng chất</v>
      </c>
      <c r="I1072" s="11">
        <f>INDEX(Products!$D$2:$D$9,MATCH(D1072,Products!$A$2:$A$9,0))</f>
        <v>9800</v>
      </c>
      <c r="J1072" s="10">
        <f>IFERROR(INDEX(PlatformFees!$C$2:$C$5,MATCH(C1072,PlatformFees!$A$2:$A$5,0)),0)</f>
        <v>0.13</v>
      </c>
      <c r="K1072" s="11">
        <f t="shared" si="64"/>
        <v>19600</v>
      </c>
      <c r="L1072" s="11">
        <f t="shared" si="65"/>
        <v>9607</v>
      </c>
      <c r="M1072" s="11">
        <f t="shared" si="66"/>
        <v>44693</v>
      </c>
      <c r="N1072" s="10">
        <f t="shared" si="67"/>
        <v>0.60477672530446547</v>
      </c>
    </row>
    <row r="1073" spans="1:14" x14ac:dyDescent="0.3">
      <c r="A1073" s="9" t="s">
        <v>1183</v>
      </c>
      <c r="B1073" s="9" t="s">
        <v>1172</v>
      </c>
      <c r="C1073" s="9" t="s">
        <v>38</v>
      </c>
      <c r="D1073" s="9" t="s">
        <v>27</v>
      </c>
      <c r="E1073" s="9">
        <v>3</v>
      </c>
      <c r="F1073" s="11">
        <v>119100</v>
      </c>
      <c r="G1073" s="9" t="str">
        <f>INDEX(Products!$B$2:$B$9,MATCH(D1073,Products!$A$2:$A$9,0))</f>
        <v>Trà gừng mật ong</v>
      </c>
      <c r="H1073" s="9" t="str">
        <f>INDEX(Products!$C$2:$C$9,MATCH(D1073,Products!$A$2:$A$9,0))</f>
        <v>Giữ ấm</v>
      </c>
      <c r="I1073" s="11">
        <f>INDEX(Products!$D$2:$D$9,MATCH(D1073,Products!$A$2:$A$9,0))</f>
        <v>11000</v>
      </c>
      <c r="J1073" s="10">
        <f>IFERROR(INDEX(PlatformFees!$C$2:$C$5,MATCH(C1073,PlatformFees!$A$2:$A$5,0)),0)</f>
        <v>0.16</v>
      </c>
      <c r="K1073" s="11">
        <f t="shared" si="64"/>
        <v>33000</v>
      </c>
      <c r="L1073" s="11">
        <f t="shared" si="65"/>
        <v>19056</v>
      </c>
      <c r="M1073" s="11">
        <f t="shared" si="66"/>
        <v>67044</v>
      </c>
      <c r="N1073" s="10">
        <f t="shared" si="67"/>
        <v>0.56292191435768257</v>
      </c>
    </row>
    <row r="1074" spans="1:14" x14ac:dyDescent="0.3">
      <c r="A1074" s="9" t="s">
        <v>1184</v>
      </c>
      <c r="B1074" s="9" t="s">
        <v>1172</v>
      </c>
      <c r="C1074" s="9" t="s">
        <v>36</v>
      </c>
      <c r="D1074" s="9" t="s">
        <v>12</v>
      </c>
      <c r="E1074" s="9">
        <v>2</v>
      </c>
      <c r="F1074" s="11">
        <v>69100</v>
      </c>
      <c r="G1074" s="9" t="str">
        <f>INDEX(Products!$B$2:$B$9,MATCH(D1074,Products!$A$2:$A$9,0))</f>
        <v>Trà atiso thanh lọc</v>
      </c>
      <c r="H1074" s="9" t="str">
        <f>INDEX(Products!$C$2:$C$9,MATCH(D1074,Products!$A$2:$A$9,0))</f>
        <v>Thanh lọc</v>
      </c>
      <c r="I1074" s="11">
        <f>INDEX(Products!$D$2:$D$9,MATCH(D1074,Products!$A$2:$A$9,0))</f>
        <v>9000</v>
      </c>
      <c r="J1074" s="10">
        <f>IFERROR(INDEX(PlatformFees!$C$2:$C$5,MATCH(C1074,PlatformFees!$A$2:$A$5,0)),0)</f>
        <v>0.13</v>
      </c>
      <c r="K1074" s="11">
        <f t="shared" si="64"/>
        <v>18000</v>
      </c>
      <c r="L1074" s="11">
        <f t="shared" si="65"/>
        <v>8983</v>
      </c>
      <c r="M1074" s="11">
        <f t="shared" si="66"/>
        <v>42117</v>
      </c>
      <c r="N1074" s="10">
        <f t="shared" si="67"/>
        <v>0.60950795947901593</v>
      </c>
    </row>
    <row r="1075" spans="1:14" x14ac:dyDescent="0.3">
      <c r="A1075" s="9" t="s">
        <v>1185</v>
      </c>
      <c r="B1075" s="9" t="s">
        <v>1172</v>
      </c>
      <c r="C1075" s="9" t="s">
        <v>38</v>
      </c>
      <c r="D1075" s="9" t="s">
        <v>20</v>
      </c>
      <c r="E1075" s="9">
        <v>1</v>
      </c>
      <c r="F1075" s="11">
        <v>55600</v>
      </c>
      <c r="G1075" s="9" t="str">
        <f>INDEX(Products!$B$2:$B$9,MATCH(D1075,Products!$A$2:$A$9,0))</f>
        <v>Trà cà leo gai giảm cân</v>
      </c>
      <c r="H1075" s="9" t="str">
        <f>INDEX(Products!$C$2:$C$9,MATCH(D1075,Products!$A$2:$A$9,0))</f>
        <v>Detox</v>
      </c>
      <c r="I1075" s="11">
        <f>INDEX(Products!$D$2:$D$9,MATCH(D1075,Products!$A$2:$A$9,0))</f>
        <v>15000</v>
      </c>
      <c r="J1075" s="10">
        <f>IFERROR(INDEX(PlatformFees!$C$2:$C$5,MATCH(C1075,PlatformFees!$A$2:$A$5,0)),0)</f>
        <v>0.16</v>
      </c>
      <c r="K1075" s="11">
        <f t="shared" si="64"/>
        <v>15000</v>
      </c>
      <c r="L1075" s="11">
        <f t="shared" si="65"/>
        <v>8896</v>
      </c>
      <c r="M1075" s="11">
        <f t="shared" si="66"/>
        <v>31704</v>
      </c>
      <c r="N1075" s="10">
        <f t="shared" si="67"/>
        <v>0.57021582733812948</v>
      </c>
    </row>
    <row r="1076" spans="1:14" x14ac:dyDescent="0.3">
      <c r="A1076" s="9" t="s">
        <v>1186</v>
      </c>
      <c r="B1076" s="9" t="s">
        <v>1172</v>
      </c>
      <c r="C1076" s="9" t="s">
        <v>38</v>
      </c>
      <c r="D1076" s="9" t="s">
        <v>25</v>
      </c>
      <c r="E1076" s="9">
        <v>1</v>
      </c>
      <c r="F1076" s="11">
        <v>33600</v>
      </c>
      <c r="G1076" s="9" t="str">
        <f>INDEX(Products!$B$2:$B$9,MATCH(D1076,Products!$A$2:$A$9,0))</f>
        <v>Trà hoa đậu biếc</v>
      </c>
      <c r="H1076" s="9" t="str">
        <f>INDEX(Products!$C$2:$C$9,MATCH(D1076,Products!$A$2:$A$9,0))</f>
        <v>An thần</v>
      </c>
      <c r="I1076" s="11">
        <f>INDEX(Products!$D$2:$D$9,MATCH(D1076,Products!$A$2:$A$9,0))</f>
        <v>8800</v>
      </c>
      <c r="J1076" s="10">
        <f>IFERROR(INDEX(PlatformFees!$C$2:$C$5,MATCH(C1076,PlatformFees!$A$2:$A$5,0)),0)</f>
        <v>0.16</v>
      </c>
      <c r="K1076" s="11">
        <f t="shared" si="64"/>
        <v>8800</v>
      </c>
      <c r="L1076" s="11">
        <f t="shared" si="65"/>
        <v>5376</v>
      </c>
      <c r="M1076" s="11">
        <f t="shared" si="66"/>
        <v>19424</v>
      </c>
      <c r="N1076" s="10">
        <f t="shared" si="67"/>
        <v>0.57809523809523811</v>
      </c>
    </row>
    <row r="1077" spans="1:14" x14ac:dyDescent="0.3">
      <c r="A1077" s="9" t="s">
        <v>1187</v>
      </c>
      <c r="B1077" s="9" t="s">
        <v>1172</v>
      </c>
      <c r="C1077" s="9" t="s">
        <v>38</v>
      </c>
      <c r="D1077" s="9" t="s">
        <v>15</v>
      </c>
      <c r="E1077" s="9">
        <v>3</v>
      </c>
      <c r="F1077" s="11">
        <v>91900</v>
      </c>
      <c r="G1077" s="9" t="str">
        <f>INDEX(Products!$B$2:$B$9,MATCH(D1077,Products!$A$2:$A$9,0))</f>
        <v>Trà lá nam sen ổi</v>
      </c>
      <c r="H1077" s="9" t="str">
        <f>INDEX(Products!$C$2:$C$9,MATCH(D1077,Products!$A$2:$A$9,0))</f>
        <v>Thanh lọc</v>
      </c>
      <c r="I1077" s="11">
        <f>INDEX(Products!$D$2:$D$9,MATCH(D1077,Products!$A$2:$A$9,0))</f>
        <v>8500</v>
      </c>
      <c r="J1077" s="10">
        <f>IFERROR(INDEX(PlatformFees!$C$2:$C$5,MATCH(C1077,PlatformFees!$A$2:$A$5,0)),0)</f>
        <v>0.16</v>
      </c>
      <c r="K1077" s="11">
        <f t="shared" si="64"/>
        <v>25500</v>
      </c>
      <c r="L1077" s="11">
        <f t="shared" si="65"/>
        <v>14704</v>
      </c>
      <c r="M1077" s="11">
        <f t="shared" si="66"/>
        <v>51696</v>
      </c>
      <c r="N1077" s="10">
        <f t="shared" si="67"/>
        <v>0.56252448313384118</v>
      </c>
    </row>
    <row r="1078" spans="1:14" x14ac:dyDescent="0.3">
      <c r="A1078" s="9" t="s">
        <v>1188</v>
      </c>
      <c r="B1078" s="9" t="s">
        <v>1189</v>
      </c>
      <c r="C1078" s="9" t="s">
        <v>38</v>
      </c>
      <c r="D1078" s="9" t="s">
        <v>12</v>
      </c>
      <c r="E1078" s="9">
        <v>2</v>
      </c>
      <c r="F1078" s="11">
        <v>67400</v>
      </c>
      <c r="G1078" s="9" t="str">
        <f>INDEX(Products!$B$2:$B$9,MATCH(D1078,Products!$A$2:$A$9,0))</f>
        <v>Trà atiso thanh lọc</v>
      </c>
      <c r="H1078" s="9" t="str">
        <f>INDEX(Products!$C$2:$C$9,MATCH(D1078,Products!$A$2:$A$9,0))</f>
        <v>Thanh lọc</v>
      </c>
      <c r="I1078" s="11">
        <f>INDEX(Products!$D$2:$D$9,MATCH(D1078,Products!$A$2:$A$9,0))</f>
        <v>9000</v>
      </c>
      <c r="J1078" s="10">
        <f>IFERROR(INDEX(PlatformFees!$C$2:$C$5,MATCH(C1078,PlatformFees!$A$2:$A$5,0)),0)</f>
        <v>0.16</v>
      </c>
      <c r="K1078" s="11">
        <f t="shared" si="64"/>
        <v>18000</v>
      </c>
      <c r="L1078" s="11">
        <f t="shared" si="65"/>
        <v>10784</v>
      </c>
      <c r="M1078" s="11">
        <f t="shared" si="66"/>
        <v>38616</v>
      </c>
      <c r="N1078" s="10">
        <f t="shared" si="67"/>
        <v>0.57293768545994062</v>
      </c>
    </row>
    <row r="1079" spans="1:14" x14ac:dyDescent="0.3">
      <c r="A1079" s="9" t="s">
        <v>1190</v>
      </c>
      <c r="B1079" s="9" t="s">
        <v>1189</v>
      </c>
      <c r="C1079" s="9" t="s">
        <v>36</v>
      </c>
      <c r="D1079" s="9" t="s">
        <v>17</v>
      </c>
      <c r="E1079" s="9">
        <v>2</v>
      </c>
      <c r="F1079" s="11">
        <v>83600</v>
      </c>
      <c r="G1079" s="9" t="str">
        <f>INDEX(Products!$B$2:$B$9,MATCH(D1079,Products!$A$2:$A$9,0))</f>
        <v>Trà diếp cá rau má</v>
      </c>
      <c r="H1079" s="9" t="str">
        <f>INDEX(Products!$C$2:$C$9,MATCH(D1079,Products!$A$2:$A$9,0))</f>
        <v>Detox</v>
      </c>
      <c r="I1079" s="11">
        <f>INDEX(Products!$D$2:$D$9,MATCH(D1079,Products!$A$2:$A$9,0))</f>
        <v>10500</v>
      </c>
      <c r="J1079" s="10">
        <f>IFERROR(INDEX(PlatformFees!$C$2:$C$5,MATCH(C1079,PlatformFees!$A$2:$A$5,0)),0)</f>
        <v>0.13</v>
      </c>
      <c r="K1079" s="11">
        <f t="shared" si="64"/>
        <v>21000</v>
      </c>
      <c r="L1079" s="11">
        <f t="shared" si="65"/>
        <v>10868</v>
      </c>
      <c r="M1079" s="11">
        <f t="shared" si="66"/>
        <v>51732</v>
      </c>
      <c r="N1079" s="10">
        <f t="shared" si="67"/>
        <v>0.61880382775119613</v>
      </c>
    </row>
    <row r="1080" spans="1:14" x14ac:dyDescent="0.3">
      <c r="A1080" s="9" t="s">
        <v>1191</v>
      </c>
      <c r="B1080" s="9" t="s">
        <v>1189</v>
      </c>
      <c r="C1080" s="9" t="s">
        <v>39</v>
      </c>
      <c r="D1080" s="9" t="s">
        <v>25</v>
      </c>
      <c r="E1080" s="9">
        <v>1</v>
      </c>
      <c r="F1080" s="11">
        <v>33100</v>
      </c>
      <c r="G1080" s="9" t="str">
        <f>INDEX(Products!$B$2:$B$9,MATCH(D1080,Products!$A$2:$A$9,0))</f>
        <v>Trà hoa đậu biếc</v>
      </c>
      <c r="H1080" s="9" t="str">
        <f>INDEX(Products!$C$2:$C$9,MATCH(D1080,Products!$A$2:$A$9,0))</f>
        <v>An thần</v>
      </c>
      <c r="I1080" s="11">
        <f>INDEX(Products!$D$2:$D$9,MATCH(D1080,Products!$A$2:$A$9,0))</f>
        <v>8800</v>
      </c>
      <c r="J1080" s="10">
        <f>IFERROR(INDEX(PlatformFees!$C$2:$C$5,MATCH(C1080,PlatformFees!$A$2:$A$5,0)),0)</f>
        <v>0</v>
      </c>
      <c r="K1080" s="11">
        <f t="shared" si="64"/>
        <v>8800</v>
      </c>
      <c r="L1080" s="11">
        <f t="shared" si="65"/>
        <v>0</v>
      </c>
      <c r="M1080" s="11">
        <f t="shared" si="66"/>
        <v>24300</v>
      </c>
      <c r="N1080" s="10">
        <f t="shared" si="67"/>
        <v>0.73413897280966767</v>
      </c>
    </row>
    <row r="1081" spans="1:14" x14ac:dyDescent="0.3">
      <c r="A1081" s="9" t="s">
        <v>1192</v>
      </c>
      <c r="B1081" s="9" t="s">
        <v>1189</v>
      </c>
      <c r="C1081" s="9" t="s">
        <v>38</v>
      </c>
      <c r="D1081" s="9" t="s">
        <v>12</v>
      </c>
      <c r="E1081" s="9">
        <v>2</v>
      </c>
      <c r="F1081" s="11">
        <v>68300</v>
      </c>
      <c r="G1081" s="9" t="str">
        <f>INDEX(Products!$B$2:$B$9,MATCH(D1081,Products!$A$2:$A$9,0))</f>
        <v>Trà atiso thanh lọc</v>
      </c>
      <c r="H1081" s="9" t="str">
        <f>INDEX(Products!$C$2:$C$9,MATCH(D1081,Products!$A$2:$A$9,0))</f>
        <v>Thanh lọc</v>
      </c>
      <c r="I1081" s="11">
        <f>INDEX(Products!$D$2:$D$9,MATCH(D1081,Products!$A$2:$A$9,0))</f>
        <v>9000</v>
      </c>
      <c r="J1081" s="10">
        <f>IFERROR(INDEX(PlatformFees!$C$2:$C$5,MATCH(C1081,PlatformFees!$A$2:$A$5,0)),0)</f>
        <v>0.16</v>
      </c>
      <c r="K1081" s="11">
        <f t="shared" si="64"/>
        <v>18000</v>
      </c>
      <c r="L1081" s="11">
        <f t="shared" si="65"/>
        <v>10928</v>
      </c>
      <c r="M1081" s="11">
        <f t="shared" si="66"/>
        <v>39372</v>
      </c>
      <c r="N1081" s="10">
        <f t="shared" si="67"/>
        <v>0.57645680819912148</v>
      </c>
    </row>
    <row r="1082" spans="1:14" x14ac:dyDescent="0.3">
      <c r="A1082" s="9" t="s">
        <v>1193</v>
      </c>
      <c r="B1082" s="9" t="s">
        <v>1189</v>
      </c>
      <c r="C1082" s="9" t="s">
        <v>36</v>
      </c>
      <c r="D1082" s="9" t="s">
        <v>20</v>
      </c>
      <c r="E1082" s="9">
        <v>1</v>
      </c>
      <c r="F1082" s="11">
        <v>56100</v>
      </c>
      <c r="G1082" s="9" t="str">
        <f>INDEX(Products!$B$2:$B$9,MATCH(D1082,Products!$A$2:$A$9,0))</f>
        <v>Trà cà leo gai giảm cân</v>
      </c>
      <c r="H1082" s="9" t="str">
        <f>INDEX(Products!$C$2:$C$9,MATCH(D1082,Products!$A$2:$A$9,0))</f>
        <v>Detox</v>
      </c>
      <c r="I1082" s="11">
        <f>INDEX(Products!$D$2:$D$9,MATCH(D1082,Products!$A$2:$A$9,0))</f>
        <v>15000</v>
      </c>
      <c r="J1082" s="10">
        <f>IFERROR(INDEX(PlatformFees!$C$2:$C$5,MATCH(C1082,PlatformFees!$A$2:$A$5,0)),0)</f>
        <v>0.13</v>
      </c>
      <c r="K1082" s="11">
        <f t="shared" si="64"/>
        <v>15000</v>
      </c>
      <c r="L1082" s="11">
        <f t="shared" si="65"/>
        <v>7293</v>
      </c>
      <c r="M1082" s="11">
        <f t="shared" si="66"/>
        <v>33807</v>
      </c>
      <c r="N1082" s="10">
        <f t="shared" si="67"/>
        <v>0.60262032085561501</v>
      </c>
    </row>
    <row r="1083" spans="1:14" x14ac:dyDescent="0.3">
      <c r="A1083" s="9" t="s">
        <v>1194</v>
      </c>
      <c r="B1083" s="9" t="s">
        <v>1189</v>
      </c>
      <c r="C1083" s="9" t="s">
        <v>38</v>
      </c>
      <c r="D1083" s="9" t="s">
        <v>12</v>
      </c>
      <c r="E1083" s="9">
        <v>3</v>
      </c>
      <c r="F1083" s="11">
        <v>104100</v>
      </c>
      <c r="G1083" s="9" t="str">
        <f>INDEX(Products!$B$2:$B$9,MATCH(D1083,Products!$A$2:$A$9,0))</f>
        <v>Trà atiso thanh lọc</v>
      </c>
      <c r="H1083" s="9" t="str">
        <f>INDEX(Products!$C$2:$C$9,MATCH(D1083,Products!$A$2:$A$9,0))</f>
        <v>Thanh lọc</v>
      </c>
      <c r="I1083" s="11">
        <f>INDEX(Products!$D$2:$D$9,MATCH(D1083,Products!$A$2:$A$9,0))</f>
        <v>9000</v>
      </c>
      <c r="J1083" s="10">
        <f>IFERROR(INDEX(PlatformFees!$C$2:$C$5,MATCH(C1083,PlatformFees!$A$2:$A$5,0)),0)</f>
        <v>0.16</v>
      </c>
      <c r="K1083" s="11">
        <f t="shared" si="64"/>
        <v>27000</v>
      </c>
      <c r="L1083" s="11">
        <f t="shared" si="65"/>
        <v>16656</v>
      </c>
      <c r="M1083" s="11">
        <f t="shared" si="66"/>
        <v>60444</v>
      </c>
      <c r="N1083" s="10">
        <f t="shared" si="67"/>
        <v>0.58063400576368873</v>
      </c>
    </row>
    <row r="1084" spans="1:14" x14ac:dyDescent="0.3">
      <c r="A1084" s="9" t="s">
        <v>1195</v>
      </c>
      <c r="B1084" s="9" t="s">
        <v>1189</v>
      </c>
      <c r="C1084" s="9" t="s">
        <v>38</v>
      </c>
      <c r="D1084" s="9" t="s">
        <v>17</v>
      </c>
      <c r="E1084" s="9">
        <v>1</v>
      </c>
      <c r="F1084" s="11">
        <v>41900</v>
      </c>
      <c r="G1084" s="9" t="str">
        <f>INDEX(Products!$B$2:$B$9,MATCH(D1084,Products!$A$2:$A$9,0))</f>
        <v>Trà diếp cá rau má</v>
      </c>
      <c r="H1084" s="9" t="str">
        <f>INDEX(Products!$C$2:$C$9,MATCH(D1084,Products!$A$2:$A$9,0))</f>
        <v>Detox</v>
      </c>
      <c r="I1084" s="11">
        <f>INDEX(Products!$D$2:$D$9,MATCH(D1084,Products!$A$2:$A$9,0))</f>
        <v>10500</v>
      </c>
      <c r="J1084" s="10">
        <f>IFERROR(INDEX(PlatformFees!$C$2:$C$5,MATCH(C1084,PlatformFees!$A$2:$A$5,0)),0)</f>
        <v>0.16</v>
      </c>
      <c r="K1084" s="11">
        <f t="shared" si="64"/>
        <v>10500</v>
      </c>
      <c r="L1084" s="11">
        <f t="shared" si="65"/>
        <v>6704</v>
      </c>
      <c r="M1084" s="11">
        <f t="shared" si="66"/>
        <v>24696</v>
      </c>
      <c r="N1084" s="10">
        <f t="shared" si="67"/>
        <v>0.5894033412887828</v>
      </c>
    </row>
    <row r="1085" spans="1:14" x14ac:dyDescent="0.3">
      <c r="A1085" s="9" t="s">
        <v>1196</v>
      </c>
      <c r="B1085" s="9" t="s">
        <v>1189</v>
      </c>
      <c r="C1085" s="9" t="s">
        <v>36</v>
      </c>
      <c r="D1085" s="9" t="s">
        <v>30</v>
      </c>
      <c r="E1085" s="9">
        <v>2</v>
      </c>
      <c r="F1085" s="11">
        <v>72500</v>
      </c>
      <c r="G1085" s="9" t="str">
        <f>INDEX(Products!$B$2:$B$9,MATCH(D1085,Products!$A$2:$A$9,0))</f>
        <v>Trà mâm xôi vitamin</v>
      </c>
      <c r="H1085" s="9" t="str">
        <f>INDEX(Products!$C$2:$C$9,MATCH(D1085,Products!$A$2:$A$9,0))</f>
        <v>Bổ sung dưỡng chất</v>
      </c>
      <c r="I1085" s="11">
        <f>INDEX(Products!$D$2:$D$9,MATCH(D1085,Products!$A$2:$A$9,0))</f>
        <v>9800</v>
      </c>
      <c r="J1085" s="10">
        <f>IFERROR(INDEX(PlatformFees!$C$2:$C$5,MATCH(C1085,PlatformFees!$A$2:$A$5,0)),0)</f>
        <v>0.13</v>
      </c>
      <c r="K1085" s="11">
        <f t="shared" si="64"/>
        <v>19600</v>
      </c>
      <c r="L1085" s="11">
        <f t="shared" si="65"/>
        <v>9425</v>
      </c>
      <c r="M1085" s="11">
        <f t="shared" si="66"/>
        <v>43475</v>
      </c>
      <c r="N1085" s="10">
        <f t="shared" si="67"/>
        <v>0.59965517241379307</v>
      </c>
    </row>
    <row r="1086" spans="1:14" x14ac:dyDescent="0.3">
      <c r="A1086" s="9" t="s">
        <v>1197</v>
      </c>
      <c r="B1086" s="9" t="s">
        <v>1189</v>
      </c>
      <c r="C1086" s="9" t="s">
        <v>36</v>
      </c>
      <c r="D1086" s="9" t="s">
        <v>20</v>
      </c>
      <c r="E1086" s="9">
        <v>3</v>
      </c>
      <c r="F1086" s="11">
        <v>168300</v>
      </c>
      <c r="G1086" s="9" t="str">
        <f>INDEX(Products!$B$2:$B$9,MATCH(D1086,Products!$A$2:$A$9,0))</f>
        <v>Trà cà leo gai giảm cân</v>
      </c>
      <c r="H1086" s="9" t="str">
        <f>INDEX(Products!$C$2:$C$9,MATCH(D1086,Products!$A$2:$A$9,0))</f>
        <v>Detox</v>
      </c>
      <c r="I1086" s="11">
        <f>INDEX(Products!$D$2:$D$9,MATCH(D1086,Products!$A$2:$A$9,0))</f>
        <v>15000</v>
      </c>
      <c r="J1086" s="10">
        <f>IFERROR(INDEX(PlatformFees!$C$2:$C$5,MATCH(C1086,PlatformFees!$A$2:$A$5,0)),0)</f>
        <v>0.13</v>
      </c>
      <c r="K1086" s="11">
        <f t="shared" si="64"/>
        <v>45000</v>
      </c>
      <c r="L1086" s="11">
        <f t="shared" si="65"/>
        <v>21879</v>
      </c>
      <c r="M1086" s="11">
        <f t="shared" si="66"/>
        <v>101421</v>
      </c>
      <c r="N1086" s="10">
        <f t="shared" si="67"/>
        <v>0.60262032085561501</v>
      </c>
    </row>
    <row r="1087" spans="1:14" x14ac:dyDescent="0.3">
      <c r="A1087" s="9" t="s">
        <v>1198</v>
      </c>
      <c r="B1087" s="9" t="s">
        <v>1189</v>
      </c>
      <c r="C1087" s="9" t="s">
        <v>39</v>
      </c>
      <c r="D1087" s="9" t="s">
        <v>25</v>
      </c>
      <c r="E1087" s="9">
        <v>2</v>
      </c>
      <c r="F1087" s="11">
        <v>63600</v>
      </c>
      <c r="G1087" s="9" t="str">
        <f>INDEX(Products!$B$2:$B$9,MATCH(D1087,Products!$A$2:$A$9,0))</f>
        <v>Trà hoa đậu biếc</v>
      </c>
      <c r="H1087" s="9" t="str">
        <f>INDEX(Products!$C$2:$C$9,MATCH(D1087,Products!$A$2:$A$9,0))</f>
        <v>An thần</v>
      </c>
      <c r="I1087" s="11">
        <f>INDEX(Products!$D$2:$D$9,MATCH(D1087,Products!$A$2:$A$9,0))</f>
        <v>8800</v>
      </c>
      <c r="J1087" s="10">
        <f>IFERROR(INDEX(PlatformFees!$C$2:$C$5,MATCH(C1087,PlatformFees!$A$2:$A$5,0)),0)</f>
        <v>0</v>
      </c>
      <c r="K1087" s="11">
        <f t="shared" si="64"/>
        <v>17600</v>
      </c>
      <c r="L1087" s="11">
        <f t="shared" si="65"/>
        <v>0</v>
      </c>
      <c r="M1087" s="11">
        <f t="shared" si="66"/>
        <v>46000</v>
      </c>
      <c r="N1087" s="10">
        <f t="shared" si="67"/>
        <v>0.72327044025157228</v>
      </c>
    </row>
    <row r="1088" spans="1:14" x14ac:dyDescent="0.3">
      <c r="A1088" s="9" t="s">
        <v>1199</v>
      </c>
      <c r="B1088" s="9" t="s">
        <v>1189</v>
      </c>
      <c r="C1088" s="9" t="s">
        <v>38</v>
      </c>
      <c r="D1088" s="9" t="s">
        <v>17</v>
      </c>
      <c r="E1088" s="9">
        <v>1</v>
      </c>
      <c r="F1088" s="11">
        <v>39900</v>
      </c>
      <c r="G1088" s="9" t="str">
        <f>INDEX(Products!$B$2:$B$9,MATCH(D1088,Products!$A$2:$A$9,0))</f>
        <v>Trà diếp cá rau má</v>
      </c>
      <c r="H1088" s="9" t="str">
        <f>INDEX(Products!$C$2:$C$9,MATCH(D1088,Products!$A$2:$A$9,0))</f>
        <v>Detox</v>
      </c>
      <c r="I1088" s="11">
        <f>INDEX(Products!$D$2:$D$9,MATCH(D1088,Products!$A$2:$A$9,0))</f>
        <v>10500</v>
      </c>
      <c r="J1088" s="10">
        <f>IFERROR(INDEX(PlatformFees!$C$2:$C$5,MATCH(C1088,PlatformFees!$A$2:$A$5,0)),0)</f>
        <v>0.16</v>
      </c>
      <c r="K1088" s="11">
        <f t="shared" si="64"/>
        <v>10500</v>
      </c>
      <c r="L1088" s="11">
        <f t="shared" si="65"/>
        <v>6384</v>
      </c>
      <c r="M1088" s="11">
        <f t="shared" si="66"/>
        <v>23016</v>
      </c>
      <c r="N1088" s="10">
        <f t="shared" si="67"/>
        <v>0.57684210526315793</v>
      </c>
    </row>
    <row r="1089" spans="1:14" x14ac:dyDescent="0.3">
      <c r="A1089" s="9" t="s">
        <v>1200</v>
      </c>
      <c r="B1089" s="9" t="s">
        <v>1189</v>
      </c>
      <c r="C1089" s="9" t="s">
        <v>39</v>
      </c>
      <c r="D1089" s="9" t="s">
        <v>20</v>
      </c>
      <c r="E1089" s="9">
        <v>1</v>
      </c>
      <c r="F1089" s="11">
        <v>50600</v>
      </c>
      <c r="G1089" s="9" t="str">
        <f>INDEX(Products!$B$2:$B$9,MATCH(D1089,Products!$A$2:$A$9,0))</f>
        <v>Trà cà leo gai giảm cân</v>
      </c>
      <c r="H1089" s="9" t="str">
        <f>INDEX(Products!$C$2:$C$9,MATCH(D1089,Products!$A$2:$A$9,0))</f>
        <v>Detox</v>
      </c>
      <c r="I1089" s="11">
        <f>INDEX(Products!$D$2:$D$9,MATCH(D1089,Products!$A$2:$A$9,0))</f>
        <v>15000</v>
      </c>
      <c r="J1089" s="10">
        <f>IFERROR(INDEX(PlatformFees!$C$2:$C$5,MATCH(C1089,PlatformFees!$A$2:$A$5,0)),0)</f>
        <v>0</v>
      </c>
      <c r="K1089" s="11">
        <f t="shared" si="64"/>
        <v>15000</v>
      </c>
      <c r="L1089" s="11">
        <f t="shared" si="65"/>
        <v>0</v>
      </c>
      <c r="M1089" s="11">
        <f t="shared" si="66"/>
        <v>35600</v>
      </c>
      <c r="N1089" s="10">
        <f t="shared" si="67"/>
        <v>0.70355731225296447</v>
      </c>
    </row>
    <row r="1090" spans="1:14" x14ac:dyDescent="0.3">
      <c r="A1090" s="9" t="s">
        <v>1201</v>
      </c>
      <c r="B1090" s="9" t="s">
        <v>1189</v>
      </c>
      <c r="C1090" s="9" t="s">
        <v>39</v>
      </c>
      <c r="D1090" s="9" t="s">
        <v>12</v>
      </c>
      <c r="E1090" s="9">
        <v>2</v>
      </c>
      <c r="F1090" s="11">
        <v>65300</v>
      </c>
      <c r="G1090" s="9" t="str">
        <f>INDEX(Products!$B$2:$B$9,MATCH(D1090,Products!$A$2:$A$9,0))</f>
        <v>Trà atiso thanh lọc</v>
      </c>
      <c r="H1090" s="9" t="str">
        <f>INDEX(Products!$C$2:$C$9,MATCH(D1090,Products!$A$2:$A$9,0))</f>
        <v>Thanh lọc</v>
      </c>
      <c r="I1090" s="11">
        <f>INDEX(Products!$D$2:$D$9,MATCH(D1090,Products!$A$2:$A$9,0))</f>
        <v>9000</v>
      </c>
      <c r="J1090" s="10">
        <f>IFERROR(INDEX(PlatformFees!$C$2:$C$5,MATCH(C1090,PlatformFees!$A$2:$A$5,0)),0)</f>
        <v>0</v>
      </c>
      <c r="K1090" s="11">
        <f t="shared" ref="K1090:K1153" si="68">E1090*I1090</f>
        <v>18000</v>
      </c>
      <c r="L1090" s="11">
        <f t="shared" ref="L1090:L1153" si="69">F1090*J1090</f>
        <v>0</v>
      </c>
      <c r="M1090" s="11">
        <f t="shared" ref="M1090:M1153" si="70">F1090-L1090-K1090</f>
        <v>47300</v>
      </c>
      <c r="N1090" s="10">
        <f t="shared" ref="N1090:N1153" si="71">IFERROR(M1090/F1090,0)</f>
        <v>0.72434915773353747</v>
      </c>
    </row>
    <row r="1091" spans="1:14" x14ac:dyDescent="0.3">
      <c r="A1091" s="9" t="s">
        <v>1202</v>
      </c>
      <c r="B1091" s="9" t="s">
        <v>1189</v>
      </c>
      <c r="C1091" s="9" t="s">
        <v>36</v>
      </c>
      <c r="D1091" s="9" t="s">
        <v>22</v>
      </c>
      <c r="E1091" s="9">
        <v>3</v>
      </c>
      <c r="F1091" s="11">
        <v>115000</v>
      </c>
      <c r="G1091" s="9" t="str">
        <f>INDEX(Products!$B$2:$B$9,MATCH(D1091,Products!$A$2:$A$9,0))</f>
        <v>Trà hoa cúc an thần</v>
      </c>
      <c r="H1091" s="9" t="str">
        <f>INDEX(Products!$C$2:$C$9,MATCH(D1091,Products!$A$2:$A$9,0))</f>
        <v>An thần</v>
      </c>
      <c r="I1091" s="11">
        <f>INDEX(Products!$D$2:$D$9,MATCH(D1091,Products!$A$2:$A$9,0))</f>
        <v>9500</v>
      </c>
      <c r="J1091" s="10">
        <f>IFERROR(INDEX(PlatformFees!$C$2:$C$5,MATCH(C1091,PlatformFees!$A$2:$A$5,0)),0)</f>
        <v>0.13</v>
      </c>
      <c r="K1091" s="11">
        <f t="shared" si="68"/>
        <v>28500</v>
      </c>
      <c r="L1091" s="11">
        <f t="shared" si="69"/>
        <v>14950</v>
      </c>
      <c r="M1091" s="11">
        <f t="shared" si="70"/>
        <v>71550</v>
      </c>
      <c r="N1091" s="10">
        <f t="shared" si="71"/>
        <v>0.62217391304347824</v>
      </c>
    </row>
    <row r="1092" spans="1:14" x14ac:dyDescent="0.3">
      <c r="A1092" s="9" t="s">
        <v>1203</v>
      </c>
      <c r="B1092" s="9" t="s">
        <v>1189</v>
      </c>
      <c r="C1092" s="9" t="s">
        <v>36</v>
      </c>
      <c r="D1092" s="9" t="s">
        <v>15</v>
      </c>
      <c r="E1092" s="9">
        <v>2</v>
      </c>
      <c r="F1092" s="11">
        <v>63500</v>
      </c>
      <c r="G1092" s="9" t="str">
        <f>INDEX(Products!$B$2:$B$9,MATCH(D1092,Products!$A$2:$A$9,0))</f>
        <v>Trà lá nam sen ổi</v>
      </c>
      <c r="H1092" s="9" t="str">
        <f>INDEX(Products!$C$2:$C$9,MATCH(D1092,Products!$A$2:$A$9,0))</f>
        <v>Thanh lọc</v>
      </c>
      <c r="I1092" s="11">
        <f>INDEX(Products!$D$2:$D$9,MATCH(D1092,Products!$A$2:$A$9,0))</f>
        <v>8500</v>
      </c>
      <c r="J1092" s="10">
        <f>IFERROR(INDEX(PlatformFees!$C$2:$C$5,MATCH(C1092,PlatformFees!$A$2:$A$5,0)),0)</f>
        <v>0.13</v>
      </c>
      <c r="K1092" s="11">
        <f t="shared" si="68"/>
        <v>17000</v>
      </c>
      <c r="L1092" s="11">
        <f t="shared" si="69"/>
        <v>8255</v>
      </c>
      <c r="M1092" s="11">
        <f t="shared" si="70"/>
        <v>38245</v>
      </c>
      <c r="N1092" s="10">
        <f t="shared" si="71"/>
        <v>0.60228346456692916</v>
      </c>
    </row>
    <row r="1093" spans="1:14" x14ac:dyDescent="0.3">
      <c r="A1093" s="9" t="s">
        <v>1204</v>
      </c>
      <c r="B1093" s="9" t="s">
        <v>1189</v>
      </c>
      <c r="C1093" s="9" t="s">
        <v>36</v>
      </c>
      <c r="D1093" s="9" t="s">
        <v>27</v>
      </c>
      <c r="E1093" s="9">
        <v>2</v>
      </c>
      <c r="F1093" s="11">
        <v>78600</v>
      </c>
      <c r="G1093" s="9" t="str">
        <f>INDEX(Products!$B$2:$B$9,MATCH(D1093,Products!$A$2:$A$9,0))</f>
        <v>Trà gừng mật ong</v>
      </c>
      <c r="H1093" s="9" t="str">
        <f>INDEX(Products!$C$2:$C$9,MATCH(D1093,Products!$A$2:$A$9,0))</f>
        <v>Giữ ấm</v>
      </c>
      <c r="I1093" s="11">
        <f>INDEX(Products!$D$2:$D$9,MATCH(D1093,Products!$A$2:$A$9,0))</f>
        <v>11000</v>
      </c>
      <c r="J1093" s="10">
        <f>IFERROR(INDEX(PlatformFees!$C$2:$C$5,MATCH(C1093,PlatformFees!$A$2:$A$5,0)),0)</f>
        <v>0.13</v>
      </c>
      <c r="K1093" s="11">
        <f t="shared" si="68"/>
        <v>22000</v>
      </c>
      <c r="L1093" s="11">
        <f t="shared" si="69"/>
        <v>10218</v>
      </c>
      <c r="M1093" s="11">
        <f t="shared" si="70"/>
        <v>46382</v>
      </c>
      <c r="N1093" s="10">
        <f t="shared" si="71"/>
        <v>0.59010178117048351</v>
      </c>
    </row>
    <row r="1094" spans="1:14" x14ac:dyDescent="0.3">
      <c r="A1094" s="9" t="s">
        <v>1205</v>
      </c>
      <c r="B1094" s="9" t="s">
        <v>1189</v>
      </c>
      <c r="C1094" s="9" t="s">
        <v>38</v>
      </c>
      <c r="D1094" s="9" t="s">
        <v>30</v>
      </c>
      <c r="E1094" s="9">
        <v>2</v>
      </c>
      <c r="F1094" s="11">
        <v>72200</v>
      </c>
      <c r="G1094" s="9" t="str">
        <f>INDEX(Products!$B$2:$B$9,MATCH(D1094,Products!$A$2:$A$9,0))</f>
        <v>Trà mâm xôi vitamin</v>
      </c>
      <c r="H1094" s="9" t="str">
        <f>INDEX(Products!$C$2:$C$9,MATCH(D1094,Products!$A$2:$A$9,0))</f>
        <v>Bổ sung dưỡng chất</v>
      </c>
      <c r="I1094" s="11">
        <f>INDEX(Products!$D$2:$D$9,MATCH(D1094,Products!$A$2:$A$9,0))</f>
        <v>9800</v>
      </c>
      <c r="J1094" s="10">
        <f>IFERROR(INDEX(PlatformFees!$C$2:$C$5,MATCH(C1094,PlatformFees!$A$2:$A$5,0)),0)</f>
        <v>0.16</v>
      </c>
      <c r="K1094" s="11">
        <f t="shared" si="68"/>
        <v>19600</v>
      </c>
      <c r="L1094" s="11">
        <f t="shared" si="69"/>
        <v>11552</v>
      </c>
      <c r="M1094" s="11">
        <f t="shared" si="70"/>
        <v>41048</v>
      </c>
      <c r="N1094" s="10">
        <f t="shared" si="71"/>
        <v>0.56853185595567868</v>
      </c>
    </row>
    <row r="1095" spans="1:14" x14ac:dyDescent="0.3">
      <c r="A1095" s="9" t="s">
        <v>1206</v>
      </c>
      <c r="B1095" s="9" t="s">
        <v>1207</v>
      </c>
      <c r="C1095" s="9" t="s">
        <v>38</v>
      </c>
      <c r="D1095" s="9" t="s">
        <v>20</v>
      </c>
      <c r="E1095" s="9">
        <v>1</v>
      </c>
      <c r="F1095" s="11">
        <v>52800</v>
      </c>
      <c r="G1095" s="9" t="str">
        <f>INDEX(Products!$B$2:$B$9,MATCH(D1095,Products!$A$2:$A$9,0))</f>
        <v>Trà cà leo gai giảm cân</v>
      </c>
      <c r="H1095" s="9" t="str">
        <f>INDEX(Products!$C$2:$C$9,MATCH(D1095,Products!$A$2:$A$9,0))</f>
        <v>Detox</v>
      </c>
      <c r="I1095" s="11">
        <f>INDEX(Products!$D$2:$D$9,MATCH(D1095,Products!$A$2:$A$9,0))</f>
        <v>15000</v>
      </c>
      <c r="J1095" s="10">
        <f>IFERROR(INDEX(PlatformFees!$C$2:$C$5,MATCH(C1095,PlatformFees!$A$2:$A$5,0)),0)</f>
        <v>0.16</v>
      </c>
      <c r="K1095" s="11">
        <f t="shared" si="68"/>
        <v>15000</v>
      </c>
      <c r="L1095" s="11">
        <f t="shared" si="69"/>
        <v>8448</v>
      </c>
      <c r="M1095" s="11">
        <f t="shared" si="70"/>
        <v>29352</v>
      </c>
      <c r="N1095" s="10">
        <f t="shared" si="71"/>
        <v>0.55590909090909091</v>
      </c>
    </row>
    <row r="1096" spans="1:14" x14ac:dyDescent="0.3">
      <c r="A1096" s="9" t="s">
        <v>1208</v>
      </c>
      <c r="B1096" s="9" t="s">
        <v>1207</v>
      </c>
      <c r="C1096" s="9" t="s">
        <v>38</v>
      </c>
      <c r="D1096" s="9" t="s">
        <v>17</v>
      </c>
      <c r="E1096" s="9">
        <v>1</v>
      </c>
      <c r="F1096" s="11">
        <v>41300</v>
      </c>
      <c r="G1096" s="9" t="str">
        <f>INDEX(Products!$B$2:$B$9,MATCH(D1096,Products!$A$2:$A$9,0))</f>
        <v>Trà diếp cá rau má</v>
      </c>
      <c r="H1096" s="9" t="str">
        <f>INDEX(Products!$C$2:$C$9,MATCH(D1096,Products!$A$2:$A$9,0))</f>
        <v>Detox</v>
      </c>
      <c r="I1096" s="11">
        <f>INDEX(Products!$D$2:$D$9,MATCH(D1096,Products!$A$2:$A$9,0))</f>
        <v>10500</v>
      </c>
      <c r="J1096" s="10">
        <f>IFERROR(INDEX(PlatformFees!$C$2:$C$5,MATCH(C1096,PlatformFees!$A$2:$A$5,0)),0)</f>
        <v>0.16</v>
      </c>
      <c r="K1096" s="11">
        <f t="shared" si="68"/>
        <v>10500</v>
      </c>
      <c r="L1096" s="11">
        <f t="shared" si="69"/>
        <v>6608</v>
      </c>
      <c r="M1096" s="11">
        <f t="shared" si="70"/>
        <v>24192</v>
      </c>
      <c r="N1096" s="10">
        <f t="shared" si="71"/>
        <v>0.58576271186440676</v>
      </c>
    </row>
    <row r="1097" spans="1:14" x14ac:dyDescent="0.3">
      <c r="A1097" s="9" t="s">
        <v>1209</v>
      </c>
      <c r="B1097" s="9" t="s">
        <v>1207</v>
      </c>
      <c r="C1097" s="9" t="s">
        <v>39</v>
      </c>
      <c r="D1097" s="9" t="s">
        <v>20</v>
      </c>
      <c r="E1097" s="9">
        <v>1</v>
      </c>
      <c r="F1097" s="11">
        <v>55800</v>
      </c>
      <c r="G1097" s="9" t="str">
        <f>INDEX(Products!$B$2:$B$9,MATCH(D1097,Products!$A$2:$A$9,0))</f>
        <v>Trà cà leo gai giảm cân</v>
      </c>
      <c r="H1097" s="9" t="str">
        <f>INDEX(Products!$C$2:$C$9,MATCH(D1097,Products!$A$2:$A$9,0))</f>
        <v>Detox</v>
      </c>
      <c r="I1097" s="11">
        <f>INDEX(Products!$D$2:$D$9,MATCH(D1097,Products!$A$2:$A$9,0))</f>
        <v>15000</v>
      </c>
      <c r="J1097" s="10">
        <f>IFERROR(INDEX(PlatformFees!$C$2:$C$5,MATCH(C1097,PlatformFees!$A$2:$A$5,0)),0)</f>
        <v>0</v>
      </c>
      <c r="K1097" s="11">
        <f t="shared" si="68"/>
        <v>15000</v>
      </c>
      <c r="L1097" s="11">
        <f t="shared" si="69"/>
        <v>0</v>
      </c>
      <c r="M1097" s="11">
        <f t="shared" si="70"/>
        <v>40800</v>
      </c>
      <c r="N1097" s="10">
        <f t="shared" si="71"/>
        <v>0.73118279569892475</v>
      </c>
    </row>
    <row r="1098" spans="1:14" x14ac:dyDescent="0.3">
      <c r="A1098" s="9" t="s">
        <v>1210</v>
      </c>
      <c r="B1098" s="9" t="s">
        <v>1207</v>
      </c>
      <c r="C1098" s="9" t="s">
        <v>38</v>
      </c>
      <c r="D1098" s="9" t="s">
        <v>25</v>
      </c>
      <c r="E1098" s="9">
        <v>2</v>
      </c>
      <c r="F1098" s="11">
        <v>68400</v>
      </c>
      <c r="G1098" s="9" t="str">
        <f>INDEX(Products!$B$2:$B$9,MATCH(D1098,Products!$A$2:$A$9,0))</f>
        <v>Trà hoa đậu biếc</v>
      </c>
      <c r="H1098" s="9" t="str">
        <f>INDEX(Products!$C$2:$C$9,MATCH(D1098,Products!$A$2:$A$9,0))</f>
        <v>An thần</v>
      </c>
      <c r="I1098" s="11">
        <f>INDEX(Products!$D$2:$D$9,MATCH(D1098,Products!$A$2:$A$9,0))</f>
        <v>8800</v>
      </c>
      <c r="J1098" s="10">
        <f>IFERROR(INDEX(PlatformFees!$C$2:$C$5,MATCH(C1098,PlatformFees!$A$2:$A$5,0)),0)</f>
        <v>0.16</v>
      </c>
      <c r="K1098" s="11">
        <f t="shared" si="68"/>
        <v>17600</v>
      </c>
      <c r="L1098" s="11">
        <f t="shared" si="69"/>
        <v>10944</v>
      </c>
      <c r="M1098" s="11">
        <f t="shared" si="70"/>
        <v>39856</v>
      </c>
      <c r="N1098" s="10">
        <f t="shared" si="71"/>
        <v>0.58269005847953215</v>
      </c>
    </row>
    <row r="1099" spans="1:14" x14ac:dyDescent="0.3">
      <c r="A1099" s="9" t="s">
        <v>1211</v>
      </c>
      <c r="B1099" s="9" t="s">
        <v>1207</v>
      </c>
      <c r="C1099" s="9" t="s">
        <v>40</v>
      </c>
      <c r="D1099" s="9" t="s">
        <v>12</v>
      </c>
      <c r="E1099" s="9">
        <v>2</v>
      </c>
      <c r="F1099" s="11">
        <v>67500</v>
      </c>
      <c r="G1099" s="9" t="str">
        <f>INDEX(Products!$B$2:$B$9,MATCH(D1099,Products!$A$2:$A$9,0))</f>
        <v>Trà atiso thanh lọc</v>
      </c>
      <c r="H1099" s="9" t="str">
        <f>INDEX(Products!$C$2:$C$9,MATCH(D1099,Products!$A$2:$A$9,0))</f>
        <v>Thanh lọc</v>
      </c>
      <c r="I1099" s="11">
        <f>INDEX(Products!$D$2:$D$9,MATCH(D1099,Products!$A$2:$A$9,0))</f>
        <v>9000</v>
      </c>
      <c r="J1099" s="10">
        <f>IFERROR(INDEX(PlatformFees!$C$2:$C$5,MATCH(C1099,PlatformFees!$A$2:$A$5,0)),0)</f>
        <v>0</v>
      </c>
      <c r="K1099" s="11">
        <f t="shared" si="68"/>
        <v>18000</v>
      </c>
      <c r="L1099" s="11">
        <f t="shared" si="69"/>
        <v>0</v>
      </c>
      <c r="M1099" s="11">
        <f t="shared" si="70"/>
        <v>49500</v>
      </c>
      <c r="N1099" s="10">
        <f t="shared" si="71"/>
        <v>0.73333333333333328</v>
      </c>
    </row>
    <row r="1100" spans="1:14" x14ac:dyDescent="0.3">
      <c r="A1100" s="9" t="s">
        <v>1212</v>
      </c>
      <c r="B1100" s="9" t="s">
        <v>1207</v>
      </c>
      <c r="C1100" s="9" t="s">
        <v>36</v>
      </c>
      <c r="D1100" s="9" t="s">
        <v>20</v>
      </c>
      <c r="E1100" s="9">
        <v>3</v>
      </c>
      <c r="F1100" s="11">
        <v>164200</v>
      </c>
      <c r="G1100" s="9" t="str">
        <f>INDEX(Products!$B$2:$B$9,MATCH(D1100,Products!$A$2:$A$9,0))</f>
        <v>Trà cà leo gai giảm cân</v>
      </c>
      <c r="H1100" s="9" t="str">
        <f>INDEX(Products!$C$2:$C$9,MATCH(D1100,Products!$A$2:$A$9,0))</f>
        <v>Detox</v>
      </c>
      <c r="I1100" s="11">
        <f>INDEX(Products!$D$2:$D$9,MATCH(D1100,Products!$A$2:$A$9,0))</f>
        <v>15000</v>
      </c>
      <c r="J1100" s="10">
        <f>IFERROR(INDEX(PlatformFees!$C$2:$C$5,MATCH(C1100,PlatformFees!$A$2:$A$5,0)),0)</f>
        <v>0.13</v>
      </c>
      <c r="K1100" s="11">
        <f t="shared" si="68"/>
        <v>45000</v>
      </c>
      <c r="L1100" s="11">
        <f t="shared" si="69"/>
        <v>21346</v>
      </c>
      <c r="M1100" s="11">
        <f t="shared" si="70"/>
        <v>97854</v>
      </c>
      <c r="N1100" s="10">
        <f t="shared" si="71"/>
        <v>0.59594397076735683</v>
      </c>
    </row>
    <row r="1101" spans="1:14" x14ac:dyDescent="0.3">
      <c r="A1101" s="9" t="s">
        <v>1213</v>
      </c>
      <c r="B1101" s="9" t="s">
        <v>1207</v>
      </c>
      <c r="C1101" s="9" t="s">
        <v>36</v>
      </c>
      <c r="D1101" s="9" t="s">
        <v>17</v>
      </c>
      <c r="E1101" s="9">
        <v>3</v>
      </c>
      <c r="F1101" s="11">
        <v>116000</v>
      </c>
      <c r="G1101" s="9" t="str">
        <f>INDEX(Products!$B$2:$B$9,MATCH(D1101,Products!$A$2:$A$9,0))</f>
        <v>Trà diếp cá rau má</v>
      </c>
      <c r="H1101" s="9" t="str">
        <f>INDEX(Products!$C$2:$C$9,MATCH(D1101,Products!$A$2:$A$9,0))</f>
        <v>Detox</v>
      </c>
      <c r="I1101" s="11">
        <f>INDEX(Products!$D$2:$D$9,MATCH(D1101,Products!$A$2:$A$9,0))</f>
        <v>10500</v>
      </c>
      <c r="J1101" s="10">
        <f>IFERROR(INDEX(PlatformFees!$C$2:$C$5,MATCH(C1101,PlatformFees!$A$2:$A$5,0)),0)</f>
        <v>0.13</v>
      </c>
      <c r="K1101" s="11">
        <f t="shared" si="68"/>
        <v>31500</v>
      </c>
      <c r="L1101" s="11">
        <f t="shared" si="69"/>
        <v>15080</v>
      </c>
      <c r="M1101" s="11">
        <f t="shared" si="70"/>
        <v>69420</v>
      </c>
      <c r="N1101" s="10">
        <f t="shared" si="71"/>
        <v>0.59844827586206895</v>
      </c>
    </row>
    <row r="1102" spans="1:14" x14ac:dyDescent="0.3">
      <c r="A1102" s="9" t="s">
        <v>1214</v>
      </c>
      <c r="B1102" s="9" t="s">
        <v>1207</v>
      </c>
      <c r="C1102" s="9" t="s">
        <v>36</v>
      </c>
      <c r="D1102" s="9" t="s">
        <v>15</v>
      </c>
      <c r="E1102" s="9">
        <v>2</v>
      </c>
      <c r="F1102" s="11">
        <v>61900</v>
      </c>
      <c r="G1102" s="9" t="str">
        <f>INDEX(Products!$B$2:$B$9,MATCH(D1102,Products!$A$2:$A$9,0))</f>
        <v>Trà lá nam sen ổi</v>
      </c>
      <c r="H1102" s="9" t="str">
        <f>INDEX(Products!$C$2:$C$9,MATCH(D1102,Products!$A$2:$A$9,0))</f>
        <v>Thanh lọc</v>
      </c>
      <c r="I1102" s="11">
        <f>INDEX(Products!$D$2:$D$9,MATCH(D1102,Products!$A$2:$A$9,0))</f>
        <v>8500</v>
      </c>
      <c r="J1102" s="10">
        <f>IFERROR(INDEX(PlatformFees!$C$2:$C$5,MATCH(C1102,PlatformFees!$A$2:$A$5,0)),0)</f>
        <v>0.13</v>
      </c>
      <c r="K1102" s="11">
        <f t="shared" si="68"/>
        <v>17000</v>
      </c>
      <c r="L1102" s="11">
        <f t="shared" si="69"/>
        <v>8047</v>
      </c>
      <c r="M1102" s="11">
        <f t="shared" si="70"/>
        <v>36853</v>
      </c>
      <c r="N1102" s="10">
        <f t="shared" si="71"/>
        <v>0.59536348949919227</v>
      </c>
    </row>
    <row r="1103" spans="1:14" x14ac:dyDescent="0.3">
      <c r="A1103" s="9" t="s">
        <v>1215</v>
      </c>
      <c r="B1103" s="9" t="s">
        <v>1207</v>
      </c>
      <c r="C1103" s="9" t="s">
        <v>36</v>
      </c>
      <c r="D1103" s="9" t="s">
        <v>17</v>
      </c>
      <c r="E1103" s="9">
        <v>1</v>
      </c>
      <c r="F1103" s="11">
        <v>41500</v>
      </c>
      <c r="G1103" s="9" t="str">
        <f>INDEX(Products!$B$2:$B$9,MATCH(D1103,Products!$A$2:$A$9,0))</f>
        <v>Trà diếp cá rau má</v>
      </c>
      <c r="H1103" s="9" t="str">
        <f>INDEX(Products!$C$2:$C$9,MATCH(D1103,Products!$A$2:$A$9,0))</f>
        <v>Detox</v>
      </c>
      <c r="I1103" s="11">
        <f>INDEX(Products!$D$2:$D$9,MATCH(D1103,Products!$A$2:$A$9,0))</f>
        <v>10500</v>
      </c>
      <c r="J1103" s="10">
        <f>IFERROR(INDEX(PlatformFees!$C$2:$C$5,MATCH(C1103,PlatformFees!$A$2:$A$5,0)),0)</f>
        <v>0.13</v>
      </c>
      <c r="K1103" s="11">
        <f t="shared" si="68"/>
        <v>10500</v>
      </c>
      <c r="L1103" s="11">
        <f t="shared" si="69"/>
        <v>5395</v>
      </c>
      <c r="M1103" s="11">
        <f t="shared" si="70"/>
        <v>25605</v>
      </c>
      <c r="N1103" s="10">
        <f t="shared" si="71"/>
        <v>0.61698795180722887</v>
      </c>
    </row>
    <row r="1104" spans="1:14" x14ac:dyDescent="0.3">
      <c r="A1104" s="9" t="s">
        <v>1216</v>
      </c>
      <c r="B1104" s="9" t="s">
        <v>1207</v>
      </c>
      <c r="C1104" s="9" t="s">
        <v>39</v>
      </c>
      <c r="D1104" s="9" t="s">
        <v>30</v>
      </c>
      <c r="E1104" s="9">
        <v>2</v>
      </c>
      <c r="F1104" s="11">
        <v>71100</v>
      </c>
      <c r="G1104" s="9" t="str">
        <f>INDEX(Products!$B$2:$B$9,MATCH(D1104,Products!$A$2:$A$9,0))</f>
        <v>Trà mâm xôi vitamin</v>
      </c>
      <c r="H1104" s="9" t="str">
        <f>INDEX(Products!$C$2:$C$9,MATCH(D1104,Products!$A$2:$A$9,0))</f>
        <v>Bổ sung dưỡng chất</v>
      </c>
      <c r="I1104" s="11">
        <f>INDEX(Products!$D$2:$D$9,MATCH(D1104,Products!$A$2:$A$9,0))</f>
        <v>9800</v>
      </c>
      <c r="J1104" s="10">
        <f>IFERROR(INDEX(PlatformFees!$C$2:$C$5,MATCH(C1104,PlatformFees!$A$2:$A$5,0)),0)</f>
        <v>0</v>
      </c>
      <c r="K1104" s="11">
        <f t="shared" si="68"/>
        <v>19600</v>
      </c>
      <c r="L1104" s="11">
        <f t="shared" si="69"/>
        <v>0</v>
      </c>
      <c r="M1104" s="11">
        <f t="shared" si="70"/>
        <v>51500</v>
      </c>
      <c r="N1104" s="10">
        <f t="shared" si="71"/>
        <v>0.7243319268635724</v>
      </c>
    </row>
    <row r="1105" spans="1:14" x14ac:dyDescent="0.3">
      <c r="A1105" s="9" t="s">
        <v>1217</v>
      </c>
      <c r="B1105" s="9" t="s">
        <v>1207</v>
      </c>
      <c r="C1105" s="9" t="s">
        <v>38</v>
      </c>
      <c r="D1105" s="9" t="s">
        <v>25</v>
      </c>
      <c r="E1105" s="9">
        <v>2</v>
      </c>
      <c r="F1105" s="11">
        <v>63000</v>
      </c>
      <c r="G1105" s="9" t="str">
        <f>INDEX(Products!$B$2:$B$9,MATCH(D1105,Products!$A$2:$A$9,0))</f>
        <v>Trà hoa đậu biếc</v>
      </c>
      <c r="H1105" s="9" t="str">
        <f>INDEX(Products!$C$2:$C$9,MATCH(D1105,Products!$A$2:$A$9,0))</f>
        <v>An thần</v>
      </c>
      <c r="I1105" s="11">
        <f>INDEX(Products!$D$2:$D$9,MATCH(D1105,Products!$A$2:$A$9,0))</f>
        <v>8800</v>
      </c>
      <c r="J1105" s="10">
        <f>IFERROR(INDEX(PlatformFees!$C$2:$C$5,MATCH(C1105,PlatformFees!$A$2:$A$5,0)),0)</f>
        <v>0.16</v>
      </c>
      <c r="K1105" s="11">
        <f t="shared" si="68"/>
        <v>17600</v>
      </c>
      <c r="L1105" s="11">
        <f t="shared" si="69"/>
        <v>10080</v>
      </c>
      <c r="M1105" s="11">
        <f t="shared" si="70"/>
        <v>35320</v>
      </c>
      <c r="N1105" s="10">
        <f t="shared" si="71"/>
        <v>0.5606349206349206</v>
      </c>
    </row>
    <row r="1106" spans="1:14" x14ac:dyDescent="0.3">
      <c r="A1106" s="9" t="s">
        <v>1218</v>
      </c>
      <c r="B1106" s="9" t="s">
        <v>1207</v>
      </c>
      <c r="C1106" s="9" t="s">
        <v>39</v>
      </c>
      <c r="D1106" s="9" t="s">
        <v>15</v>
      </c>
      <c r="E1106" s="9">
        <v>2</v>
      </c>
      <c r="F1106" s="11">
        <v>62000</v>
      </c>
      <c r="G1106" s="9" t="str">
        <f>INDEX(Products!$B$2:$B$9,MATCH(D1106,Products!$A$2:$A$9,0))</f>
        <v>Trà lá nam sen ổi</v>
      </c>
      <c r="H1106" s="9" t="str">
        <f>INDEX(Products!$C$2:$C$9,MATCH(D1106,Products!$A$2:$A$9,0))</f>
        <v>Thanh lọc</v>
      </c>
      <c r="I1106" s="11">
        <f>INDEX(Products!$D$2:$D$9,MATCH(D1106,Products!$A$2:$A$9,0))</f>
        <v>8500</v>
      </c>
      <c r="J1106" s="10">
        <f>IFERROR(INDEX(PlatformFees!$C$2:$C$5,MATCH(C1106,PlatformFees!$A$2:$A$5,0)),0)</f>
        <v>0</v>
      </c>
      <c r="K1106" s="11">
        <f t="shared" si="68"/>
        <v>17000</v>
      </c>
      <c r="L1106" s="11">
        <f t="shared" si="69"/>
        <v>0</v>
      </c>
      <c r="M1106" s="11">
        <f t="shared" si="70"/>
        <v>45000</v>
      </c>
      <c r="N1106" s="10">
        <f t="shared" si="71"/>
        <v>0.72580645161290325</v>
      </c>
    </row>
    <row r="1107" spans="1:14" x14ac:dyDescent="0.3">
      <c r="A1107" s="9" t="s">
        <v>1219</v>
      </c>
      <c r="B1107" s="9" t="s">
        <v>1207</v>
      </c>
      <c r="C1107" s="9" t="s">
        <v>36</v>
      </c>
      <c r="D1107" s="9" t="s">
        <v>22</v>
      </c>
      <c r="E1107" s="9">
        <v>2</v>
      </c>
      <c r="F1107" s="11">
        <v>72300</v>
      </c>
      <c r="G1107" s="9" t="str">
        <f>INDEX(Products!$B$2:$B$9,MATCH(D1107,Products!$A$2:$A$9,0))</f>
        <v>Trà hoa cúc an thần</v>
      </c>
      <c r="H1107" s="9" t="str">
        <f>INDEX(Products!$C$2:$C$9,MATCH(D1107,Products!$A$2:$A$9,0))</f>
        <v>An thần</v>
      </c>
      <c r="I1107" s="11">
        <f>INDEX(Products!$D$2:$D$9,MATCH(D1107,Products!$A$2:$A$9,0))</f>
        <v>9500</v>
      </c>
      <c r="J1107" s="10">
        <f>IFERROR(INDEX(PlatformFees!$C$2:$C$5,MATCH(C1107,PlatformFees!$A$2:$A$5,0)),0)</f>
        <v>0.13</v>
      </c>
      <c r="K1107" s="11">
        <f t="shared" si="68"/>
        <v>19000</v>
      </c>
      <c r="L1107" s="11">
        <f t="shared" si="69"/>
        <v>9399</v>
      </c>
      <c r="M1107" s="11">
        <f t="shared" si="70"/>
        <v>43901</v>
      </c>
      <c r="N1107" s="10">
        <f t="shared" si="71"/>
        <v>0.60720608575380364</v>
      </c>
    </row>
    <row r="1108" spans="1:14" x14ac:dyDescent="0.3">
      <c r="A1108" s="9" t="s">
        <v>1220</v>
      </c>
      <c r="B1108" s="9" t="s">
        <v>1207</v>
      </c>
      <c r="C1108" s="9" t="s">
        <v>36</v>
      </c>
      <c r="D1108" s="9" t="s">
        <v>20</v>
      </c>
      <c r="E1108" s="9">
        <v>2</v>
      </c>
      <c r="F1108" s="11">
        <v>109700</v>
      </c>
      <c r="G1108" s="9" t="str">
        <f>INDEX(Products!$B$2:$B$9,MATCH(D1108,Products!$A$2:$A$9,0))</f>
        <v>Trà cà leo gai giảm cân</v>
      </c>
      <c r="H1108" s="9" t="str">
        <f>INDEX(Products!$C$2:$C$9,MATCH(D1108,Products!$A$2:$A$9,0))</f>
        <v>Detox</v>
      </c>
      <c r="I1108" s="11">
        <f>INDEX(Products!$D$2:$D$9,MATCH(D1108,Products!$A$2:$A$9,0))</f>
        <v>15000</v>
      </c>
      <c r="J1108" s="10">
        <f>IFERROR(INDEX(PlatformFees!$C$2:$C$5,MATCH(C1108,PlatformFees!$A$2:$A$5,0)),0)</f>
        <v>0.13</v>
      </c>
      <c r="K1108" s="11">
        <f t="shared" si="68"/>
        <v>30000</v>
      </c>
      <c r="L1108" s="11">
        <f t="shared" si="69"/>
        <v>14261</v>
      </c>
      <c r="M1108" s="11">
        <f t="shared" si="70"/>
        <v>65439</v>
      </c>
      <c r="N1108" s="10">
        <f t="shared" si="71"/>
        <v>0.59652689152233362</v>
      </c>
    </row>
    <row r="1109" spans="1:14" x14ac:dyDescent="0.3">
      <c r="A1109" s="9" t="s">
        <v>1221</v>
      </c>
      <c r="B1109" s="9" t="s">
        <v>1207</v>
      </c>
      <c r="C1109" s="9" t="s">
        <v>38</v>
      </c>
      <c r="D1109" s="9" t="s">
        <v>22</v>
      </c>
      <c r="E1109" s="9">
        <v>1</v>
      </c>
      <c r="F1109" s="11">
        <v>36000</v>
      </c>
      <c r="G1109" s="9" t="str">
        <f>INDEX(Products!$B$2:$B$9,MATCH(D1109,Products!$A$2:$A$9,0))</f>
        <v>Trà hoa cúc an thần</v>
      </c>
      <c r="H1109" s="9" t="str">
        <f>INDEX(Products!$C$2:$C$9,MATCH(D1109,Products!$A$2:$A$9,0))</f>
        <v>An thần</v>
      </c>
      <c r="I1109" s="11">
        <f>INDEX(Products!$D$2:$D$9,MATCH(D1109,Products!$A$2:$A$9,0))</f>
        <v>9500</v>
      </c>
      <c r="J1109" s="10">
        <f>IFERROR(INDEX(PlatformFees!$C$2:$C$5,MATCH(C1109,PlatformFees!$A$2:$A$5,0)),0)</f>
        <v>0.16</v>
      </c>
      <c r="K1109" s="11">
        <f t="shared" si="68"/>
        <v>9500</v>
      </c>
      <c r="L1109" s="11">
        <f t="shared" si="69"/>
        <v>5760</v>
      </c>
      <c r="M1109" s="11">
        <f t="shared" si="70"/>
        <v>20740</v>
      </c>
      <c r="N1109" s="10">
        <f t="shared" si="71"/>
        <v>0.57611111111111113</v>
      </c>
    </row>
    <row r="1110" spans="1:14" x14ac:dyDescent="0.3">
      <c r="A1110" s="9" t="s">
        <v>1222</v>
      </c>
      <c r="B1110" s="9" t="s">
        <v>1207</v>
      </c>
      <c r="C1110" s="9" t="s">
        <v>36</v>
      </c>
      <c r="D1110" s="9" t="s">
        <v>15</v>
      </c>
      <c r="E1110" s="9">
        <v>1</v>
      </c>
      <c r="F1110" s="11">
        <v>32200</v>
      </c>
      <c r="G1110" s="9" t="str">
        <f>INDEX(Products!$B$2:$B$9,MATCH(D1110,Products!$A$2:$A$9,0))</f>
        <v>Trà lá nam sen ổi</v>
      </c>
      <c r="H1110" s="9" t="str">
        <f>INDEX(Products!$C$2:$C$9,MATCH(D1110,Products!$A$2:$A$9,0))</f>
        <v>Thanh lọc</v>
      </c>
      <c r="I1110" s="11">
        <f>INDEX(Products!$D$2:$D$9,MATCH(D1110,Products!$A$2:$A$9,0))</f>
        <v>8500</v>
      </c>
      <c r="J1110" s="10">
        <f>IFERROR(INDEX(PlatformFees!$C$2:$C$5,MATCH(C1110,PlatformFees!$A$2:$A$5,0)),0)</f>
        <v>0.13</v>
      </c>
      <c r="K1110" s="11">
        <f t="shared" si="68"/>
        <v>8500</v>
      </c>
      <c r="L1110" s="11">
        <f t="shared" si="69"/>
        <v>4186</v>
      </c>
      <c r="M1110" s="11">
        <f t="shared" si="70"/>
        <v>19514</v>
      </c>
      <c r="N1110" s="10">
        <f t="shared" si="71"/>
        <v>0.60602484472049689</v>
      </c>
    </row>
    <row r="1111" spans="1:14" x14ac:dyDescent="0.3">
      <c r="A1111" s="9" t="s">
        <v>1223</v>
      </c>
      <c r="B1111" s="9" t="s">
        <v>1224</v>
      </c>
      <c r="C1111" s="9" t="s">
        <v>38</v>
      </c>
      <c r="D1111" s="9" t="s">
        <v>20</v>
      </c>
      <c r="E1111" s="9">
        <v>1</v>
      </c>
      <c r="F1111" s="11">
        <v>53700</v>
      </c>
      <c r="G1111" s="9" t="str">
        <f>INDEX(Products!$B$2:$B$9,MATCH(D1111,Products!$A$2:$A$9,0))</f>
        <v>Trà cà leo gai giảm cân</v>
      </c>
      <c r="H1111" s="9" t="str">
        <f>INDEX(Products!$C$2:$C$9,MATCH(D1111,Products!$A$2:$A$9,0))</f>
        <v>Detox</v>
      </c>
      <c r="I1111" s="11">
        <f>INDEX(Products!$D$2:$D$9,MATCH(D1111,Products!$A$2:$A$9,0))</f>
        <v>15000</v>
      </c>
      <c r="J1111" s="10">
        <f>IFERROR(INDEX(PlatformFees!$C$2:$C$5,MATCH(C1111,PlatformFees!$A$2:$A$5,0)),0)</f>
        <v>0.16</v>
      </c>
      <c r="K1111" s="11">
        <f t="shared" si="68"/>
        <v>15000</v>
      </c>
      <c r="L1111" s="11">
        <f t="shared" si="69"/>
        <v>8592</v>
      </c>
      <c r="M1111" s="11">
        <f t="shared" si="70"/>
        <v>30108</v>
      </c>
      <c r="N1111" s="10">
        <f t="shared" si="71"/>
        <v>0.56067039106145256</v>
      </c>
    </row>
    <row r="1112" spans="1:14" x14ac:dyDescent="0.3">
      <c r="A1112" s="9" t="s">
        <v>1225</v>
      </c>
      <c r="B1112" s="9" t="s">
        <v>1224</v>
      </c>
      <c r="C1112" s="9" t="s">
        <v>39</v>
      </c>
      <c r="D1112" s="9" t="s">
        <v>12</v>
      </c>
      <c r="E1112" s="9">
        <v>1</v>
      </c>
      <c r="F1112" s="11">
        <v>34300</v>
      </c>
      <c r="G1112" s="9" t="str">
        <f>INDEX(Products!$B$2:$B$9,MATCH(D1112,Products!$A$2:$A$9,0))</f>
        <v>Trà atiso thanh lọc</v>
      </c>
      <c r="H1112" s="9" t="str">
        <f>INDEX(Products!$C$2:$C$9,MATCH(D1112,Products!$A$2:$A$9,0))</f>
        <v>Thanh lọc</v>
      </c>
      <c r="I1112" s="11">
        <f>INDEX(Products!$D$2:$D$9,MATCH(D1112,Products!$A$2:$A$9,0))</f>
        <v>9000</v>
      </c>
      <c r="J1112" s="10">
        <f>IFERROR(INDEX(PlatformFees!$C$2:$C$5,MATCH(C1112,PlatformFees!$A$2:$A$5,0)),0)</f>
        <v>0</v>
      </c>
      <c r="K1112" s="11">
        <f t="shared" si="68"/>
        <v>9000</v>
      </c>
      <c r="L1112" s="11">
        <f t="shared" si="69"/>
        <v>0</v>
      </c>
      <c r="M1112" s="11">
        <f t="shared" si="70"/>
        <v>25300</v>
      </c>
      <c r="N1112" s="10">
        <f t="shared" si="71"/>
        <v>0.73760932944606417</v>
      </c>
    </row>
    <row r="1113" spans="1:14" x14ac:dyDescent="0.3">
      <c r="A1113" s="9" t="s">
        <v>1226</v>
      </c>
      <c r="B1113" s="9" t="s">
        <v>1224</v>
      </c>
      <c r="C1113" s="9" t="s">
        <v>39</v>
      </c>
      <c r="D1113" s="9" t="s">
        <v>22</v>
      </c>
      <c r="E1113" s="9">
        <v>2</v>
      </c>
      <c r="F1113" s="11">
        <v>72800</v>
      </c>
      <c r="G1113" s="9" t="str">
        <f>INDEX(Products!$B$2:$B$9,MATCH(D1113,Products!$A$2:$A$9,0))</f>
        <v>Trà hoa cúc an thần</v>
      </c>
      <c r="H1113" s="9" t="str">
        <f>INDEX(Products!$C$2:$C$9,MATCH(D1113,Products!$A$2:$A$9,0))</f>
        <v>An thần</v>
      </c>
      <c r="I1113" s="11">
        <f>INDEX(Products!$D$2:$D$9,MATCH(D1113,Products!$A$2:$A$9,0))</f>
        <v>9500</v>
      </c>
      <c r="J1113" s="10">
        <f>IFERROR(INDEX(PlatformFees!$C$2:$C$5,MATCH(C1113,PlatformFees!$A$2:$A$5,0)),0)</f>
        <v>0</v>
      </c>
      <c r="K1113" s="11">
        <f t="shared" si="68"/>
        <v>19000</v>
      </c>
      <c r="L1113" s="11">
        <f t="shared" si="69"/>
        <v>0</v>
      </c>
      <c r="M1113" s="11">
        <f t="shared" si="70"/>
        <v>53800</v>
      </c>
      <c r="N1113" s="10">
        <f t="shared" si="71"/>
        <v>0.73901098901098905</v>
      </c>
    </row>
    <row r="1114" spans="1:14" x14ac:dyDescent="0.3">
      <c r="A1114" s="9" t="s">
        <v>1227</v>
      </c>
      <c r="B1114" s="9" t="s">
        <v>1224</v>
      </c>
      <c r="C1114" s="9" t="s">
        <v>40</v>
      </c>
      <c r="D1114" s="9" t="s">
        <v>15</v>
      </c>
      <c r="E1114" s="9">
        <v>2</v>
      </c>
      <c r="F1114" s="11">
        <v>65700</v>
      </c>
      <c r="G1114" s="9" t="str">
        <f>INDEX(Products!$B$2:$B$9,MATCH(D1114,Products!$A$2:$A$9,0))</f>
        <v>Trà lá nam sen ổi</v>
      </c>
      <c r="H1114" s="9" t="str">
        <f>INDEX(Products!$C$2:$C$9,MATCH(D1114,Products!$A$2:$A$9,0))</f>
        <v>Thanh lọc</v>
      </c>
      <c r="I1114" s="11">
        <f>INDEX(Products!$D$2:$D$9,MATCH(D1114,Products!$A$2:$A$9,0))</f>
        <v>8500</v>
      </c>
      <c r="J1114" s="10">
        <f>IFERROR(INDEX(PlatformFees!$C$2:$C$5,MATCH(C1114,PlatformFees!$A$2:$A$5,0)),0)</f>
        <v>0</v>
      </c>
      <c r="K1114" s="11">
        <f t="shared" si="68"/>
        <v>17000</v>
      </c>
      <c r="L1114" s="11">
        <f t="shared" si="69"/>
        <v>0</v>
      </c>
      <c r="M1114" s="11">
        <f t="shared" si="70"/>
        <v>48700</v>
      </c>
      <c r="N1114" s="10">
        <f t="shared" si="71"/>
        <v>0.74124809741248099</v>
      </c>
    </row>
    <row r="1115" spans="1:14" x14ac:dyDescent="0.3">
      <c r="A1115" s="9" t="s">
        <v>1228</v>
      </c>
      <c r="B1115" s="9" t="s">
        <v>1224</v>
      </c>
      <c r="C1115" s="9" t="s">
        <v>38</v>
      </c>
      <c r="D1115" s="9" t="s">
        <v>20</v>
      </c>
      <c r="E1115" s="9">
        <v>1</v>
      </c>
      <c r="F1115" s="11">
        <v>52200</v>
      </c>
      <c r="G1115" s="9" t="str">
        <f>INDEX(Products!$B$2:$B$9,MATCH(D1115,Products!$A$2:$A$9,0))</f>
        <v>Trà cà leo gai giảm cân</v>
      </c>
      <c r="H1115" s="9" t="str">
        <f>INDEX(Products!$C$2:$C$9,MATCH(D1115,Products!$A$2:$A$9,0))</f>
        <v>Detox</v>
      </c>
      <c r="I1115" s="11">
        <f>INDEX(Products!$D$2:$D$9,MATCH(D1115,Products!$A$2:$A$9,0))</f>
        <v>15000</v>
      </c>
      <c r="J1115" s="10">
        <f>IFERROR(INDEX(PlatformFees!$C$2:$C$5,MATCH(C1115,PlatformFees!$A$2:$A$5,0)),0)</f>
        <v>0.16</v>
      </c>
      <c r="K1115" s="11">
        <f t="shared" si="68"/>
        <v>15000</v>
      </c>
      <c r="L1115" s="11">
        <f t="shared" si="69"/>
        <v>8352</v>
      </c>
      <c r="M1115" s="11">
        <f t="shared" si="70"/>
        <v>28848</v>
      </c>
      <c r="N1115" s="10">
        <f t="shared" si="71"/>
        <v>0.55264367816091953</v>
      </c>
    </row>
    <row r="1116" spans="1:14" x14ac:dyDescent="0.3">
      <c r="A1116" s="9" t="s">
        <v>1229</v>
      </c>
      <c r="B1116" s="9" t="s">
        <v>1224</v>
      </c>
      <c r="C1116" s="9" t="s">
        <v>36</v>
      </c>
      <c r="D1116" s="9" t="s">
        <v>15</v>
      </c>
      <c r="E1116" s="9">
        <v>1</v>
      </c>
      <c r="F1116" s="11">
        <v>31200</v>
      </c>
      <c r="G1116" s="9" t="str">
        <f>INDEX(Products!$B$2:$B$9,MATCH(D1116,Products!$A$2:$A$9,0))</f>
        <v>Trà lá nam sen ổi</v>
      </c>
      <c r="H1116" s="9" t="str">
        <f>INDEX(Products!$C$2:$C$9,MATCH(D1116,Products!$A$2:$A$9,0))</f>
        <v>Thanh lọc</v>
      </c>
      <c r="I1116" s="11">
        <f>INDEX(Products!$D$2:$D$9,MATCH(D1116,Products!$A$2:$A$9,0))</f>
        <v>8500</v>
      </c>
      <c r="J1116" s="10">
        <f>IFERROR(INDEX(PlatformFees!$C$2:$C$5,MATCH(C1116,PlatformFees!$A$2:$A$5,0)),0)</f>
        <v>0.13</v>
      </c>
      <c r="K1116" s="11">
        <f t="shared" si="68"/>
        <v>8500</v>
      </c>
      <c r="L1116" s="11">
        <f t="shared" si="69"/>
        <v>4056</v>
      </c>
      <c r="M1116" s="11">
        <f t="shared" si="70"/>
        <v>18644</v>
      </c>
      <c r="N1116" s="10">
        <f t="shared" si="71"/>
        <v>0.59756410256410253</v>
      </c>
    </row>
    <row r="1117" spans="1:14" x14ac:dyDescent="0.3">
      <c r="A1117" s="9" t="s">
        <v>1230</v>
      </c>
      <c r="B1117" s="9" t="s">
        <v>1224</v>
      </c>
      <c r="C1117" s="9" t="s">
        <v>36</v>
      </c>
      <c r="D1117" s="9" t="s">
        <v>15</v>
      </c>
      <c r="E1117" s="9">
        <v>2</v>
      </c>
      <c r="F1117" s="11">
        <v>65600</v>
      </c>
      <c r="G1117" s="9" t="str">
        <f>INDEX(Products!$B$2:$B$9,MATCH(D1117,Products!$A$2:$A$9,0))</f>
        <v>Trà lá nam sen ổi</v>
      </c>
      <c r="H1117" s="9" t="str">
        <f>INDEX(Products!$C$2:$C$9,MATCH(D1117,Products!$A$2:$A$9,0))</f>
        <v>Thanh lọc</v>
      </c>
      <c r="I1117" s="11">
        <f>INDEX(Products!$D$2:$D$9,MATCH(D1117,Products!$A$2:$A$9,0))</f>
        <v>8500</v>
      </c>
      <c r="J1117" s="10">
        <f>IFERROR(INDEX(PlatformFees!$C$2:$C$5,MATCH(C1117,PlatformFees!$A$2:$A$5,0)),0)</f>
        <v>0.13</v>
      </c>
      <c r="K1117" s="11">
        <f t="shared" si="68"/>
        <v>17000</v>
      </c>
      <c r="L1117" s="11">
        <f t="shared" si="69"/>
        <v>8528</v>
      </c>
      <c r="M1117" s="11">
        <f t="shared" si="70"/>
        <v>40072</v>
      </c>
      <c r="N1117" s="10">
        <f t="shared" si="71"/>
        <v>0.61085365853658535</v>
      </c>
    </row>
    <row r="1118" spans="1:14" x14ac:dyDescent="0.3">
      <c r="A1118" s="9" t="s">
        <v>1231</v>
      </c>
      <c r="B1118" s="9" t="s">
        <v>1224</v>
      </c>
      <c r="C1118" s="9" t="s">
        <v>39</v>
      </c>
      <c r="D1118" s="9" t="s">
        <v>27</v>
      </c>
      <c r="E1118" s="9">
        <v>2</v>
      </c>
      <c r="F1118" s="11">
        <v>75800</v>
      </c>
      <c r="G1118" s="9" t="str">
        <f>INDEX(Products!$B$2:$B$9,MATCH(D1118,Products!$A$2:$A$9,0))</f>
        <v>Trà gừng mật ong</v>
      </c>
      <c r="H1118" s="9" t="str">
        <f>INDEX(Products!$C$2:$C$9,MATCH(D1118,Products!$A$2:$A$9,0))</f>
        <v>Giữ ấm</v>
      </c>
      <c r="I1118" s="11">
        <f>INDEX(Products!$D$2:$D$9,MATCH(D1118,Products!$A$2:$A$9,0))</f>
        <v>11000</v>
      </c>
      <c r="J1118" s="10">
        <f>IFERROR(INDEX(PlatformFees!$C$2:$C$5,MATCH(C1118,PlatformFees!$A$2:$A$5,0)),0)</f>
        <v>0</v>
      </c>
      <c r="K1118" s="11">
        <f t="shared" si="68"/>
        <v>22000</v>
      </c>
      <c r="L1118" s="11">
        <f t="shared" si="69"/>
        <v>0</v>
      </c>
      <c r="M1118" s="11">
        <f t="shared" si="70"/>
        <v>53800</v>
      </c>
      <c r="N1118" s="10">
        <f t="shared" si="71"/>
        <v>0.70976253298153036</v>
      </c>
    </row>
    <row r="1119" spans="1:14" x14ac:dyDescent="0.3">
      <c r="A1119" s="9" t="s">
        <v>1232</v>
      </c>
      <c r="B1119" s="9" t="s">
        <v>1224</v>
      </c>
      <c r="C1119" s="9" t="s">
        <v>36</v>
      </c>
      <c r="D1119" s="9" t="s">
        <v>17</v>
      </c>
      <c r="E1119" s="9">
        <v>2</v>
      </c>
      <c r="F1119" s="11">
        <v>84400</v>
      </c>
      <c r="G1119" s="9" t="str">
        <f>INDEX(Products!$B$2:$B$9,MATCH(D1119,Products!$A$2:$A$9,0))</f>
        <v>Trà diếp cá rau má</v>
      </c>
      <c r="H1119" s="9" t="str">
        <f>INDEX(Products!$C$2:$C$9,MATCH(D1119,Products!$A$2:$A$9,0))</f>
        <v>Detox</v>
      </c>
      <c r="I1119" s="11">
        <f>INDEX(Products!$D$2:$D$9,MATCH(D1119,Products!$A$2:$A$9,0))</f>
        <v>10500</v>
      </c>
      <c r="J1119" s="10">
        <f>IFERROR(INDEX(PlatformFees!$C$2:$C$5,MATCH(C1119,PlatformFees!$A$2:$A$5,0)),0)</f>
        <v>0.13</v>
      </c>
      <c r="K1119" s="11">
        <f t="shared" si="68"/>
        <v>21000</v>
      </c>
      <c r="L1119" s="11">
        <f t="shared" si="69"/>
        <v>10972</v>
      </c>
      <c r="M1119" s="11">
        <f t="shared" si="70"/>
        <v>52428</v>
      </c>
      <c r="N1119" s="10">
        <f t="shared" si="71"/>
        <v>0.62118483412322278</v>
      </c>
    </row>
    <row r="1120" spans="1:14" x14ac:dyDescent="0.3">
      <c r="A1120" s="9" t="s">
        <v>1233</v>
      </c>
      <c r="B1120" s="9" t="s">
        <v>1224</v>
      </c>
      <c r="C1120" s="9" t="s">
        <v>39</v>
      </c>
      <c r="D1120" s="9" t="s">
        <v>30</v>
      </c>
      <c r="E1120" s="9">
        <v>2</v>
      </c>
      <c r="F1120" s="11">
        <v>71600</v>
      </c>
      <c r="G1120" s="9" t="str">
        <f>INDEX(Products!$B$2:$B$9,MATCH(D1120,Products!$A$2:$A$9,0))</f>
        <v>Trà mâm xôi vitamin</v>
      </c>
      <c r="H1120" s="9" t="str">
        <f>INDEX(Products!$C$2:$C$9,MATCH(D1120,Products!$A$2:$A$9,0))</f>
        <v>Bổ sung dưỡng chất</v>
      </c>
      <c r="I1120" s="11">
        <f>INDEX(Products!$D$2:$D$9,MATCH(D1120,Products!$A$2:$A$9,0))</f>
        <v>9800</v>
      </c>
      <c r="J1120" s="10">
        <f>IFERROR(INDEX(PlatformFees!$C$2:$C$5,MATCH(C1120,PlatformFees!$A$2:$A$5,0)),0)</f>
        <v>0</v>
      </c>
      <c r="K1120" s="11">
        <f t="shared" si="68"/>
        <v>19600</v>
      </c>
      <c r="L1120" s="11">
        <f t="shared" si="69"/>
        <v>0</v>
      </c>
      <c r="M1120" s="11">
        <f t="shared" si="70"/>
        <v>52000</v>
      </c>
      <c r="N1120" s="10">
        <f t="shared" si="71"/>
        <v>0.72625698324022347</v>
      </c>
    </row>
    <row r="1121" spans="1:14" x14ac:dyDescent="0.3">
      <c r="A1121" s="9" t="s">
        <v>1234</v>
      </c>
      <c r="B1121" s="9" t="s">
        <v>1224</v>
      </c>
      <c r="C1121" s="9" t="s">
        <v>39</v>
      </c>
      <c r="D1121" s="9" t="s">
        <v>30</v>
      </c>
      <c r="E1121" s="9">
        <v>2</v>
      </c>
      <c r="F1121" s="11">
        <v>67200</v>
      </c>
      <c r="G1121" s="9" t="str">
        <f>INDEX(Products!$B$2:$B$9,MATCH(D1121,Products!$A$2:$A$9,0))</f>
        <v>Trà mâm xôi vitamin</v>
      </c>
      <c r="H1121" s="9" t="str">
        <f>INDEX(Products!$C$2:$C$9,MATCH(D1121,Products!$A$2:$A$9,0))</f>
        <v>Bổ sung dưỡng chất</v>
      </c>
      <c r="I1121" s="11">
        <f>INDEX(Products!$D$2:$D$9,MATCH(D1121,Products!$A$2:$A$9,0))</f>
        <v>9800</v>
      </c>
      <c r="J1121" s="10">
        <f>IFERROR(INDEX(PlatformFees!$C$2:$C$5,MATCH(C1121,PlatformFees!$A$2:$A$5,0)),0)</f>
        <v>0</v>
      </c>
      <c r="K1121" s="11">
        <f t="shared" si="68"/>
        <v>19600</v>
      </c>
      <c r="L1121" s="11">
        <f t="shared" si="69"/>
        <v>0</v>
      </c>
      <c r="M1121" s="11">
        <f t="shared" si="70"/>
        <v>47600</v>
      </c>
      <c r="N1121" s="10">
        <f t="shared" si="71"/>
        <v>0.70833333333333337</v>
      </c>
    </row>
    <row r="1122" spans="1:14" x14ac:dyDescent="0.3">
      <c r="A1122" s="9" t="s">
        <v>1235</v>
      </c>
      <c r="B1122" s="9" t="s">
        <v>1224</v>
      </c>
      <c r="C1122" s="9" t="s">
        <v>36</v>
      </c>
      <c r="D1122" s="9" t="s">
        <v>22</v>
      </c>
      <c r="E1122" s="9">
        <v>1</v>
      </c>
      <c r="F1122" s="11">
        <v>37800</v>
      </c>
      <c r="G1122" s="9" t="str">
        <f>INDEX(Products!$B$2:$B$9,MATCH(D1122,Products!$A$2:$A$9,0))</f>
        <v>Trà hoa cúc an thần</v>
      </c>
      <c r="H1122" s="9" t="str">
        <f>INDEX(Products!$C$2:$C$9,MATCH(D1122,Products!$A$2:$A$9,0))</f>
        <v>An thần</v>
      </c>
      <c r="I1122" s="11">
        <f>INDEX(Products!$D$2:$D$9,MATCH(D1122,Products!$A$2:$A$9,0))</f>
        <v>9500</v>
      </c>
      <c r="J1122" s="10">
        <f>IFERROR(INDEX(PlatformFees!$C$2:$C$5,MATCH(C1122,PlatformFees!$A$2:$A$5,0)),0)</f>
        <v>0.13</v>
      </c>
      <c r="K1122" s="11">
        <f t="shared" si="68"/>
        <v>9500</v>
      </c>
      <c r="L1122" s="11">
        <f t="shared" si="69"/>
        <v>4914</v>
      </c>
      <c r="M1122" s="11">
        <f t="shared" si="70"/>
        <v>23386</v>
      </c>
      <c r="N1122" s="10">
        <f t="shared" si="71"/>
        <v>0.61867724867724871</v>
      </c>
    </row>
    <row r="1123" spans="1:14" x14ac:dyDescent="0.3">
      <c r="A1123" s="9" t="s">
        <v>1236</v>
      </c>
      <c r="B1123" s="9" t="s">
        <v>1224</v>
      </c>
      <c r="C1123" s="9" t="s">
        <v>36</v>
      </c>
      <c r="D1123" s="9" t="s">
        <v>17</v>
      </c>
      <c r="E1123" s="9">
        <v>1</v>
      </c>
      <c r="F1123" s="11">
        <v>41000</v>
      </c>
      <c r="G1123" s="9" t="str">
        <f>INDEX(Products!$B$2:$B$9,MATCH(D1123,Products!$A$2:$A$9,0))</f>
        <v>Trà diếp cá rau má</v>
      </c>
      <c r="H1123" s="9" t="str">
        <f>INDEX(Products!$C$2:$C$9,MATCH(D1123,Products!$A$2:$A$9,0))</f>
        <v>Detox</v>
      </c>
      <c r="I1123" s="11">
        <f>INDEX(Products!$D$2:$D$9,MATCH(D1123,Products!$A$2:$A$9,0))</f>
        <v>10500</v>
      </c>
      <c r="J1123" s="10">
        <f>IFERROR(INDEX(PlatformFees!$C$2:$C$5,MATCH(C1123,PlatformFees!$A$2:$A$5,0)),0)</f>
        <v>0.13</v>
      </c>
      <c r="K1123" s="11">
        <f t="shared" si="68"/>
        <v>10500</v>
      </c>
      <c r="L1123" s="11">
        <f t="shared" si="69"/>
        <v>5330</v>
      </c>
      <c r="M1123" s="11">
        <f t="shared" si="70"/>
        <v>25170</v>
      </c>
      <c r="N1123" s="10">
        <f t="shared" si="71"/>
        <v>0.61390243902439023</v>
      </c>
    </row>
    <row r="1124" spans="1:14" x14ac:dyDescent="0.3">
      <c r="A1124" s="9" t="s">
        <v>1237</v>
      </c>
      <c r="B1124" s="9" t="s">
        <v>1224</v>
      </c>
      <c r="C1124" s="9" t="s">
        <v>36</v>
      </c>
      <c r="D1124" s="9" t="s">
        <v>27</v>
      </c>
      <c r="E1124" s="9">
        <v>1</v>
      </c>
      <c r="F1124" s="11">
        <v>38100</v>
      </c>
      <c r="G1124" s="9" t="str">
        <f>INDEX(Products!$B$2:$B$9,MATCH(D1124,Products!$A$2:$A$9,0))</f>
        <v>Trà gừng mật ong</v>
      </c>
      <c r="H1124" s="9" t="str">
        <f>INDEX(Products!$C$2:$C$9,MATCH(D1124,Products!$A$2:$A$9,0))</f>
        <v>Giữ ấm</v>
      </c>
      <c r="I1124" s="11">
        <f>INDEX(Products!$D$2:$D$9,MATCH(D1124,Products!$A$2:$A$9,0))</f>
        <v>11000</v>
      </c>
      <c r="J1124" s="10">
        <f>IFERROR(INDEX(PlatformFees!$C$2:$C$5,MATCH(C1124,PlatformFees!$A$2:$A$5,0)),0)</f>
        <v>0.13</v>
      </c>
      <c r="K1124" s="11">
        <f t="shared" si="68"/>
        <v>11000</v>
      </c>
      <c r="L1124" s="11">
        <f t="shared" si="69"/>
        <v>4953</v>
      </c>
      <c r="M1124" s="11">
        <f t="shared" si="70"/>
        <v>22147</v>
      </c>
      <c r="N1124" s="10">
        <f t="shared" si="71"/>
        <v>0.58128608923884517</v>
      </c>
    </row>
    <row r="1125" spans="1:14" x14ac:dyDescent="0.3">
      <c r="A1125" s="9" t="s">
        <v>1238</v>
      </c>
      <c r="B1125" s="9" t="s">
        <v>1224</v>
      </c>
      <c r="C1125" s="9" t="s">
        <v>36</v>
      </c>
      <c r="D1125" s="9" t="s">
        <v>25</v>
      </c>
      <c r="E1125" s="9">
        <v>1</v>
      </c>
      <c r="F1125" s="11">
        <v>31600</v>
      </c>
      <c r="G1125" s="9" t="str">
        <f>INDEX(Products!$B$2:$B$9,MATCH(D1125,Products!$A$2:$A$9,0))</f>
        <v>Trà hoa đậu biếc</v>
      </c>
      <c r="H1125" s="9" t="str">
        <f>INDEX(Products!$C$2:$C$9,MATCH(D1125,Products!$A$2:$A$9,0))</f>
        <v>An thần</v>
      </c>
      <c r="I1125" s="11">
        <f>INDEX(Products!$D$2:$D$9,MATCH(D1125,Products!$A$2:$A$9,0))</f>
        <v>8800</v>
      </c>
      <c r="J1125" s="10">
        <f>IFERROR(INDEX(PlatformFees!$C$2:$C$5,MATCH(C1125,PlatformFees!$A$2:$A$5,0)),0)</f>
        <v>0.13</v>
      </c>
      <c r="K1125" s="11">
        <f t="shared" si="68"/>
        <v>8800</v>
      </c>
      <c r="L1125" s="11">
        <f t="shared" si="69"/>
        <v>4108</v>
      </c>
      <c r="M1125" s="11">
        <f t="shared" si="70"/>
        <v>18692</v>
      </c>
      <c r="N1125" s="10">
        <f t="shared" si="71"/>
        <v>0.59151898734177211</v>
      </c>
    </row>
    <row r="1126" spans="1:14" x14ac:dyDescent="0.3">
      <c r="A1126" s="9" t="s">
        <v>1239</v>
      </c>
      <c r="B1126" s="9" t="s">
        <v>1240</v>
      </c>
      <c r="C1126" s="9" t="s">
        <v>38</v>
      </c>
      <c r="D1126" s="9" t="s">
        <v>17</v>
      </c>
      <c r="E1126" s="9">
        <v>2</v>
      </c>
      <c r="F1126" s="11">
        <v>79800</v>
      </c>
      <c r="G1126" s="9" t="str">
        <f>INDEX(Products!$B$2:$B$9,MATCH(D1126,Products!$A$2:$A$9,0))</f>
        <v>Trà diếp cá rau má</v>
      </c>
      <c r="H1126" s="9" t="str">
        <f>INDEX(Products!$C$2:$C$9,MATCH(D1126,Products!$A$2:$A$9,0))</f>
        <v>Detox</v>
      </c>
      <c r="I1126" s="11">
        <f>INDEX(Products!$D$2:$D$9,MATCH(D1126,Products!$A$2:$A$9,0))</f>
        <v>10500</v>
      </c>
      <c r="J1126" s="10">
        <f>IFERROR(INDEX(PlatformFees!$C$2:$C$5,MATCH(C1126,PlatformFees!$A$2:$A$5,0)),0)</f>
        <v>0.16</v>
      </c>
      <c r="K1126" s="11">
        <f t="shared" si="68"/>
        <v>21000</v>
      </c>
      <c r="L1126" s="11">
        <f t="shared" si="69"/>
        <v>12768</v>
      </c>
      <c r="M1126" s="11">
        <f t="shared" si="70"/>
        <v>46032</v>
      </c>
      <c r="N1126" s="10">
        <f t="shared" si="71"/>
        <v>0.57684210526315793</v>
      </c>
    </row>
    <row r="1127" spans="1:14" x14ac:dyDescent="0.3">
      <c r="A1127" s="9" t="s">
        <v>1241</v>
      </c>
      <c r="B1127" s="9" t="s">
        <v>1240</v>
      </c>
      <c r="C1127" s="9" t="s">
        <v>40</v>
      </c>
      <c r="D1127" s="9" t="s">
        <v>25</v>
      </c>
      <c r="E1127" s="9">
        <v>1</v>
      </c>
      <c r="F1127" s="11">
        <v>33100</v>
      </c>
      <c r="G1127" s="9" t="str">
        <f>INDEX(Products!$B$2:$B$9,MATCH(D1127,Products!$A$2:$A$9,0))</f>
        <v>Trà hoa đậu biếc</v>
      </c>
      <c r="H1127" s="9" t="str">
        <f>INDEX(Products!$C$2:$C$9,MATCH(D1127,Products!$A$2:$A$9,0))</f>
        <v>An thần</v>
      </c>
      <c r="I1127" s="11">
        <f>INDEX(Products!$D$2:$D$9,MATCH(D1127,Products!$A$2:$A$9,0))</f>
        <v>8800</v>
      </c>
      <c r="J1127" s="10">
        <f>IFERROR(INDEX(PlatformFees!$C$2:$C$5,MATCH(C1127,PlatformFees!$A$2:$A$5,0)),0)</f>
        <v>0</v>
      </c>
      <c r="K1127" s="11">
        <f t="shared" si="68"/>
        <v>8800</v>
      </c>
      <c r="L1127" s="11">
        <f t="shared" si="69"/>
        <v>0</v>
      </c>
      <c r="M1127" s="11">
        <f t="shared" si="70"/>
        <v>24300</v>
      </c>
      <c r="N1127" s="10">
        <f t="shared" si="71"/>
        <v>0.73413897280966767</v>
      </c>
    </row>
    <row r="1128" spans="1:14" x14ac:dyDescent="0.3">
      <c r="A1128" s="9" t="s">
        <v>1242</v>
      </c>
      <c r="B1128" s="9" t="s">
        <v>1240</v>
      </c>
      <c r="C1128" s="9" t="s">
        <v>36</v>
      </c>
      <c r="D1128" s="9" t="s">
        <v>25</v>
      </c>
      <c r="E1128" s="9">
        <v>1</v>
      </c>
      <c r="F1128" s="11">
        <v>32100</v>
      </c>
      <c r="G1128" s="9" t="str">
        <f>INDEX(Products!$B$2:$B$9,MATCH(D1128,Products!$A$2:$A$9,0))</f>
        <v>Trà hoa đậu biếc</v>
      </c>
      <c r="H1128" s="9" t="str">
        <f>INDEX(Products!$C$2:$C$9,MATCH(D1128,Products!$A$2:$A$9,0))</f>
        <v>An thần</v>
      </c>
      <c r="I1128" s="11">
        <f>INDEX(Products!$D$2:$D$9,MATCH(D1128,Products!$A$2:$A$9,0))</f>
        <v>8800</v>
      </c>
      <c r="J1128" s="10">
        <f>IFERROR(INDEX(PlatformFees!$C$2:$C$5,MATCH(C1128,PlatformFees!$A$2:$A$5,0)),0)</f>
        <v>0.13</v>
      </c>
      <c r="K1128" s="11">
        <f t="shared" si="68"/>
        <v>8800</v>
      </c>
      <c r="L1128" s="11">
        <f t="shared" si="69"/>
        <v>4173</v>
      </c>
      <c r="M1128" s="11">
        <f t="shared" si="70"/>
        <v>19127</v>
      </c>
      <c r="N1128" s="10">
        <f t="shared" si="71"/>
        <v>0.59585669781931461</v>
      </c>
    </row>
    <row r="1129" spans="1:14" x14ac:dyDescent="0.3">
      <c r="A1129" s="9" t="s">
        <v>1243</v>
      </c>
      <c r="B1129" s="9" t="s">
        <v>1240</v>
      </c>
      <c r="C1129" s="9" t="s">
        <v>36</v>
      </c>
      <c r="D1129" s="9" t="s">
        <v>17</v>
      </c>
      <c r="E1129" s="9">
        <v>2</v>
      </c>
      <c r="F1129" s="11">
        <v>80600</v>
      </c>
      <c r="G1129" s="9" t="str">
        <f>INDEX(Products!$B$2:$B$9,MATCH(D1129,Products!$A$2:$A$9,0))</f>
        <v>Trà diếp cá rau má</v>
      </c>
      <c r="H1129" s="9" t="str">
        <f>INDEX(Products!$C$2:$C$9,MATCH(D1129,Products!$A$2:$A$9,0))</f>
        <v>Detox</v>
      </c>
      <c r="I1129" s="11">
        <f>INDEX(Products!$D$2:$D$9,MATCH(D1129,Products!$A$2:$A$9,0))</f>
        <v>10500</v>
      </c>
      <c r="J1129" s="10">
        <f>IFERROR(INDEX(PlatformFees!$C$2:$C$5,MATCH(C1129,PlatformFees!$A$2:$A$5,0)),0)</f>
        <v>0.13</v>
      </c>
      <c r="K1129" s="11">
        <f t="shared" si="68"/>
        <v>21000</v>
      </c>
      <c r="L1129" s="11">
        <f t="shared" si="69"/>
        <v>10478</v>
      </c>
      <c r="M1129" s="11">
        <f t="shared" si="70"/>
        <v>49122</v>
      </c>
      <c r="N1129" s="10">
        <f t="shared" si="71"/>
        <v>0.60945409429280395</v>
      </c>
    </row>
    <row r="1130" spans="1:14" x14ac:dyDescent="0.3">
      <c r="A1130" s="9" t="s">
        <v>1244</v>
      </c>
      <c r="B1130" s="9" t="s">
        <v>1240</v>
      </c>
      <c r="C1130" s="9" t="s">
        <v>39</v>
      </c>
      <c r="D1130" s="9" t="s">
        <v>12</v>
      </c>
      <c r="E1130" s="9">
        <v>1</v>
      </c>
      <c r="F1130" s="11">
        <v>34800</v>
      </c>
      <c r="G1130" s="9" t="str">
        <f>INDEX(Products!$B$2:$B$9,MATCH(D1130,Products!$A$2:$A$9,0))</f>
        <v>Trà atiso thanh lọc</v>
      </c>
      <c r="H1130" s="9" t="str">
        <f>INDEX(Products!$C$2:$C$9,MATCH(D1130,Products!$A$2:$A$9,0))</f>
        <v>Thanh lọc</v>
      </c>
      <c r="I1130" s="11">
        <f>INDEX(Products!$D$2:$D$9,MATCH(D1130,Products!$A$2:$A$9,0))</f>
        <v>9000</v>
      </c>
      <c r="J1130" s="10">
        <f>IFERROR(INDEX(PlatformFees!$C$2:$C$5,MATCH(C1130,PlatformFees!$A$2:$A$5,0)),0)</f>
        <v>0</v>
      </c>
      <c r="K1130" s="11">
        <f t="shared" si="68"/>
        <v>9000</v>
      </c>
      <c r="L1130" s="11">
        <f t="shared" si="69"/>
        <v>0</v>
      </c>
      <c r="M1130" s="11">
        <f t="shared" si="70"/>
        <v>25800</v>
      </c>
      <c r="N1130" s="10">
        <f t="shared" si="71"/>
        <v>0.74137931034482762</v>
      </c>
    </row>
    <row r="1131" spans="1:14" x14ac:dyDescent="0.3">
      <c r="A1131" s="9" t="s">
        <v>1245</v>
      </c>
      <c r="B1131" s="9" t="s">
        <v>1240</v>
      </c>
      <c r="C1131" s="9" t="s">
        <v>38</v>
      </c>
      <c r="D1131" s="9" t="s">
        <v>22</v>
      </c>
      <c r="E1131" s="9">
        <v>2</v>
      </c>
      <c r="F1131" s="11">
        <v>77900</v>
      </c>
      <c r="G1131" s="9" t="str">
        <f>INDEX(Products!$B$2:$B$9,MATCH(D1131,Products!$A$2:$A$9,0))</f>
        <v>Trà hoa cúc an thần</v>
      </c>
      <c r="H1131" s="9" t="str">
        <f>INDEX(Products!$C$2:$C$9,MATCH(D1131,Products!$A$2:$A$9,0))</f>
        <v>An thần</v>
      </c>
      <c r="I1131" s="11">
        <f>INDEX(Products!$D$2:$D$9,MATCH(D1131,Products!$A$2:$A$9,0))</f>
        <v>9500</v>
      </c>
      <c r="J1131" s="10">
        <f>IFERROR(INDEX(PlatformFees!$C$2:$C$5,MATCH(C1131,PlatformFees!$A$2:$A$5,0)),0)</f>
        <v>0.16</v>
      </c>
      <c r="K1131" s="11">
        <f t="shared" si="68"/>
        <v>19000</v>
      </c>
      <c r="L1131" s="11">
        <f t="shared" si="69"/>
        <v>12464</v>
      </c>
      <c r="M1131" s="11">
        <f t="shared" si="70"/>
        <v>46436</v>
      </c>
      <c r="N1131" s="10">
        <f t="shared" si="71"/>
        <v>0.59609756097560973</v>
      </c>
    </row>
    <row r="1132" spans="1:14" x14ac:dyDescent="0.3">
      <c r="A1132" s="9" t="s">
        <v>1246</v>
      </c>
      <c r="B1132" s="9" t="s">
        <v>1240</v>
      </c>
      <c r="C1132" s="9" t="s">
        <v>39</v>
      </c>
      <c r="D1132" s="9" t="s">
        <v>20</v>
      </c>
      <c r="E1132" s="9">
        <v>1</v>
      </c>
      <c r="F1132" s="11">
        <v>53600</v>
      </c>
      <c r="G1132" s="9" t="str">
        <f>INDEX(Products!$B$2:$B$9,MATCH(D1132,Products!$A$2:$A$9,0))</f>
        <v>Trà cà leo gai giảm cân</v>
      </c>
      <c r="H1132" s="9" t="str">
        <f>INDEX(Products!$C$2:$C$9,MATCH(D1132,Products!$A$2:$A$9,0))</f>
        <v>Detox</v>
      </c>
      <c r="I1132" s="11">
        <f>INDEX(Products!$D$2:$D$9,MATCH(D1132,Products!$A$2:$A$9,0))</f>
        <v>15000</v>
      </c>
      <c r="J1132" s="10">
        <f>IFERROR(INDEX(PlatformFees!$C$2:$C$5,MATCH(C1132,PlatformFees!$A$2:$A$5,0)),0)</f>
        <v>0</v>
      </c>
      <c r="K1132" s="11">
        <f t="shared" si="68"/>
        <v>15000</v>
      </c>
      <c r="L1132" s="11">
        <f t="shared" si="69"/>
        <v>0</v>
      </c>
      <c r="M1132" s="11">
        <f t="shared" si="70"/>
        <v>38600</v>
      </c>
      <c r="N1132" s="10">
        <f t="shared" si="71"/>
        <v>0.72014925373134331</v>
      </c>
    </row>
    <row r="1133" spans="1:14" x14ac:dyDescent="0.3">
      <c r="A1133" s="9" t="s">
        <v>1247</v>
      </c>
      <c r="B1133" s="9" t="s">
        <v>1240</v>
      </c>
      <c r="C1133" s="9" t="s">
        <v>40</v>
      </c>
      <c r="D1133" s="9" t="s">
        <v>30</v>
      </c>
      <c r="E1133" s="9">
        <v>1</v>
      </c>
      <c r="F1133" s="11">
        <v>35100</v>
      </c>
      <c r="G1133" s="9" t="str">
        <f>INDEX(Products!$B$2:$B$9,MATCH(D1133,Products!$A$2:$A$9,0))</f>
        <v>Trà mâm xôi vitamin</v>
      </c>
      <c r="H1133" s="9" t="str">
        <f>INDEX(Products!$C$2:$C$9,MATCH(D1133,Products!$A$2:$A$9,0))</f>
        <v>Bổ sung dưỡng chất</v>
      </c>
      <c r="I1133" s="11">
        <f>INDEX(Products!$D$2:$D$9,MATCH(D1133,Products!$A$2:$A$9,0))</f>
        <v>9800</v>
      </c>
      <c r="J1133" s="10">
        <f>IFERROR(INDEX(PlatformFees!$C$2:$C$5,MATCH(C1133,PlatformFees!$A$2:$A$5,0)),0)</f>
        <v>0</v>
      </c>
      <c r="K1133" s="11">
        <f t="shared" si="68"/>
        <v>9800</v>
      </c>
      <c r="L1133" s="11">
        <f t="shared" si="69"/>
        <v>0</v>
      </c>
      <c r="M1133" s="11">
        <f t="shared" si="70"/>
        <v>25300</v>
      </c>
      <c r="N1133" s="10">
        <f t="shared" si="71"/>
        <v>0.72079772079772075</v>
      </c>
    </row>
    <row r="1134" spans="1:14" x14ac:dyDescent="0.3">
      <c r="A1134" s="9" t="s">
        <v>1248</v>
      </c>
      <c r="B1134" s="9" t="s">
        <v>1240</v>
      </c>
      <c r="C1134" s="9" t="s">
        <v>40</v>
      </c>
      <c r="D1134" s="9" t="s">
        <v>30</v>
      </c>
      <c r="E1134" s="9">
        <v>1</v>
      </c>
      <c r="F1134" s="11">
        <v>34700</v>
      </c>
      <c r="G1134" s="9" t="str">
        <f>INDEX(Products!$B$2:$B$9,MATCH(D1134,Products!$A$2:$A$9,0))</f>
        <v>Trà mâm xôi vitamin</v>
      </c>
      <c r="H1134" s="9" t="str">
        <f>INDEX(Products!$C$2:$C$9,MATCH(D1134,Products!$A$2:$A$9,0))</f>
        <v>Bổ sung dưỡng chất</v>
      </c>
      <c r="I1134" s="11">
        <f>INDEX(Products!$D$2:$D$9,MATCH(D1134,Products!$A$2:$A$9,0))</f>
        <v>9800</v>
      </c>
      <c r="J1134" s="10">
        <f>IFERROR(INDEX(PlatformFees!$C$2:$C$5,MATCH(C1134,PlatformFees!$A$2:$A$5,0)),0)</f>
        <v>0</v>
      </c>
      <c r="K1134" s="11">
        <f t="shared" si="68"/>
        <v>9800</v>
      </c>
      <c r="L1134" s="11">
        <f t="shared" si="69"/>
        <v>0</v>
      </c>
      <c r="M1134" s="11">
        <f t="shared" si="70"/>
        <v>24900</v>
      </c>
      <c r="N1134" s="10">
        <f t="shared" si="71"/>
        <v>0.71757925072046114</v>
      </c>
    </row>
    <row r="1135" spans="1:14" x14ac:dyDescent="0.3">
      <c r="A1135" s="9" t="s">
        <v>1249</v>
      </c>
      <c r="B1135" s="9" t="s">
        <v>1240</v>
      </c>
      <c r="C1135" s="9" t="s">
        <v>39</v>
      </c>
      <c r="D1135" s="9" t="s">
        <v>12</v>
      </c>
      <c r="E1135" s="9">
        <v>2</v>
      </c>
      <c r="F1135" s="11">
        <v>70600</v>
      </c>
      <c r="G1135" s="9" t="str">
        <f>INDEX(Products!$B$2:$B$9,MATCH(D1135,Products!$A$2:$A$9,0))</f>
        <v>Trà atiso thanh lọc</v>
      </c>
      <c r="H1135" s="9" t="str">
        <f>INDEX(Products!$C$2:$C$9,MATCH(D1135,Products!$A$2:$A$9,0))</f>
        <v>Thanh lọc</v>
      </c>
      <c r="I1135" s="11">
        <f>INDEX(Products!$D$2:$D$9,MATCH(D1135,Products!$A$2:$A$9,0))</f>
        <v>9000</v>
      </c>
      <c r="J1135" s="10">
        <f>IFERROR(INDEX(PlatformFees!$C$2:$C$5,MATCH(C1135,PlatformFees!$A$2:$A$5,0)),0)</f>
        <v>0</v>
      </c>
      <c r="K1135" s="11">
        <f t="shared" si="68"/>
        <v>18000</v>
      </c>
      <c r="L1135" s="11">
        <f t="shared" si="69"/>
        <v>0</v>
      </c>
      <c r="M1135" s="11">
        <f t="shared" si="70"/>
        <v>52600</v>
      </c>
      <c r="N1135" s="10">
        <f t="shared" si="71"/>
        <v>0.74504249291784708</v>
      </c>
    </row>
    <row r="1136" spans="1:14" x14ac:dyDescent="0.3">
      <c r="A1136" s="9" t="s">
        <v>1250</v>
      </c>
      <c r="B1136" s="9" t="s">
        <v>1240</v>
      </c>
      <c r="C1136" s="9" t="s">
        <v>38</v>
      </c>
      <c r="D1136" s="9" t="s">
        <v>20</v>
      </c>
      <c r="E1136" s="9">
        <v>2</v>
      </c>
      <c r="F1136" s="11">
        <v>105400</v>
      </c>
      <c r="G1136" s="9" t="str">
        <f>INDEX(Products!$B$2:$B$9,MATCH(D1136,Products!$A$2:$A$9,0))</f>
        <v>Trà cà leo gai giảm cân</v>
      </c>
      <c r="H1136" s="9" t="str">
        <f>INDEX(Products!$C$2:$C$9,MATCH(D1136,Products!$A$2:$A$9,0))</f>
        <v>Detox</v>
      </c>
      <c r="I1136" s="11">
        <f>INDEX(Products!$D$2:$D$9,MATCH(D1136,Products!$A$2:$A$9,0))</f>
        <v>15000</v>
      </c>
      <c r="J1136" s="10">
        <f>IFERROR(INDEX(PlatformFees!$C$2:$C$5,MATCH(C1136,PlatformFees!$A$2:$A$5,0)),0)</f>
        <v>0.16</v>
      </c>
      <c r="K1136" s="11">
        <f t="shared" si="68"/>
        <v>30000</v>
      </c>
      <c r="L1136" s="11">
        <f t="shared" si="69"/>
        <v>16864</v>
      </c>
      <c r="M1136" s="11">
        <f t="shared" si="70"/>
        <v>58536</v>
      </c>
      <c r="N1136" s="10">
        <f t="shared" si="71"/>
        <v>0.55537001897533211</v>
      </c>
    </row>
    <row r="1137" spans="1:14" x14ac:dyDescent="0.3">
      <c r="A1137" s="9" t="s">
        <v>1251</v>
      </c>
      <c r="B1137" s="9" t="s">
        <v>1240</v>
      </c>
      <c r="C1137" s="9" t="s">
        <v>39</v>
      </c>
      <c r="D1137" s="9" t="s">
        <v>27</v>
      </c>
      <c r="E1137" s="9">
        <v>2</v>
      </c>
      <c r="F1137" s="11">
        <v>82200</v>
      </c>
      <c r="G1137" s="9" t="str">
        <f>INDEX(Products!$B$2:$B$9,MATCH(D1137,Products!$A$2:$A$9,0))</f>
        <v>Trà gừng mật ong</v>
      </c>
      <c r="H1137" s="9" t="str">
        <f>INDEX(Products!$C$2:$C$9,MATCH(D1137,Products!$A$2:$A$9,0))</f>
        <v>Giữ ấm</v>
      </c>
      <c r="I1137" s="11">
        <f>INDEX(Products!$D$2:$D$9,MATCH(D1137,Products!$A$2:$A$9,0))</f>
        <v>11000</v>
      </c>
      <c r="J1137" s="10">
        <f>IFERROR(INDEX(PlatformFees!$C$2:$C$5,MATCH(C1137,PlatformFees!$A$2:$A$5,0)),0)</f>
        <v>0</v>
      </c>
      <c r="K1137" s="11">
        <f t="shared" si="68"/>
        <v>22000</v>
      </c>
      <c r="L1137" s="11">
        <f t="shared" si="69"/>
        <v>0</v>
      </c>
      <c r="M1137" s="11">
        <f t="shared" si="70"/>
        <v>60200</v>
      </c>
      <c r="N1137" s="10">
        <f t="shared" si="71"/>
        <v>0.73236009732360097</v>
      </c>
    </row>
    <row r="1138" spans="1:14" x14ac:dyDescent="0.3">
      <c r="A1138" s="9" t="s">
        <v>1252</v>
      </c>
      <c r="B1138" s="9" t="s">
        <v>1253</v>
      </c>
      <c r="C1138" s="9" t="s">
        <v>38</v>
      </c>
      <c r="D1138" s="9" t="s">
        <v>17</v>
      </c>
      <c r="E1138" s="9">
        <v>1</v>
      </c>
      <c r="F1138" s="11">
        <v>38700</v>
      </c>
      <c r="G1138" s="9" t="str">
        <f>INDEX(Products!$B$2:$B$9,MATCH(D1138,Products!$A$2:$A$9,0))</f>
        <v>Trà diếp cá rau má</v>
      </c>
      <c r="H1138" s="9" t="str">
        <f>INDEX(Products!$C$2:$C$9,MATCH(D1138,Products!$A$2:$A$9,0))</f>
        <v>Detox</v>
      </c>
      <c r="I1138" s="11">
        <f>INDEX(Products!$D$2:$D$9,MATCH(D1138,Products!$A$2:$A$9,0))</f>
        <v>10500</v>
      </c>
      <c r="J1138" s="10">
        <f>IFERROR(INDEX(PlatformFees!$C$2:$C$5,MATCH(C1138,PlatformFees!$A$2:$A$5,0)),0)</f>
        <v>0.16</v>
      </c>
      <c r="K1138" s="11">
        <f t="shared" si="68"/>
        <v>10500</v>
      </c>
      <c r="L1138" s="11">
        <f t="shared" si="69"/>
        <v>6192</v>
      </c>
      <c r="M1138" s="11">
        <f t="shared" si="70"/>
        <v>22008</v>
      </c>
      <c r="N1138" s="10">
        <f t="shared" si="71"/>
        <v>0.5686821705426357</v>
      </c>
    </row>
    <row r="1139" spans="1:14" x14ac:dyDescent="0.3">
      <c r="A1139" s="9" t="s">
        <v>1254</v>
      </c>
      <c r="B1139" s="9" t="s">
        <v>1253</v>
      </c>
      <c r="C1139" s="9" t="s">
        <v>36</v>
      </c>
      <c r="D1139" s="9" t="s">
        <v>20</v>
      </c>
      <c r="E1139" s="9">
        <v>1</v>
      </c>
      <c r="F1139" s="11">
        <v>52800</v>
      </c>
      <c r="G1139" s="9" t="str">
        <f>INDEX(Products!$B$2:$B$9,MATCH(D1139,Products!$A$2:$A$9,0))</f>
        <v>Trà cà leo gai giảm cân</v>
      </c>
      <c r="H1139" s="9" t="str">
        <f>INDEX(Products!$C$2:$C$9,MATCH(D1139,Products!$A$2:$A$9,0))</f>
        <v>Detox</v>
      </c>
      <c r="I1139" s="11">
        <f>INDEX(Products!$D$2:$D$9,MATCH(D1139,Products!$A$2:$A$9,0))</f>
        <v>15000</v>
      </c>
      <c r="J1139" s="10">
        <f>IFERROR(INDEX(PlatformFees!$C$2:$C$5,MATCH(C1139,PlatformFees!$A$2:$A$5,0)),0)</f>
        <v>0.13</v>
      </c>
      <c r="K1139" s="11">
        <f t="shared" si="68"/>
        <v>15000</v>
      </c>
      <c r="L1139" s="11">
        <f t="shared" si="69"/>
        <v>6864</v>
      </c>
      <c r="M1139" s="11">
        <f t="shared" si="70"/>
        <v>30936</v>
      </c>
      <c r="N1139" s="10">
        <f t="shared" si="71"/>
        <v>0.58590909090909093</v>
      </c>
    </row>
    <row r="1140" spans="1:14" x14ac:dyDescent="0.3">
      <c r="A1140" s="9" t="s">
        <v>1255</v>
      </c>
      <c r="B1140" s="9" t="s">
        <v>1253</v>
      </c>
      <c r="C1140" s="9" t="s">
        <v>39</v>
      </c>
      <c r="D1140" s="9" t="s">
        <v>15</v>
      </c>
      <c r="E1140" s="9">
        <v>1</v>
      </c>
      <c r="F1140" s="11">
        <v>30300</v>
      </c>
      <c r="G1140" s="9" t="str">
        <f>INDEX(Products!$B$2:$B$9,MATCH(D1140,Products!$A$2:$A$9,0))</f>
        <v>Trà lá nam sen ổi</v>
      </c>
      <c r="H1140" s="9" t="str">
        <f>INDEX(Products!$C$2:$C$9,MATCH(D1140,Products!$A$2:$A$9,0))</f>
        <v>Thanh lọc</v>
      </c>
      <c r="I1140" s="11">
        <f>INDEX(Products!$D$2:$D$9,MATCH(D1140,Products!$A$2:$A$9,0))</f>
        <v>8500</v>
      </c>
      <c r="J1140" s="10">
        <f>IFERROR(INDEX(PlatformFees!$C$2:$C$5,MATCH(C1140,PlatformFees!$A$2:$A$5,0)),0)</f>
        <v>0</v>
      </c>
      <c r="K1140" s="11">
        <f t="shared" si="68"/>
        <v>8500</v>
      </c>
      <c r="L1140" s="11">
        <f t="shared" si="69"/>
        <v>0</v>
      </c>
      <c r="M1140" s="11">
        <f t="shared" si="70"/>
        <v>21800</v>
      </c>
      <c r="N1140" s="10">
        <f t="shared" si="71"/>
        <v>0.71947194719471952</v>
      </c>
    </row>
    <row r="1141" spans="1:14" x14ac:dyDescent="0.3">
      <c r="A1141" s="9" t="s">
        <v>1256</v>
      </c>
      <c r="B1141" s="9" t="s">
        <v>1253</v>
      </c>
      <c r="C1141" s="9" t="s">
        <v>38</v>
      </c>
      <c r="D1141" s="9" t="s">
        <v>22</v>
      </c>
      <c r="E1141" s="9">
        <v>1</v>
      </c>
      <c r="F1141" s="11">
        <v>35700</v>
      </c>
      <c r="G1141" s="9" t="str">
        <f>INDEX(Products!$B$2:$B$9,MATCH(D1141,Products!$A$2:$A$9,0))</f>
        <v>Trà hoa cúc an thần</v>
      </c>
      <c r="H1141" s="9" t="str">
        <f>INDEX(Products!$C$2:$C$9,MATCH(D1141,Products!$A$2:$A$9,0))</f>
        <v>An thần</v>
      </c>
      <c r="I1141" s="11">
        <f>INDEX(Products!$D$2:$D$9,MATCH(D1141,Products!$A$2:$A$9,0))</f>
        <v>9500</v>
      </c>
      <c r="J1141" s="10">
        <f>IFERROR(INDEX(PlatformFees!$C$2:$C$5,MATCH(C1141,PlatformFees!$A$2:$A$5,0)),0)</f>
        <v>0.16</v>
      </c>
      <c r="K1141" s="11">
        <f t="shared" si="68"/>
        <v>9500</v>
      </c>
      <c r="L1141" s="11">
        <f t="shared" si="69"/>
        <v>5712</v>
      </c>
      <c r="M1141" s="11">
        <f t="shared" si="70"/>
        <v>20488</v>
      </c>
      <c r="N1141" s="10">
        <f t="shared" si="71"/>
        <v>0.57389355742296921</v>
      </c>
    </row>
    <row r="1142" spans="1:14" x14ac:dyDescent="0.3">
      <c r="A1142" s="9" t="s">
        <v>1257</v>
      </c>
      <c r="B1142" s="9" t="s">
        <v>1253</v>
      </c>
      <c r="C1142" s="9" t="s">
        <v>36</v>
      </c>
      <c r="D1142" s="9" t="s">
        <v>20</v>
      </c>
      <c r="E1142" s="9">
        <v>1</v>
      </c>
      <c r="F1142" s="11">
        <v>52800</v>
      </c>
      <c r="G1142" s="9" t="str">
        <f>INDEX(Products!$B$2:$B$9,MATCH(D1142,Products!$A$2:$A$9,0))</f>
        <v>Trà cà leo gai giảm cân</v>
      </c>
      <c r="H1142" s="9" t="str">
        <f>INDEX(Products!$C$2:$C$9,MATCH(D1142,Products!$A$2:$A$9,0))</f>
        <v>Detox</v>
      </c>
      <c r="I1142" s="11">
        <f>INDEX(Products!$D$2:$D$9,MATCH(D1142,Products!$A$2:$A$9,0))</f>
        <v>15000</v>
      </c>
      <c r="J1142" s="10">
        <f>IFERROR(INDEX(PlatformFees!$C$2:$C$5,MATCH(C1142,PlatformFees!$A$2:$A$5,0)),0)</f>
        <v>0.13</v>
      </c>
      <c r="K1142" s="11">
        <f t="shared" si="68"/>
        <v>15000</v>
      </c>
      <c r="L1142" s="11">
        <f t="shared" si="69"/>
        <v>6864</v>
      </c>
      <c r="M1142" s="11">
        <f t="shared" si="70"/>
        <v>30936</v>
      </c>
      <c r="N1142" s="10">
        <f t="shared" si="71"/>
        <v>0.58590909090909093</v>
      </c>
    </row>
    <row r="1143" spans="1:14" x14ac:dyDescent="0.3">
      <c r="A1143" s="9" t="s">
        <v>1258</v>
      </c>
      <c r="B1143" s="9" t="s">
        <v>1253</v>
      </c>
      <c r="C1143" s="9" t="s">
        <v>36</v>
      </c>
      <c r="D1143" s="9" t="s">
        <v>20</v>
      </c>
      <c r="E1143" s="9">
        <v>2</v>
      </c>
      <c r="F1143" s="11">
        <v>102800</v>
      </c>
      <c r="G1143" s="9" t="str">
        <f>INDEX(Products!$B$2:$B$9,MATCH(D1143,Products!$A$2:$A$9,0))</f>
        <v>Trà cà leo gai giảm cân</v>
      </c>
      <c r="H1143" s="9" t="str">
        <f>INDEX(Products!$C$2:$C$9,MATCH(D1143,Products!$A$2:$A$9,0))</f>
        <v>Detox</v>
      </c>
      <c r="I1143" s="11">
        <f>INDEX(Products!$D$2:$D$9,MATCH(D1143,Products!$A$2:$A$9,0))</f>
        <v>15000</v>
      </c>
      <c r="J1143" s="10">
        <f>IFERROR(INDEX(PlatformFees!$C$2:$C$5,MATCH(C1143,PlatformFees!$A$2:$A$5,0)),0)</f>
        <v>0.13</v>
      </c>
      <c r="K1143" s="11">
        <f t="shared" si="68"/>
        <v>30000</v>
      </c>
      <c r="L1143" s="11">
        <f t="shared" si="69"/>
        <v>13364</v>
      </c>
      <c r="M1143" s="11">
        <f t="shared" si="70"/>
        <v>59436</v>
      </c>
      <c r="N1143" s="10">
        <f t="shared" si="71"/>
        <v>0.57817120622568097</v>
      </c>
    </row>
    <row r="1144" spans="1:14" x14ac:dyDescent="0.3">
      <c r="A1144" s="9" t="s">
        <v>1259</v>
      </c>
      <c r="B1144" s="9" t="s">
        <v>1253</v>
      </c>
      <c r="C1144" s="9" t="s">
        <v>38</v>
      </c>
      <c r="D1144" s="9" t="s">
        <v>17</v>
      </c>
      <c r="E1144" s="9">
        <v>1</v>
      </c>
      <c r="F1144" s="11">
        <v>42000</v>
      </c>
      <c r="G1144" s="9" t="str">
        <f>INDEX(Products!$B$2:$B$9,MATCH(D1144,Products!$A$2:$A$9,0))</f>
        <v>Trà diếp cá rau má</v>
      </c>
      <c r="H1144" s="9" t="str">
        <f>INDEX(Products!$C$2:$C$9,MATCH(D1144,Products!$A$2:$A$9,0))</f>
        <v>Detox</v>
      </c>
      <c r="I1144" s="11">
        <f>INDEX(Products!$D$2:$D$9,MATCH(D1144,Products!$A$2:$A$9,0))</f>
        <v>10500</v>
      </c>
      <c r="J1144" s="10">
        <f>IFERROR(INDEX(PlatformFees!$C$2:$C$5,MATCH(C1144,PlatformFees!$A$2:$A$5,0)),0)</f>
        <v>0.16</v>
      </c>
      <c r="K1144" s="11">
        <f t="shared" si="68"/>
        <v>10500</v>
      </c>
      <c r="L1144" s="11">
        <f t="shared" si="69"/>
        <v>6720</v>
      </c>
      <c r="M1144" s="11">
        <f t="shared" si="70"/>
        <v>24780</v>
      </c>
      <c r="N1144" s="10">
        <f t="shared" si="71"/>
        <v>0.59</v>
      </c>
    </row>
    <row r="1145" spans="1:14" x14ac:dyDescent="0.3">
      <c r="A1145" s="9" t="s">
        <v>1260</v>
      </c>
      <c r="B1145" s="9" t="s">
        <v>1253</v>
      </c>
      <c r="C1145" s="9" t="s">
        <v>39</v>
      </c>
      <c r="D1145" s="9" t="s">
        <v>22</v>
      </c>
      <c r="E1145" s="9">
        <v>2</v>
      </c>
      <c r="F1145" s="11">
        <v>71600</v>
      </c>
      <c r="G1145" s="9" t="str">
        <f>INDEX(Products!$B$2:$B$9,MATCH(D1145,Products!$A$2:$A$9,0))</f>
        <v>Trà hoa cúc an thần</v>
      </c>
      <c r="H1145" s="9" t="str">
        <f>INDEX(Products!$C$2:$C$9,MATCH(D1145,Products!$A$2:$A$9,0))</f>
        <v>An thần</v>
      </c>
      <c r="I1145" s="11">
        <f>INDEX(Products!$D$2:$D$9,MATCH(D1145,Products!$A$2:$A$9,0))</f>
        <v>9500</v>
      </c>
      <c r="J1145" s="10">
        <f>IFERROR(INDEX(PlatformFees!$C$2:$C$5,MATCH(C1145,PlatformFees!$A$2:$A$5,0)),0)</f>
        <v>0</v>
      </c>
      <c r="K1145" s="11">
        <f t="shared" si="68"/>
        <v>19000</v>
      </c>
      <c r="L1145" s="11">
        <f t="shared" si="69"/>
        <v>0</v>
      </c>
      <c r="M1145" s="11">
        <f t="shared" si="70"/>
        <v>52600</v>
      </c>
      <c r="N1145" s="10">
        <f t="shared" si="71"/>
        <v>0.73463687150837986</v>
      </c>
    </row>
    <row r="1146" spans="1:14" x14ac:dyDescent="0.3">
      <c r="A1146" s="9" t="s">
        <v>1261</v>
      </c>
      <c r="B1146" s="9" t="s">
        <v>1253</v>
      </c>
      <c r="C1146" s="9" t="s">
        <v>39</v>
      </c>
      <c r="D1146" s="9" t="s">
        <v>27</v>
      </c>
      <c r="E1146" s="9">
        <v>2</v>
      </c>
      <c r="F1146" s="11">
        <v>80700</v>
      </c>
      <c r="G1146" s="9" t="str">
        <f>INDEX(Products!$B$2:$B$9,MATCH(D1146,Products!$A$2:$A$9,0))</f>
        <v>Trà gừng mật ong</v>
      </c>
      <c r="H1146" s="9" t="str">
        <f>INDEX(Products!$C$2:$C$9,MATCH(D1146,Products!$A$2:$A$9,0))</f>
        <v>Giữ ấm</v>
      </c>
      <c r="I1146" s="11">
        <f>INDEX(Products!$D$2:$D$9,MATCH(D1146,Products!$A$2:$A$9,0))</f>
        <v>11000</v>
      </c>
      <c r="J1146" s="10">
        <f>IFERROR(INDEX(PlatformFees!$C$2:$C$5,MATCH(C1146,PlatformFees!$A$2:$A$5,0)),0)</f>
        <v>0</v>
      </c>
      <c r="K1146" s="11">
        <f t="shared" si="68"/>
        <v>22000</v>
      </c>
      <c r="L1146" s="11">
        <f t="shared" si="69"/>
        <v>0</v>
      </c>
      <c r="M1146" s="11">
        <f t="shared" si="70"/>
        <v>58700</v>
      </c>
      <c r="N1146" s="10">
        <f t="shared" si="71"/>
        <v>0.72738537794299873</v>
      </c>
    </row>
    <row r="1147" spans="1:14" x14ac:dyDescent="0.3">
      <c r="A1147" s="9" t="s">
        <v>1262</v>
      </c>
      <c r="B1147" s="9" t="s">
        <v>1253</v>
      </c>
      <c r="C1147" s="9" t="s">
        <v>36</v>
      </c>
      <c r="D1147" s="9" t="s">
        <v>20</v>
      </c>
      <c r="E1147" s="9">
        <v>3</v>
      </c>
      <c r="F1147" s="11">
        <v>161200</v>
      </c>
      <c r="G1147" s="9" t="str">
        <f>INDEX(Products!$B$2:$B$9,MATCH(D1147,Products!$A$2:$A$9,0))</f>
        <v>Trà cà leo gai giảm cân</v>
      </c>
      <c r="H1147" s="9" t="str">
        <f>INDEX(Products!$C$2:$C$9,MATCH(D1147,Products!$A$2:$A$9,0))</f>
        <v>Detox</v>
      </c>
      <c r="I1147" s="11">
        <f>INDEX(Products!$D$2:$D$9,MATCH(D1147,Products!$A$2:$A$9,0))</f>
        <v>15000</v>
      </c>
      <c r="J1147" s="10">
        <f>IFERROR(INDEX(PlatformFees!$C$2:$C$5,MATCH(C1147,PlatformFees!$A$2:$A$5,0)),0)</f>
        <v>0.13</v>
      </c>
      <c r="K1147" s="11">
        <f t="shared" si="68"/>
        <v>45000</v>
      </c>
      <c r="L1147" s="11">
        <f t="shared" si="69"/>
        <v>20956</v>
      </c>
      <c r="M1147" s="11">
        <f t="shared" si="70"/>
        <v>95244</v>
      </c>
      <c r="N1147" s="10">
        <f t="shared" si="71"/>
        <v>0.59084367245657565</v>
      </c>
    </row>
    <row r="1148" spans="1:14" x14ac:dyDescent="0.3">
      <c r="A1148" s="9" t="s">
        <v>1263</v>
      </c>
      <c r="B1148" s="9" t="s">
        <v>1253</v>
      </c>
      <c r="C1148" s="9" t="s">
        <v>39</v>
      </c>
      <c r="D1148" s="9" t="s">
        <v>27</v>
      </c>
      <c r="E1148" s="9">
        <v>1</v>
      </c>
      <c r="F1148" s="11">
        <v>37900</v>
      </c>
      <c r="G1148" s="9" t="str">
        <f>INDEX(Products!$B$2:$B$9,MATCH(D1148,Products!$A$2:$A$9,0))</f>
        <v>Trà gừng mật ong</v>
      </c>
      <c r="H1148" s="9" t="str">
        <f>INDEX(Products!$C$2:$C$9,MATCH(D1148,Products!$A$2:$A$9,0))</f>
        <v>Giữ ấm</v>
      </c>
      <c r="I1148" s="11">
        <f>INDEX(Products!$D$2:$D$9,MATCH(D1148,Products!$A$2:$A$9,0))</f>
        <v>11000</v>
      </c>
      <c r="J1148" s="10">
        <f>IFERROR(INDEX(PlatformFees!$C$2:$C$5,MATCH(C1148,PlatformFees!$A$2:$A$5,0)),0)</f>
        <v>0</v>
      </c>
      <c r="K1148" s="11">
        <f t="shared" si="68"/>
        <v>11000</v>
      </c>
      <c r="L1148" s="11">
        <f t="shared" si="69"/>
        <v>0</v>
      </c>
      <c r="M1148" s="11">
        <f t="shared" si="70"/>
        <v>26900</v>
      </c>
      <c r="N1148" s="10">
        <f t="shared" si="71"/>
        <v>0.70976253298153036</v>
      </c>
    </row>
    <row r="1149" spans="1:14" x14ac:dyDescent="0.3">
      <c r="A1149" s="9" t="s">
        <v>1264</v>
      </c>
      <c r="B1149" s="9" t="s">
        <v>1253</v>
      </c>
      <c r="C1149" s="9" t="s">
        <v>39</v>
      </c>
      <c r="D1149" s="9" t="s">
        <v>12</v>
      </c>
      <c r="E1149" s="9">
        <v>1</v>
      </c>
      <c r="F1149" s="11">
        <v>34900</v>
      </c>
      <c r="G1149" s="9" t="str">
        <f>INDEX(Products!$B$2:$B$9,MATCH(D1149,Products!$A$2:$A$9,0))</f>
        <v>Trà atiso thanh lọc</v>
      </c>
      <c r="H1149" s="9" t="str">
        <f>INDEX(Products!$C$2:$C$9,MATCH(D1149,Products!$A$2:$A$9,0))</f>
        <v>Thanh lọc</v>
      </c>
      <c r="I1149" s="11">
        <f>INDEX(Products!$D$2:$D$9,MATCH(D1149,Products!$A$2:$A$9,0))</f>
        <v>9000</v>
      </c>
      <c r="J1149" s="10">
        <f>IFERROR(INDEX(PlatformFees!$C$2:$C$5,MATCH(C1149,PlatformFees!$A$2:$A$5,0)),0)</f>
        <v>0</v>
      </c>
      <c r="K1149" s="11">
        <f t="shared" si="68"/>
        <v>9000</v>
      </c>
      <c r="L1149" s="11">
        <f t="shared" si="69"/>
        <v>0</v>
      </c>
      <c r="M1149" s="11">
        <f t="shared" si="70"/>
        <v>25900</v>
      </c>
      <c r="N1149" s="10">
        <f t="shared" si="71"/>
        <v>0.74212034383954151</v>
      </c>
    </row>
    <row r="1150" spans="1:14" x14ac:dyDescent="0.3">
      <c r="A1150" s="9" t="s">
        <v>1265</v>
      </c>
      <c r="B1150" s="9" t="s">
        <v>1253</v>
      </c>
      <c r="C1150" s="9" t="s">
        <v>36</v>
      </c>
      <c r="D1150" s="9" t="s">
        <v>27</v>
      </c>
      <c r="E1150" s="9">
        <v>2</v>
      </c>
      <c r="F1150" s="11">
        <v>81000</v>
      </c>
      <c r="G1150" s="9" t="str">
        <f>INDEX(Products!$B$2:$B$9,MATCH(D1150,Products!$A$2:$A$9,0))</f>
        <v>Trà gừng mật ong</v>
      </c>
      <c r="H1150" s="9" t="str">
        <f>INDEX(Products!$C$2:$C$9,MATCH(D1150,Products!$A$2:$A$9,0))</f>
        <v>Giữ ấm</v>
      </c>
      <c r="I1150" s="11">
        <f>INDEX(Products!$D$2:$D$9,MATCH(D1150,Products!$A$2:$A$9,0))</f>
        <v>11000</v>
      </c>
      <c r="J1150" s="10">
        <f>IFERROR(INDEX(PlatformFees!$C$2:$C$5,MATCH(C1150,PlatformFees!$A$2:$A$5,0)),0)</f>
        <v>0.13</v>
      </c>
      <c r="K1150" s="11">
        <f t="shared" si="68"/>
        <v>22000</v>
      </c>
      <c r="L1150" s="11">
        <f t="shared" si="69"/>
        <v>10530</v>
      </c>
      <c r="M1150" s="11">
        <f t="shared" si="70"/>
        <v>48470</v>
      </c>
      <c r="N1150" s="10">
        <f t="shared" si="71"/>
        <v>0.59839506172839507</v>
      </c>
    </row>
    <row r="1151" spans="1:14" x14ac:dyDescent="0.3">
      <c r="A1151" s="9" t="s">
        <v>1266</v>
      </c>
      <c r="B1151" s="9" t="s">
        <v>1253</v>
      </c>
      <c r="C1151" s="9" t="s">
        <v>36</v>
      </c>
      <c r="D1151" s="9" t="s">
        <v>25</v>
      </c>
      <c r="E1151" s="9">
        <v>1</v>
      </c>
      <c r="F1151" s="11">
        <v>32600</v>
      </c>
      <c r="G1151" s="9" t="str">
        <f>INDEX(Products!$B$2:$B$9,MATCH(D1151,Products!$A$2:$A$9,0))</f>
        <v>Trà hoa đậu biếc</v>
      </c>
      <c r="H1151" s="9" t="str">
        <f>INDEX(Products!$C$2:$C$9,MATCH(D1151,Products!$A$2:$A$9,0))</f>
        <v>An thần</v>
      </c>
      <c r="I1151" s="11">
        <f>INDEX(Products!$D$2:$D$9,MATCH(D1151,Products!$A$2:$A$9,0))</f>
        <v>8800</v>
      </c>
      <c r="J1151" s="10">
        <f>IFERROR(INDEX(PlatformFees!$C$2:$C$5,MATCH(C1151,PlatformFees!$A$2:$A$5,0)),0)</f>
        <v>0.13</v>
      </c>
      <c r="K1151" s="11">
        <f t="shared" si="68"/>
        <v>8800</v>
      </c>
      <c r="L1151" s="11">
        <f t="shared" si="69"/>
        <v>4238</v>
      </c>
      <c r="M1151" s="11">
        <f t="shared" si="70"/>
        <v>19562</v>
      </c>
      <c r="N1151" s="10">
        <f t="shared" si="71"/>
        <v>0.60006134969325153</v>
      </c>
    </row>
    <row r="1152" spans="1:14" x14ac:dyDescent="0.3">
      <c r="A1152" s="9" t="s">
        <v>1267</v>
      </c>
      <c r="B1152" s="9" t="s">
        <v>1253</v>
      </c>
      <c r="C1152" s="9" t="s">
        <v>38</v>
      </c>
      <c r="D1152" s="9" t="s">
        <v>30</v>
      </c>
      <c r="E1152" s="9">
        <v>1</v>
      </c>
      <c r="F1152" s="11">
        <v>34500</v>
      </c>
      <c r="G1152" s="9" t="str">
        <f>INDEX(Products!$B$2:$B$9,MATCH(D1152,Products!$A$2:$A$9,0))</f>
        <v>Trà mâm xôi vitamin</v>
      </c>
      <c r="H1152" s="9" t="str">
        <f>INDEX(Products!$C$2:$C$9,MATCH(D1152,Products!$A$2:$A$9,0))</f>
        <v>Bổ sung dưỡng chất</v>
      </c>
      <c r="I1152" s="11">
        <f>INDEX(Products!$D$2:$D$9,MATCH(D1152,Products!$A$2:$A$9,0))</f>
        <v>9800</v>
      </c>
      <c r="J1152" s="10">
        <f>IFERROR(INDEX(PlatformFees!$C$2:$C$5,MATCH(C1152,PlatformFees!$A$2:$A$5,0)),0)</f>
        <v>0.16</v>
      </c>
      <c r="K1152" s="11">
        <f t="shared" si="68"/>
        <v>9800</v>
      </c>
      <c r="L1152" s="11">
        <f t="shared" si="69"/>
        <v>5520</v>
      </c>
      <c r="M1152" s="11">
        <f t="shared" si="70"/>
        <v>19180</v>
      </c>
      <c r="N1152" s="10">
        <f t="shared" si="71"/>
        <v>0.55594202898550726</v>
      </c>
    </row>
    <row r="1153" spans="1:14" x14ac:dyDescent="0.3">
      <c r="A1153" s="9" t="s">
        <v>1268</v>
      </c>
      <c r="B1153" s="9" t="s">
        <v>1253</v>
      </c>
      <c r="C1153" s="9" t="s">
        <v>36</v>
      </c>
      <c r="D1153" s="9" t="s">
        <v>17</v>
      </c>
      <c r="E1153" s="9">
        <v>3</v>
      </c>
      <c r="F1153" s="11">
        <v>129300</v>
      </c>
      <c r="G1153" s="9" t="str">
        <f>INDEX(Products!$B$2:$B$9,MATCH(D1153,Products!$A$2:$A$9,0))</f>
        <v>Trà diếp cá rau má</v>
      </c>
      <c r="H1153" s="9" t="str">
        <f>INDEX(Products!$C$2:$C$9,MATCH(D1153,Products!$A$2:$A$9,0))</f>
        <v>Detox</v>
      </c>
      <c r="I1153" s="11">
        <f>INDEX(Products!$D$2:$D$9,MATCH(D1153,Products!$A$2:$A$9,0))</f>
        <v>10500</v>
      </c>
      <c r="J1153" s="10">
        <f>IFERROR(INDEX(PlatformFees!$C$2:$C$5,MATCH(C1153,PlatformFees!$A$2:$A$5,0)),0)</f>
        <v>0.13</v>
      </c>
      <c r="K1153" s="11">
        <f t="shared" si="68"/>
        <v>31500</v>
      </c>
      <c r="L1153" s="11">
        <f t="shared" si="69"/>
        <v>16809</v>
      </c>
      <c r="M1153" s="11">
        <f t="shared" si="70"/>
        <v>80991</v>
      </c>
      <c r="N1153" s="10">
        <f t="shared" si="71"/>
        <v>0.62638051044083531</v>
      </c>
    </row>
    <row r="1154" spans="1:14" x14ac:dyDescent="0.3">
      <c r="A1154" s="9" t="s">
        <v>1269</v>
      </c>
      <c r="B1154" s="9" t="s">
        <v>1253</v>
      </c>
      <c r="C1154" s="9" t="s">
        <v>36</v>
      </c>
      <c r="D1154" s="9" t="s">
        <v>20</v>
      </c>
      <c r="E1154" s="9">
        <v>3</v>
      </c>
      <c r="F1154" s="11">
        <v>161600</v>
      </c>
      <c r="G1154" s="9" t="str">
        <f>INDEX(Products!$B$2:$B$9,MATCH(D1154,Products!$A$2:$A$9,0))</f>
        <v>Trà cà leo gai giảm cân</v>
      </c>
      <c r="H1154" s="9" t="str">
        <f>INDEX(Products!$C$2:$C$9,MATCH(D1154,Products!$A$2:$A$9,0))</f>
        <v>Detox</v>
      </c>
      <c r="I1154" s="11">
        <f>INDEX(Products!$D$2:$D$9,MATCH(D1154,Products!$A$2:$A$9,0))</f>
        <v>15000</v>
      </c>
      <c r="J1154" s="10">
        <f>IFERROR(INDEX(PlatformFees!$C$2:$C$5,MATCH(C1154,PlatformFees!$A$2:$A$5,0)),0)</f>
        <v>0.13</v>
      </c>
      <c r="K1154" s="11">
        <f t="shared" ref="K1154:K1217" si="72">E1154*I1154</f>
        <v>45000</v>
      </c>
      <c r="L1154" s="11">
        <f t="shared" ref="L1154:L1217" si="73">F1154*J1154</f>
        <v>21008</v>
      </c>
      <c r="M1154" s="11">
        <f t="shared" ref="M1154:M1217" si="74">F1154-L1154-K1154</f>
        <v>95592</v>
      </c>
      <c r="N1154" s="10">
        <f t="shared" ref="N1154:N1217" si="75">IFERROR(M1154/F1154,0)</f>
        <v>0.5915346534653465</v>
      </c>
    </row>
    <row r="1155" spans="1:14" x14ac:dyDescent="0.3">
      <c r="A1155" s="9" t="s">
        <v>1270</v>
      </c>
      <c r="B1155" s="9" t="s">
        <v>1253</v>
      </c>
      <c r="C1155" s="9" t="s">
        <v>40</v>
      </c>
      <c r="D1155" s="9" t="s">
        <v>15</v>
      </c>
      <c r="E1155" s="9">
        <v>1</v>
      </c>
      <c r="F1155" s="11">
        <v>31800</v>
      </c>
      <c r="G1155" s="9" t="str">
        <f>INDEX(Products!$B$2:$B$9,MATCH(D1155,Products!$A$2:$A$9,0))</f>
        <v>Trà lá nam sen ổi</v>
      </c>
      <c r="H1155" s="9" t="str">
        <f>INDEX(Products!$C$2:$C$9,MATCH(D1155,Products!$A$2:$A$9,0))</f>
        <v>Thanh lọc</v>
      </c>
      <c r="I1155" s="11">
        <f>INDEX(Products!$D$2:$D$9,MATCH(D1155,Products!$A$2:$A$9,0))</f>
        <v>8500</v>
      </c>
      <c r="J1155" s="10">
        <f>IFERROR(INDEX(PlatformFees!$C$2:$C$5,MATCH(C1155,PlatformFees!$A$2:$A$5,0)),0)</f>
        <v>0</v>
      </c>
      <c r="K1155" s="11">
        <f t="shared" si="72"/>
        <v>8500</v>
      </c>
      <c r="L1155" s="11">
        <f t="shared" si="73"/>
        <v>0</v>
      </c>
      <c r="M1155" s="11">
        <f t="shared" si="74"/>
        <v>23300</v>
      </c>
      <c r="N1155" s="10">
        <f t="shared" si="75"/>
        <v>0.73270440251572322</v>
      </c>
    </row>
    <row r="1156" spans="1:14" x14ac:dyDescent="0.3">
      <c r="A1156" s="9" t="s">
        <v>1271</v>
      </c>
      <c r="B1156" s="9" t="s">
        <v>1253</v>
      </c>
      <c r="C1156" s="9" t="s">
        <v>38</v>
      </c>
      <c r="D1156" s="9" t="s">
        <v>25</v>
      </c>
      <c r="E1156" s="9">
        <v>1</v>
      </c>
      <c r="F1156" s="11">
        <v>32700</v>
      </c>
      <c r="G1156" s="9" t="str">
        <f>INDEX(Products!$B$2:$B$9,MATCH(D1156,Products!$A$2:$A$9,0))</f>
        <v>Trà hoa đậu biếc</v>
      </c>
      <c r="H1156" s="9" t="str">
        <f>INDEX(Products!$C$2:$C$9,MATCH(D1156,Products!$A$2:$A$9,0))</f>
        <v>An thần</v>
      </c>
      <c r="I1156" s="11">
        <f>INDEX(Products!$D$2:$D$9,MATCH(D1156,Products!$A$2:$A$9,0))</f>
        <v>8800</v>
      </c>
      <c r="J1156" s="10">
        <f>IFERROR(INDEX(PlatformFees!$C$2:$C$5,MATCH(C1156,PlatformFees!$A$2:$A$5,0)),0)</f>
        <v>0.16</v>
      </c>
      <c r="K1156" s="11">
        <f t="shared" si="72"/>
        <v>8800</v>
      </c>
      <c r="L1156" s="11">
        <f t="shared" si="73"/>
        <v>5232</v>
      </c>
      <c r="M1156" s="11">
        <f t="shared" si="74"/>
        <v>18668</v>
      </c>
      <c r="N1156" s="10">
        <f t="shared" si="75"/>
        <v>0.57088685015290519</v>
      </c>
    </row>
    <row r="1157" spans="1:14" x14ac:dyDescent="0.3">
      <c r="A1157" s="9" t="s">
        <v>1272</v>
      </c>
      <c r="B1157" s="9" t="s">
        <v>1253</v>
      </c>
      <c r="C1157" s="9" t="s">
        <v>36</v>
      </c>
      <c r="D1157" s="9" t="s">
        <v>22</v>
      </c>
      <c r="E1157" s="9">
        <v>1</v>
      </c>
      <c r="F1157" s="11">
        <v>38600</v>
      </c>
      <c r="G1157" s="9" t="str">
        <f>INDEX(Products!$B$2:$B$9,MATCH(D1157,Products!$A$2:$A$9,0))</f>
        <v>Trà hoa cúc an thần</v>
      </c>
      <c r="H1157" s="9" t="str">
        <f>INDEX(Products!$C$2:$C$9,MATCH(D1157,Products!$A$2:$A$9,0))</f>
        <v>An thần</v>
      </c>
      <c r="I1157" s="11">
        <f>INDEX(Products!$D$2:$D$9,MATCH(D1157,Products!$A$2:$A$9,0))</f>
        <v>9500</v>
      </c>
      <c r="J1157" s="10">
        <f>IFERROR(INDEX(PlatformFees!$C$2:$C$5,MATCH(C1157,PlatformFees!$A$2:$A$5,0)),0)</f>
        <v>0.13</v>
      </c>
      <c r="K1157" s="11">
        <f t="shared" si="72"/>
        <v>9500</v>
      </c>
      <c r="L1157" s="11">
        <f t="shared" si="73"/>
        <v>5018</v>
      </c>
      <c r="M1157" s="11">
        <f t="shared" si="74"/>
        <v>24082</v>
      </c>
      <c r="N1157" s="10">
        <f t="shared" si="75"/>
        <v>0.62388601036269431</v>
      </c>
    </row>
    <row r="1158" spans="1:14" x14ac:dyDescent="0.3">
      <c r="A1158" s="9" t="s">
        <v>1273</v>
      </c>
      <c r="B1158" s="9" t="s">
        <v>1253</v>
      </c>
      <c r="C1158" s="9" t="s">
        <v>38</v>
      </c>
      <c r="D1158" s="9" t="s">
        <v>30</v>
      </c>
      <c r="E1158" s="9">
        <v>2</v>
      </c>
      <c r="F1158" s="11">
        <v>71200</v>
      </c>
      <c r="G1158" s="9" t="str">
        <f>INDEX(Products!$B$2:$B$9,MATCH(D1158,Products!$A$2:$A$9,0))</f>
        <v>Trà mâm xôi vitamin</v>
      </c>
      <c r="H1158" s="9" t="str">
        <f>INDEX(Products!$C$2:$C$9,MATCH(D1158,Products!$A$2:$A$9,0))</f>
        <v>Bổ sung dưỡng chất</v>
      </c>
      <c r="I1158" s="11">
        <f>INDEX(Products!$D$2:$D$9,MATCH(D1158,Products!$A$2:$A$9,0))</f>
        <v>9800</v>
      </c>
      <c r="J1158" s="10">
        <f>IFERROR(INDEX(PlatformFees!$C$2:$C$5,MATCH(C1158,PlatformFees!$A$2:$A$5,0)),0)</f>
        <v>0.16</v>
      </c>
      <c r="K1158" s="11">
        <f t="shared" si="72"/>
        <v>19600</v>
      </c>
      <c r="L1158" s="11">
        <f t="shared" si="73"/>
        <v>11392</v>
      </c>
      <c r="M1158" s="11">
        <f t="shared" si="74"/>
        <v>40208</v>
      </c>
      <c r="N1158" s="10">
        <f t="shared" si="75"/>
        <v>0.56471910112359547</v>
      </c>
    </row>
    <row r="1159" spans="1:14" x14ac:dyDescent="0.3">
      <c r="A1159" s="9" t="s">
        <v>1274</v>
      </c>
      <c r="B1159" s="9" t="s">
        <v>1275</v>
      </c>
      <c r="C1159" s="9" t="s">
        <v>36</v>
      </c>
      <c r="D1159" s="9" t="s">
        <v>30</v>
      </c>
      <c r="E1159" s="9">
        <v>1</v>
      </c>
      <c r="F1159" s="11">
        <v>33800</v>
      </c>
      <c r="G1159" s="9" t="str">
        <f>INDEX(Products!$B$2:$B$9,MATCH(D1159,Products!$A$2:$A$9,0))</f>
        <v>Trà mâm xôi vitamin</v>
      </c>
      <c r="H1159" s="9" t="str">
        <f>INDEX(Products!$C$2:$C$9,MATCH(D1159,Products!$A$2:$A$9,0))</f>
        <v>Bổ sung dưỡng chất</v>
      </c>
      <c r="I1159" s="11">
        <f>INDEX(Products!$D$2:$D$9,MATCH(D1159,Products!$A$2:$A$9,0))</f>
        <v>9800</v>
      </c>
      <c r="J1159" s="10">
        <f>IFERROR(INDEX(PlatformFees!$C$2:$C$5,MATCH(C1159,PlatformFees!$A$2:$A$5,0)),0)</f>
        <v>0.13</v>
      </c>
      <c r="K1159" s="11">
        <f t="shared" si="72"/>
        <v>9800</v>
      </c>
      <c r="L1159" s="11">
        <f t="shared" si="73"/>
        <v>4394</v>
      </c>
      <c r="M1159" s="11">
        <f t="shared" si="74"/>
        <v>19606</v>
      </c>
      <c r="N1159" s="10">
        <f t="shared" si="75"/>
        <v>0.58005917159763309</v>
      </c>
    </row>
    <row r="1160" spans="1:14" x14ac:dyDescent="0.3">
      <c r="A1160" s="9" t="s">
        <v>1276</v>
      </c>
      <c r="B1160" s="9" t="s">
        <v>1275</v>
      </c>
      <c r="C1160" s="9" t="s">
        <v>36</v>
      </c>
      <c r="D1160" s="9" t="s">
        <v>17</v>
      </c>
      <c r="E1160" s="9">
        <v>1</v>
      </c>
      <c r="F1160" s="11">
        <v>41900</v>
      </c>
      <c r="G1160" s="9" t="str">
        <f>INDEX(Products!$B$2:$B$9,MATCH(D1160,Products!$A$2:$A$9,0))</f>
        <v>Trà diếp cá rau má</v>
      </c>
      <c r="H1160" s="9" t="str">
        <f>INDEX(Products!$C$2:$C$9,MATCH(D1160,Products!$A$2:$A$9,0))</f>
        <v>Detox</v>
      </c>
      <c r="I1160" s="11">
        <f>INDEX(Products!$D$2:$D$9,MATCH(D1160,Products!$A$2:$A$9,0))</f>
        <v>10500</v>
      </c>
      <c r="J1160" s="10">
        <f>IFERROR(INDEX(PlatformFees!$C$2:$C$5,MATCH(C1160,PlatformFees!$A$2:$A$5,0)),0)</f>
        <v>0.13</v>
      </c>
      <c r="K1160" s="11">
        <f t="shared" si="72"/>
        <v>10500</v>
      </c>
      <c r="L1160" s="11">
        <f t="shared" si="73"/>
        <v>5447</v>
      </c>
      <c r="M1160" s="11">
        <f t="shared" si="74"/>
        <v>25953</v>
      </c>
      <c r="N1160" s="10">
        <f t="shared" si="75"/>
        <v>0.61940334128878283</v>
      </c>
    </row>
    <row r="1161" spans="1:14" x14ac:dyDescent="0.3">
      <c r="A1161" s="9" t="s">
        <v>1277</v>
      </c>
      <c r="B1161" s="9" t="s">
        <v>1275</v>
      </c>
      <c r="C1161" s="9" t="s">
        <v>38</v>
      </c>
      <c r="D1161" s="9" t="s">
        <v>17</v>
      </c>
      <c r="E1161" s="9">
        <v>2</v>
      </c>
      <c r="F1161" s="11">
        <v>84500</v>
      </c>
      <c r="G1161" s="9" t="str">
        <f>INDEX(Products!$B$2:$B$9,MATCH(D1161,Products!$A$2:$A$9,0))</f>
        <v>Trà diếp cá rau má</v>
      </c>
      <c r="H1161" s="9" t="str">
        <f>INDEX(Products!$C$2:$C$9,MATCH(D1161,Products!$A$2:$A$9,0))</f>
        <v>Detox</v>
      </c>
      <c r="I1161" s="11">
        <f>INDEX(Products!$D$2:$D$9,MATCH(D1161,Products!$A$2:$A$9,0))</f>
        <v>10500</v>
      </c>
      <c r="J1161" s="10">
        <f>IFERROR(INDEX(PlatformFees!$C$2:$C$5,MATCH(C1161,PlatformFees!$A$2:$A$5,0)),0)</f>
        <v>0.16</v>
      </c>
      <c r="K1161" s="11">
        <f t="shared" si="72"/>
        <v>21000</v>
      </c>
      <c r="L1161" s="11">
        <f t="shared" si="73"/>
        <v>13520</v>
      </c>
      <c r="M1161" s="11">
        <f t="shared" si="74"/>
        <v>49980</v>
      </c>
      <c r="N1161" s="10">
        <f t="shared" si="75"/>
        <v>0.59147928994082843</v>
      </c>
    </row>
    <row r="1162" spans="1:14" x14ac:dyDescent="0.3">
      <c r="A1162" s="9" t="s">
        <v>1278</v>
      </c>
      <c r="B1162" s="9" t="s">
        <v>1275</v>
      </c>
      <c r="C1162" s="9" t="s">
        <v>40</v>
      </c>
      <c r="D1162" s="9" t="s">
        <v>27</v>
      </c>
      <c r="E1162" s="9">
        <v>2</v>
      </c>
      <c r="F1162" s="11">
        <v>82100</v>
      </c>
      <c r="G1162" s="9" t="str">
        <f>INDEX(Products!$B$2:$B$9,MATCH(D1162,Products!$A$2:$A$9,0))</f>
        <v>Trà gừng mật ong</v>
      </c>
      <c r="H1162" s="9" t="str">
        <f>INDEX(Products!$C$2:$C$9,MATCH(D1162,Products!$A$2:$A$9,0))</f>
        <v>Giữ ấm</v>
      </c>
      <c r="I1162" s="11">
        <f>INDEX(Products!$D$2:$D$9,MATCH(D1162,Products!$A$2:$A$9,0))</f>
        <v>11000</v>
      </c>
      <c r="J1162" s="10">
        <f>IFERROR(INDEX(PlatformFees!$C$2:$C$5,MATCH(C1162,PlatformFees!$A$2:$A$5,0)),0)</f>
        <v>0</v>
      </c>
      <c r="K1162" s="11">
        <f t="shared" si="72"/>
        <v>22000</v>
      </c>
      <c r="L1162" s="11">
        <f t="shared" si="73"/>
        <v>0</v>
      </c>
      <c r="M1162" s="11">
        <f t="shared" si="74"/>
        <v>60100</v>
      </c>
      <c r="N1162" s="10">
        <f t="shared" si="75"/>
        <v>0.7320341047503045</v>
      </c>
    </row>
    <row r="1163" spans="1:14" x14ac:dyDescent="0.3">
      <c r="A1163" s="9" t="s">
        <v>1279</v>
      </c>
      <c r="B1163" s="9" t="s">
        <v>1275</v>
      </c>
      <c r="C1163" s="9" t="s">
        <v>36</v>
      </c>
      <c r="D1163" s="9" t="s">
        <v>15</v>
      </c>
      <c r="E1163" s="9">
        <v>1</v>
      </c>
      <c r="F1163" s="11">
        <v>29900</v>
      </c>
      <c r="G1163" s="9" t="str">
        <f>INDEX(Products!$B$2:$B$9,MATCH(D1163,Products!$A$2:$A$9,0))</f>
        <v>Trà lá nam sen ổi</v>
      </c>
      <c r="H1163" s="9" t="str">
        <f>INDEX(Products!$C$2:$C$9,MATCH(D1163,Products!$A$2:$A$9,0))</f>
        <v>Thanh lọc</v>
      </c>
      <c r="I1163" s="11">
        <f>INDEX(Products!$D$2:$D$9,MATCH(D1163,Products!$A$2:$A$9,0))</f>
        <v>8500</v>
      </c>
      <c r="J1163" s="10">
        <f>IFERROR(INDEX(PlatformFees!$C$2:$C$5,MATCH(C1163,PlatformFees!$A$2:$A$5,0)),0)</f>
        <v>0.13</v>
      </c>
      <c r="K1163" s="11">
        <f t="shared" si="72"/>
        <v>8500</v>
      </c>
      <c r="L1163" s="11">
        <f t="shared" si="73"/>
        <v>3887</v>
      </c>
      <c r="M1163" s="11">
        <f t="shared" si="74"/>
        <v>17513</v>
      </c>
      <c r="N1163" s="10">
        <f t="shared" si="75"/>
        <v>0.58571906354515046</v>
      </c>
    </row>
    <row r="1164" spans="1:14" x14ac:dyDescent="0.3">
      <c r="A1164" s="9" t="s">
        <v>1280</v>
      </c>
      <c r="B1164" s="9" t="s">
        <v>1275</v>
      </c>
      <c r="C1164" s="9" t="s">
        <v>36</v>
      </c>
      <c r="D1164" s="9" t="s">
        <v>17</v>
      </c>
      <c r="E1164" s="9">
        <v>3</v>
      </c>
      <c r="F1164" s="11">
        <v>125600</v>
      </c>
      <c r="G1164" s="9" t="str">
        <f>INDEX(Products!$B$2:$B$9,MATCH(D1164,Products!$A$2:$A$9,0))</f>
        <v>Trà diếp cá rau má</v>
      </c>
      <c r="H1164" s="9" t="str">
        <f>INDEX(Products!$C$2:$C$9,MATCH(D1164,Products!$A$2:$A$9,0))</f>
        <v>Detox</v>
      </c>
      <c r="I1164" s="11">
        <f>INDEX(Products!$D$2:$D$9,MATCH(D1164,Products!$A$2:$A$9,0))</f>
        <v>10500</v>
      </c>
      <c r="J1164" s="10">
        <f>IFERROR(INDEX(PlatformFees!$C$2:$C$5,MATCH(C1164,PlatformFees!$A$2:$A$5,0)),0)</f>
        <v>0.13</v>
      </c>
      <c r="K1164" s="11">
        <f t="shared" si="72"/>
        <v>31500</v>
      </c>
      <c r="L1164" s="11">
        <f t="shared" si="73"/>
        <v>16328</v>
      </c>
      <c r="M1164" s="11">
        <f t="shared" si="74"/>
        <v>77772</v>
      </c>
      <c r="N1164" s="10">
        <f t="shared" si="75"/>
        <v>0.61920382165605092</v>
      </c>
    </row>
    <row r="1165" spans="1:14" x14ac:dyDescent="0.3">
      <c r="A1165" s="9" t="s">
        <v>1281</v>
      </c>
      <c r="B1165" s="9" t="s">
        <v>1275</v>
      </c>
      <c r="C1165" s="9" t="s">
        <v>36</v>
      </c>
      <c r="D1165" s="9" t="s">
        <v>15</v>
      </c>
      <c r="E1165" s="9">
        <v>1</v>
      </c>
      <c r="F1165" s="11">
        <v>29800</v>
      </c>
      <c r="G1165" s="9" t="str">
        <f>INDEX(Products!$B$2:$B$9,MATCH(D1165,Products!$A$2:$A$9,0))</f>
        <v>Trà lá nam sen ổi</v>
      </c>
      <c r="H1165" s="9" t="str">
        <f>INDEX(Products!$C$2:$C$9,MATCH(D1165,Products!$A$2:$A$9,0))</f>
        <v>Thanh lọc</v>
      </c>
      <c r="I1165" s="11">
        <f>INDEX(Products!$D$2:$D$9,MATCH(D1165,Products!$A$2:$A$9,0))</f>
        <v>8500</v>
      </c>
      <c r="J1165" s="10">
        <f>IFERROR(INDEX(PlatformFees!$C$2:$C$5,MATCH(C1165,PlatformFees!$A$2:$A$5,0)),0)</f>
        <v>0.13</v>
      </c>
      <c r="K1165" s="11">
        <f t="shared" si="72"/>
        <v>8500</v>
      </c>
      <c r="L1165" s="11">
        <f t="shared" si="73"/>
        <v>3874</v>
      </c>
      <c r="M1165" s="11">
        <f t="shared" si="74"/>
        <v>17426</v>
      </c>
      <c r="N1165" s="10">
        <f t="shared" si="75"/>
        <v>0.58476510067114096</v>
      </c>
    </row>
    <row r="1166" spans="1:14" x14ac:dyDescent="0.3">
      <c r="A1166" s="9" t="s">
        <v>1282</v>
      </c>
      <c r="B1166" s="9" t="s">
        <v>1275</v>
      </c>
      <c r="C1166" s="9" t="s">
        <v>40</v>
      </c>
      <c r="D1166" s="9" t="s">
        <v>22</v>
      </c>
      <c r="E1166" s="9">
        <v>1</v>
      </c>
      <c r="F1166" s="11">
        <v>35100</v>
      </c>
      <c r="G1166" s="9" t="str">
        <f>INDEX(Products!$B$2:$B$9,MATCH(D1166,Products!$A$2:$A$9,0))</f>
        <v>Trà hoa cúc an thần</v>
      </c>
      <c r="H1166" s="9" t="str">
        <f>INDEX(Products!$C$2:$C$9,MATCH(D1166,Products!$A$2:$A$9,0))</f>
        <v>An thần</v>
      </c>
      <c r="I1166" s="11">
        <f>INDEX(Products!$D$2:$D$9,MATCH(D1166,Products!$A$2:$A$9,0))</f>
        <v>9500</v>
      </c>
      <c r="J1166" s="10">
        <f>IFERROR(INDEX(PlatformFees!$C$2:$C$5,MATCH(C1166,PlatformFees!$A$2:$A$5,0)),0)</f>
        <v>0</v>
      </c>
      <c r="K1166" s="11">
        <f t="shared" si="72"/>
        <v>9500</v>
      </c>
      <c r="L1166" s="11">
        <f t="shared" si="73"/>
        <v>0</v>
      </c>
      <c r="M1166" s="11">
        <f t="shared" si="74"/>
        <v>25600</v>
      </c>
      <c r="N1166" s="10">
        <f t="shared" si="75"/>
        <v>0.72934472934472938</v>
      </c>
    </row>
    <row r="1167" spans="1:14" x14ac:dyDescent="0.3">
      <c r="A1167" s="9" t="s">
        <v>1283</v>
      </c>
      <c r="B1167" s="9" t="s">
        <v>1275</v>
      </c>
      <c r="C1167" s="9" t="s">
        <v>36</v>
      </c>
      <c r="D1167" s="9" t="s">
        <v>25</v>
      </c>
      <c r="E1167" s="9">
        <v>1</v>
      </c>
      <c r="F1167" s="11">
        <v>31700</v>
      </c>
      <c r="G1167" s="9" t="str">
        <f>INDEX(Products!$B$2:$B$9,MATCH(D1167,Products!$A$2:$A$9,0))</f>
        <v>Trà hoa đậu biếc</v>
      </c>
      <c r="H1167" s="9" t="str">
        <f>INDEX(Products!$C$2:$C$9,MATCH(D1167,Products!$A$2:$A$9,0))</f>
        <v>An thần</v>
      </c>
      <c r="I1167" s="11">
        <f>INDEX(Products!$D$2:$D$9,MATCH(D1167,Products!$A$2:$A$9,0))</f>
        <v>8800</v>
      </c>
      <c r="J1167" s="10">
        <f>IFERROR(INDEX(PlatformFees!$C$2:$C$5,MATCH(C1167,PlatformFees!$A$2:$A$5,0)),0)</f>
        <v>0.13</v>
      </c>
      <c r="K1167" s="11">
        <f t="shared" si="72"/>
        <v>8800</v>
      </c>
      <c r="L1167" s="11">
        <f t="shared" si="73"/>
        <v>4121</v>
      </c>
      <c r="M1167" s="11">
        <f t="shared" si="74"/>
        <v>18779</v>
      </c>
      <c r="N1167" s="10">
        <f t="shared" si="75"/>
        <v>0.59239747634069395</v>
      </c>
    </row>
    <row r="1168" spans="1:14" x14ac:dyDescent="0.3">
      <c r="A1168" s="9" t="s">
        <v>1284</v>
      </c>
      <c r="B1168" s="9" t="s">
        <v>1275</v>
      </c>
      <c r="C1168" s="9" t="s">
        <v>38</v>
      </c>
      <c r="D1168" s="9" t="s">
        <v>12</v>
      </c>
      <c r="E1168" s="9">
        <v>2</v>
      </c>
      <c r="F1168" s="11">
        <v>66800</v>
      </c>
      <c r="G1168" s="9" t="str">
        <f>INDEX(Products!$B$2:$B$9,MATCH(D1168,Products!$A$2:$A$9,0))</f>
        <v>Trà atiso thanh lọc</v>
      </c>
      <c r="H1168" s="9" t="str">
        <f>INDEX(Products!$C$2:$C$9,MATCH(D1168,Products!$A$2:$A$9,0))</f>
        <v>Thanh lọc</v>
      </c>
      <c r="I1168" s="11">
        <f>INDEX(Products!$D$2:$D$9,MATCH(D1168,Products!$A$2:$A$9,0))</f>
        <v>9000</v>
      </c>
      <c r="J1168" s="10">
        <f>IFERROR(INDEX(PlatformFees!$C$2:$C$5,MATCH(C1168,PlatformFees!$A$2:$A$5,0)),0)</f>
        <v>0.16</v>
      </c>
      <c r="K1168" s="11">
        <f t="shared" si="72"/>
        <v>18000</v>
      </c>
      <c r="L1168" s="11">
        <f t="shared" si="73"/>
        <v>10688</v>
      </c>
      <c r="M1168" s="11">
        <f t="shared" si="74"/>
        <v>38112</v>
      </c>
      <c r="N1168" s="10">
        <f t="shared" si="75"/>
        <v>0.57053892215568858</v>
      </c>
    </row>
    <row r="1169" spans="1:14" x14ac:dyDescent="0.3">
      <c r="A1169" s="9" t="s">
        <v>1285</v>
      </c>
      <c r="B1169" s="9" t="s">
        <v>1275</v>
      </c>
      <c r="C1169" s="9" t="s">
        <v>36</v>
      </c>
      <c r="D1169" s="9" t="s">
        <v>17</v>
      </c>
      <c r="E1169" s="9">
        <v>3</v>
      </c>
      <c r="F1169" s="11">
        <v>117700</v>
      </c>
      <c r="G1169" s="9" t="str">
        <f>INDEX(Products!$B$2:$B$9,MATCH(D1169,Products!$A$2:$A$9,0))</f>
        <v>Trà diếp cá rau má</v>
      </c>
      <c r="H1169" s="9" t="str">
        <f>INDEX(Products!$C$2:$C$9,MATCH(D1169,Products!$A$2:$A$9,0))</f>
        <v>Detox</v>
      </c>
      <c r="I1169" s="11">
        <f>INDEX(Products!$D$2:$D$9,MATCH(D1169,Products!$A$2:$A$9,0))</f>
        <v>10500</v>
      </c>
      <c r="J1169" s="10">
        <f>IFERROR(INDEX(PlatformFees!$C$2:$C$5,MATCH(C1169,PlatformFees!$A$2:$A$5,0)),0)</f>
        <v>0.13</v>
      </c>
      <c r="K1169" s="11">
        <f t="shared" si="72"/>
        <v>31500</v>
      </c>
      <c r="L1169" s="11">
        <f t="shared" si="73"/>
        <v>15301</v>
      </c>
      <c r="M1169" s="11">
        <f t="shared" si="74"/>
        <v>70899</v>
      </c>
      <c r="N1169" s="10">
        <f t="shared" si="75"/>
        <v>0.60237043330501272</v>
      </c>
    </row>
    <row r="1170" spans="1:14" x14ac:dyDescent="0.3">
      <c r="A1170" s="9" t="s">
        <v>1286</v>
      </c>
      <c r="B1170" s="9" t="s">
        <v>1275</v>
      </c>
      <c r="C1170" s="9" t="s">
        <v>38</v>
      </c>
      <c r="D1170" s="9" t="s">
        <v>15</v>
      </c>
      <c r="E1170" s="9">
        <v>1</v>
      </c>
      <c r="F1170" s="11">
        <v>31800</v>
      </c>
      <c r="G1170" s="9" t="str">
        <f>INDEX(Products!$B$2:$B$9,MATCH(D1170,Products!$A$2:$A$9,0))</f>
        <v>Trà lá nam sen ổi</v>
      </c>
      <c r="H1170" s="9" t="str">
        <f>INDEX(Products!$C$2:$C$9,MATCH(D1170,Products!$A$2:$A$9,0))</f>
        <v>Thanh lọc</v>
      </c>
      <c r="I1170" s="11">
        <f>INDEX(Products!$D$2:$D$9,MATCH(D1170,Products!$A$2:$A$9,0))</f>
        <v>8500</v>
      </c>
      <c r="J1170" s="10">
        <f>IFERROR(INDEX(PlatformFees!$C$2:$C$5,MATCH(C1170,PlatformFees!$A$2:$A$5,0)),0)</f>
        <v>0.16</v>
      </c>
      <c r="K1170" s="11">
        <f t="shared" si="72"/>
        <v>8500</v>
      </c>
      <c r="L1170" s="11">
        <f t="shared" si="73"/>
        <v>5088</v>
      </c>
      <c r="M1170" s="11">
        <f t="shared" si="74"/>
        <v>18212</v>
      </c>
      <c r="N1170" s="10">
        <f t="shared" si="75"/>
        <v>0.5727044025157233</v>
      </c>
    </row>
    <row r="1171" spans="1:14" x14ac:dyDescent="0.3">
      <c r="A1171" s="9" t="s">
        <v>1287</v>
      </c>
      <c r="B1171" s="9" t="s">
        <v>1275</v>
      </c>
      <c r="C1171" s="9" t="s">
        <v>39</v>
      </c>
      <c r="D1171" s="9" t="s">
        <v>17</v>
      </c>
      <c r="E1171" s="9">
        <v>2</v>
      </c>
      <c r="F1171" s="11">
        <v>81600</v>
      </c>
      <c r="G1171" s="9" t="str">
        <f>INDEX(Products!$B$2:$B$9,MATCH(D1171,Products!$A$2:$A$9,0))</f>
        <v>Trà diếp cá rau má</v>
      </c>
      <c r="H1171" s="9" t="str">
        <f>INDEX(Products!$C$2:$C$9,MATCH(D1171,Products!$A$2:$A$9,0))</f>
        <v>Detox</v>
      </c>
      <c r="I1171" s="11">
        <f>INDEX(Products!$D$2:$D$9,MATCH(D1171,Products!$A$2:$A$9,0))</f>
        <v>10500</v>
      </c>
      <c r="J1171" s="10">
        <f>IFERROR(INDEX(PlatformFees!$C$2:$C$5,MATCH(C1171,PlatformFees!$A$2:$A$5,0)),0)</f>
        <v>0</v>
      </c>
      <c r="K1171" s="11">
        <f t="shared" si="72"/>
        <v>21000</v>
      </c>
      <c r="L1171" s="11">
        <f t="shared" si="73"/>
        <v>0</v>
      </c>
      <c r="M1171" s="11">
        <f t="shared" si="74"/>
        <v>60600</v>
      </c>
      <c r="N1171" s="10">
        <f t="shared" si="75"/>
        <v>0.74264705882352944</v>
      </c>
    </row>
    <row r="1172" spans="1:14" x14ac:dyDescent="0.3">
      <c r="A1172" s="9" t="s">
        <v>1288</v>
      </c>
      <c r="B1172" s="9" t="s">
        <v>1275</v>
      </c>
      <c r="C1172" s="9" t="s">
        <v>39</v>
      </c>
      <c r="D1172" s="9" t="s">
        <v>30</v>
      </c>
      <c r="E1172" s="9">
        <v>2</v>
      </c>
      <c r="F1172" s="11">
        <v>69800</v>
      </c>
      <c r="G1172" s="9" t="str">
        <f>INDEX(Products!$B$2:$B$9,MATCH(D1172,Products!$A$2:$A$9,0))</f>
        <v>Trà mâm xôi vitamin</v>
      </c>
      <c r="H1172" s="9" t="str">
        <f>INDEX(Products!$C$2:$C$9,MATCH(D1172,Products!$A$2:$A$9,0))</f>
        <v>Bổ sung dưỡng chất</v>
      </c>
      <c r="I1172" s="11">
        <f>INDEX(Products!$D$2:$D$9,MATCH(D1172,Products!$A$2:$A$9,0))</f>
        <v>9800</v>
      </c>
      <c r="J1172" s="10">
        <f>IFERROR(INDEX(PlatformFees!$C$2:$C$5,MATCH(C1172,PlatformFees!$A$2:$A$5,0)),0)</f>
        <v>0</v>
      </c>
      <c r="K1172" s="11">
        <f t="shared" si="72"/>
        <v>19600</v>
      </c>
      <c r="L1172" s="11">
        <f t="shared" si="73"/>
        <v>0</v>
      </c>
      <c r="M1172" s="11">
        <f t="shared" si="74"/>
        <v>50200</v>
      </c>
      <c r="N1172" s="10">
        <f t="shared" si="75"/>
        <v>0.71919770773638969</v>
      </c>
    </row>
    <row r="1173" spans="1:14" x14ac:dyDescent="0.3">
      <c r="A1173" s="9" t="s">
        <v>1289</v>
      </c>
      <c r="B1173" s="9" t="s">
        <v>1275</v>
      </c>
      <c r="C1173" s="9" t="s">
        <v>40</v>
      </c>
      <c r="D1173" s="9" t="s">
        <v>25</v>
      </c>
      <c r="E1173" s="9">
        <v>1</v>
      </c>
      <c r="F1173" s="11">
        <v>33500</v>
      </c>
      <c r="G1173" s="9" t="str">
        <f>INDEX(Products!$B$2:$B$9,MATCH(D1173,Products!$A$2:$A$9,0))</f>
        <v>Trà hoa đậu biếc</v>
      </c>
      <c r="H1173" s="9" t="str">
        <f>INDEX(Products!$C$2:$C$9,MATCH(D1173,Products!$A$2:$A$9,0))</f>
        <v>An thần</v>
      </c>
      <c r="I1173" s="11">
        <f>INDEX(Products!$D$2:$D$9,MATCH(D1173,Products!$A$2:$A$9,0))</f>
        <v>8800</v>
      </c>
      <c r="J1173" s="10">
        <f>IFERROR(INDEX(PlatformFees!$C$2:$C$5,MATCH(C1173,PlatformFees!$A$2:$A$5,0)),0)</f>
        <v>0</v>
      </c>
      <c r="K1173" s="11">
        <f t="shared" si="72"/>
        <v>8800</v>
      </c>
      <c r="L1173" s="11">
        <f t="shared" si="73"/>
        <v>0</v>
      </c>
      <c r="M1173" s="11">
        <f t="shared" si="74"/>
        <v>24700</v>
      </c>
      <c r="N1173" s="10">
        <f t="shared" si="75"/>
        <v>0.73731343283582085</v>
      </c>
    </row>
    <row r="1174" spans="1:14" x14ac:dyDescent="0.3">
      <c r="A1174" s="9" t="s">
        <v>1290</v>
      </c>
      <c r="B1174" s="9" t="s">
        <v>1275</v>
      </c>
      <c r="C1174" s="9" t="s">
        <v>38</v>
      </c>
      <c r="D1174" s="9" t="s">
        <v>25</v>
      </c>
      <c r="E1174" s="9">
        <v>2</v>
      </c>
      <c r="F1174" s="11">
        <v>65800</v>
      </c>
      <c r="G1174" s="9" t="str">
        <f>INDEX(Products!$B$2:$B$9,MATCH(D1174,Products!$A$2:$A$9,0))</f>
        <v>Trà hoa đậu biếc</v>
      </c>
      <c r="H1174" s="9" t="str">
        <f>INDEX(Products!$C$2:$C$9,MATCH(D1174,Products!$A$2:$A$9,0))</f>
        <v>An thần</v>
      </c>
      <c r="I1174" s="11">
        <f>INDEX(Products!$D$2:$D$9,MATCH(D1174,Products!$A$2:$A$9,0))</f>
        <v>8800</v>
      </c>
      <c r="J1174" s="10">
        <f>IFERROR(INDEX(PlatformFees!$C$2:$C$5,MATCH(C1174,PlatformFees!$A$2:$A$5,0)),0)</f>
        <v>0.16</v>
      </c>
      <c r="K1174" s="11">
        <f t="shared" si="72"/>
        <v>17600</v>
      </c>
      <c r="L1174" s="11">
        <f t="shared" si="73"/>
        <v>10528</v>
      </c>
      <c r="M1174" s="11">
        <f t="shared" si="74"/>
        <v>37672</v>
      </c>
      <c r="N1174" s="10">
        <f t="shared" si="75"/>
        <v>0.57252279635258363</v>
      </c>
    </row>
    <row r="1175" spans="1:14" x14ac:dyDescent="0.3">
      <c r="A1175" s="9" t="s">
        <v>1291</v>
      </c>
      <c r="B1175" s="9" t="s">
        <v>1275</v>
      </c>
      <c r="C1175" s="9" t="s">
        <v>38</v>
      </c>
      <c r="D1175" s="9" t="s">
        <v>20</v>
      </c>
      <c r="E1175" s="9">
        <v>1</v>
      </c>
      <c r="F1175" s="11">
        <v>53500</v>
      </c>
      <c r="G1175" s="9" t="str">
        <f>INDEX(Products!$B$2:$B$9,MATCH(D1175,Products!$A$2:$A$9,0))</f>
        <v>Trà cà leo gai giảm cân</v>
      </c>
      <c r="H1175" s="9" t="str">
        <f>INDEX(Products!$C$2:$C$9,MATCH(D1175,Products!$A$2:$A$9,0))</f>
        <v>Detox</v>
      </c>
      <c r="I1175" s="11">
        <f>INDEX(Products!$D$2:$D$9,MATCH(D1175,Products!$A$2:$A$9,0))</f>
        <v>15000</v>
      </c>
      <c r="J1175" s="10">
        <f>IFERROR(INDEX(PlatformFees!$C$2:$C$5,MATCH(C1175,PlatformFees!$A$2:$A$5,0)),0)</f>
        <v>0.16</v>
      </c>
      <c r="K1175" s="11">
        <f t="shared" si="72"/>
        <v>15000</v>
      </c>
      <c r="L1175" s="11">
        <f t="shared" si="73"/>
        <v>8560</v>
      </c>
      <c r="M1175" s="11">
        <f t="shared" si="74"/>
        <v>29940</v>
      </c>
      <c r="N1175" s="10">
        <f t="shared" si="75"/>
        <v>0.55962616822429911</v>
      </c>
    </row>
    <row r="1176" spans="1:14" x14ac:dyDescent="0.3">
      <c r="A1176" s="9" t="s">
        <v>1292</v>
      </c>
      <c r="B1176" s="9" t="s">
        <v>1275</v>
      </c>
      <c r="C1176" s="9" t="s">
        <v>36</v>
      </c>
      <c r="D1176" s="9" t="s">
        <v>12</v>
      </c>
      <c r="E1176" s="9">
        <v>1</v>
      </c>
      <c r="F1176" s="11">
        <v>33600</v>
      </c>
      <c r="G1176" s="9" t="str">
        <f>INDEX(Products!$B$2:$B$9,MATCH(D1176,Products!$A$2:$A$9,0))</f>
        <v>Trà atiso thanh lọc</v>
      </c>
      <c r="H1176" s="9" t="str">
        <f>INDEX(Products!$C$2:$C$9,MATCH(D1176,Products!$A$2:$A$9,0))</f>
        <v>Thanh lọc</v>
      </c>
      <c r="I1176" s="11">
        <f>INDEX(Products!$D$2:$D$9,MATCH(D1176,Products!$A$2:$A$9,0))</f>
        <v>9000</v>
      </c>
      <c r="J1176" s="10">
        <f>IFERROR(INDEX(PlatformFees!$C$2:$C$5,MATCH(C1176,PlatformFees!$A$2:$A$5,0)),0)</f>
        <v>0.13</v>
      </c>
      <c r="K1176" s="11">
        <f t="shared" si="72"/>
        <v>9000</v>
      </c>
      <c r="L1176" s="11">
        <f t="shared" si="73"/>
        <v>4368</v>
      </c>
      <c r="M1176" s="11">
        <f t="shared" si="74"/>
        <v>20232</v>
      </c>
      <c r="N1176" s="10">
        <f t="shared" si="75"/>
        <v>0.60214285714285709</v>
      </c>
    </row>
    <row r="1177" spans="1:14" x14ac:dyDescent="0.3">
      <c r="A1177" s="9" t="s">
        <v>1293</v>
      </c>
      <c r="B1177" s="9" t="s">
        <v>1275</v>
      </c>
      <c r="C1177" s="9" t="s">
        <v>36</v>
      </c>
      <c r="D1177" s="9" t="s">
        <v>17</v>
      </c>
      <c r="E1177" s="9">
        <v>1</v>
      </c>
      <c r="F1177" s="11">
        <v>41100</v>
      </c>
      <c r="G1177" s="9" t="str">
        <f>INDEX(Products!$B$2:$B$9,MATCH(D1177,Products!$A$2:$A$9,0))</f>
        <v>Trà diếp cá rau má</v>
      </c>
      <c r="H1177" s="9" t="str">
        <f>INDEX(Products!$C$2:$C$9,MATCH(D1177,Products!$A$2:$A$9,0))</f>
        <v>Detox</v>
      </c>
      <c r="I1177" s="11">
        <f>INDEX(Products!$D$2:$D$9,MATCH(D1177,Products!$A$2:$A$9,0))</f>
        <v>10500</v>
      </c>
      <c r="J1177" s="10">
        <f>IFERROR(INDEX(PlatformFees!$C$2:$C$5,MATCH(C1177,PlatformFees!$A$2:$A$5,0)),0)</f>
        <v>0.13</v>
      </c>
      <c r="K1177" s="11">
        <f t="shared" si="72"/>
        <v>10500</v>
      </c>
      <c r="L1177" s="11">
        <f t="shared" si="73"/>
        <v>5343</v>
      </c>
      <c r="M1177" s="11">
        <f t="shared" si="74"/>
        <v>25257</v>
      </c>
      <c r="N1177" s="10">
        <f t="shared" si="75"/>
        <v>0.61452554744525545</v>
      </c>
    </row>
    <row r="1178" spans="1:14" x14ac:dyDescent="0.3">
      <c r="A1178" s="9" t="s">
        <v>1294</v>
      </c>
      <c r="B1178" s="9" t="s">
        <v>1275</v>
      </c>
      <c r="C1178" s="9" t="s">
        <v>39</v>
      </c>
      <c r="D1178" s="9" t="s">
        <v>12</v>
      </c>
      <c r="E1178" s="9">
        <v>1</v>
      </c>
      <c r="F1178" s="11">
        <v>34000</v>
      </c>
      <c r="G1178" s="9" t="str">
        <f>INDEX(Products!$B$2:$B$9,MATCH(D1178,Products!$A$2:$A$9,0))</f>
        <v>Trà atiso thanh lọc</v>
      </c>
      <c r="H1178" s="9" t="str">
        <f>INDEX(Products!$C$2:$C$9,MATCH(D1178,Products!$A$2:$A$9,0))</f>
        <v>Thanh lọc</v>
      </c>
      <c r="I1178" s="11">
        <f>INDEX(Products!$D$2:$D$9,MATCH(D1178,Products!$A$2:$A$9,0))</f>
        <v>9000</v>
      </c>
      <c r="J1178" s="10">
        <f>IFERROR(INDEX(PlatformFees!$C$2:$C$5,MATCH(C1178,PlatformFees!$A$2:$A$5,0)),0)</f>
        <v>0</v>
      </c>
      <c r="K1178" s="11">
        <f t="shared" si="72"/>
        <v>9000</v>
      </c>
      <c r="L1178" s="11">
        <f t="shared" si="73"/>
        <v>0</v>
      </c>
      <c r="M1178" s="11">
        <f t="shared" si="74"/>
        <v>25000</v>
      </c>
      <c r="N1178" s="10">
        <f t="shared" si="75"/>
        <v>0.73529411764705888</v>
      </c>
    </row>
    <row r="1179" spans="1:14" x14ac:dyDescent="0.3">
      <c r="A1179" s="9" t="s">
        <v>1295</v>
      </c>
      <c r="B1179" s="9" t="s">
        <v>1275</v>
      </c>
      <c r="C1179" s="9" t="s">
        <v>36</v>
      </c>
      <c r="D1179" s="9" t="s">
        <v>30</v>
      </c>
      <c r="E1179" s="9">
        <v>2</v>
      </c>
      <c r="F1179" s="11">
        <v>68600</v>
      </c>
      <c r="G1179" s="9" t="str">
        <f>INDEX(Products!$B$2:$B$9,MATCH(D1179,Products!$A$2:$A$9,0))</f>
        <v>Trà mâm xôi vitamin</v>
      </c>
      <c r="H1179" s="9" t="str">
        <f>INDEX(Products!$C$2:$C$9,MATCH(D1179,Products!$A$2:$A$9,0))</f>
        <v>Bổ sung dưỡng chất</v>
      </c>
      <c r="I1179" s="11">
        <f>INDEX(Products!$D$2:$D$9,MATCH(D1179,Products!$A$2:$A$9,0))</f>
        <v>9800</v>
      </c>
      <c r="J1179" s="10">
        <f>IFERROR(INDEX(PlatformFees!$C$2:$C$5,MATCH(C1179,PlatformFees!$A$2:$A$5,0)),0)</f>
        <v>0.13</v>
      </c>
      <c r="K1179" s="11">
        <f t="shared" si="72"/>
        <v>19600</v>
      </c>
      <c r="L1179" s="11">
        <f t="shared" si="73"/>
        <v>8918</v>
      </c>
      <c r="M1179" s="11">
        <f t="shared" si="74"/>
        <v>40082</v>
      </c>
      <c r="N1179" s="10">
        <f t="shared" si="75"/>
        <v>0.5842857142857143</v>
      </c>
    </row>
    <row r="1180" spans="1:14" x14ac:dyDescent="0.3">
      <c r="A1180" s="9" t="s">
        <v>1296</v>
      </c>
      <c r="B1180" s="9" t="s">
        <v>1275</v>
      </c>
      <c r="C1180" s="9" t="s">
        <v>39</v>
      </c>
      <c r="D1180" s="9" t="s">
        <v>27</v>
      </c>
      <c r="E1180" s="9">
        <v>2</v>
      </c>
      <c r="F1180" s="11">
        <v>75600</v>
      </c>
      <c r="G1180" s="9" t="str">
        <f>INDEX(Products!$B$2:$B$9,MATCH(D1180,Products!$A$2:$A$9,0))</f>
        <v>Trà gừng mật ong</v>
      </c>
      <c r="H1180" s="9" t="str">
        <f>INDEX(Products!$C$2:$C$9,MATCH(D1180,Products!$A$2:$A$9,0))</f>
        <v>Giữ ấm</v>
      </c>
      <c r="I1180" s="11">
        <f>INDEX(Products!$D$2:$D$9,MATCH(D1180,Products!$A$2:$A$9,0))</f>
        <v>11000</v>
      </c>
      <c r="J1180" s="10">
        <f>IFERROR(INDEX(PlatformFees!$C$2:$C$5,MATCH(C1180,PlatformFees!$A$2:$A$5,0)),0)</f>
        <v>0</v>
      </c>
      <c r="K1180" s="11">
        <f t="shared" si="72"/>
        <v>22000</v>
      </c>
      <c r="L1180" s="11">
        <f t="shared" si="73"/>
        <v>0</v>
      </c>
      <c r="M1180" s="11">
        <f t="shared" si="74"/>
        <v>53600</v>
      </c>
      <c r="N1180" s="10">
        <f t="shared" si="75"/>
        <v>0.70899470899470896</v>
      </c>
    </row>
    <row r="1181" spans="1:14" x14ac:dyDescent="0.3">
      <c r="A1181" s="9" t="s">
        <v>1297</v>
      </c>
      <c r="B1181" s="9" t="s">
        <v>1275</v>
      </c>
      <c r="C1181" s="9" t="s">
        <v>36</v>
      </c>
      <c r="D1181" s="9" t="s">
        <v>17</v>
      </c>
      <c r="E1181" s="9">
        <v>2</v>
      </c>
      <c r="F1181" s="11">
        <v>85400</v>
      </c>
      <c r="G1181" s="9" t="str">
        <f>INDEX(Products!$B$2:$B$9,MATCH(D1181,Products!$A$2:$A$9,0))</f>
        <v>Trà diếp cá rau má</v>
      </c>
      <c r="H1181" s="9" t="str">
        <f>INDEX(Products!$C$2:$C$9,MATCH(D1181,Products!$A$2:$A$9,0))</f>
        <v>Detox</v>
      </c>
      <c r="I1181" s="11">
        <f>INDEX(Products!$D$2:$D$9,MATCH(D1181,Products!$A$2:$A$9,0))</f>
        <v>10500</v>
      </c>
      <c r="J1181" s="10">
        <f>IFERROR(INDEX(PlatformFees!$C$2:$C$5,MATCH(C1181,PlatformFees!$A$2:$A$5,0)),0)</f>
        <v>0.13</v>
      </c>
      <c r="K1181" s="11">
        <f t="shared" si="72"/>
        <v>21000</v>
      </c>
      <c r="L1181" s="11">
        <f t="shared" si="73"/>
        <v>11102</v>
      </c>
      <c r="M1181" s="11">
        <f t="shared" si="74"/>
        <v>53298</v>
      </c>
      <c r="N1181" s="10">
        <f t="shared" si="75"/>
        <v>0.62409836065573765</v>
      </c>
    </row>
    <row r="1182" spans="1:14" x14ac:dyDescent="0.3">
      <c r="A1182" s="9" t="s">
        <v>1298</v>
      </c>
      <c r="B1182" s="9" t="s">
        <v>1275</v>
      </c>
      <c r="C1182" s="9" t="s">
        <v>36</v>
      </c>
      <c r="D1182" s="9" t="s">
        <v>17</v>
      </c>
      <c r="E1182" s="9">
        <v>3</v>
      </c>
      <c r="F1182" s="11">
        <v>126100</v>
      </c>
      <c r="G1182" s="9" t="str">
        <f>INDEX(Products!$B$2:$B$9,MATCH(D1182,Products!$A$2:$A$9,0))</f>
        <v>Trà diếp cá rau má</v>
      </c>
      <c r="H1182" s="9" t="str">
        <f>INDEX(Products!$C$2:$C$9,MATCH(D1182,Products!$A$2:$A$9,0))</f>
        <v>Detox</v>
      </c>
      <c r="I1182" s="11">
        <f>INDEX(Products!$D$2:$D$9,MATCH(D1182,Products!$A$2:$A$9,0))</f>
        <v>10500</v>
      </c>
      <c r="J1182" s="10">
        <f>IFERROR(INDEX(PlatformFees!$C$2:$C$5,MATCH(C1182,PlatformFees!$A$2:$A$5,0)),0)</f>
        <v>0.13</v>
      </c>
      <c r="K1182" s="11">
        <f t="shared" si="72"/>
        <v>31500</v>
      </c>
      <c r="L1182" s="11">
        <f t="shared" si="73"/>
        <v>16393</v>
      </c>
      <c r="M1182" s="11">
        <f t="shared" si="74"/>
        <v>78207</v>
      </c>
      <c r="N1182" s="10">
        <f t="shared" si="75"/>
        <v>0.62019825535289452</v>
      </c>
    </row>
    <row r="1183" spans="1:14" x14ac:dyDescent="0.3">
      <c r="A1183" s="9" t="s">
        <v>1299</v>
      </c>
      <c r="B1183" s="9" t="s">
        <v>1300</v>
      </c>
      <c r="C1183" s="9" t="s">
        <v>39</v>
      </c>
      <c r="D1183" s="9" t="s">
        <v>15</v>
      </c>
      <c r="E1183" s="9">
        <v>1</v>
      </c>
      <c r="F1183" s="11">
        <v>30900</v>
      </c>
      <c r="G1183" s="9" t="str">
        <f>INDEX(Products!$B$2:$B$9,MATCH(D1183,Products!$A$2:$A$9,0))</f>
        <v>Trà lá nam sen ổi</v>
      </c>
      <c r="H1183" s="9" t="str">
        <f>INDEX(Products!$C$2:$C$9,MATCH(D1183,Products!$A$2:$A$9,0))</f>
        <v>Thanh lọc</v>
      </c>
      <c r="I1183" s="11">
        <f>INDEX(Products!$D$2:$D$9,MATCH(D1183,Products!$A$2:$A$9,0))</f>
        <v>8500</v>
      </c>
      <c r="J1183" s="10">
        <f>IFERROR(INDEX(PlatformFees!$C$2:$C$5,MATCH(C1183,PlatformFees!$A$2:$A$5,0)),0)</f>
        <v>0</v>
      </c>
      <c r="K1183" s="11">
        <f t="shared" si="72"/>
        <v>8500</v>
      </c>
      <c r="L1183" s="11">
        <f t="shared" si="73"/>
        <v>0</v>
      </c>
      <c r="M1183" s="11">
        <f t="shared" si="74"/>
        <v>22400</v>
      </c>
      <c r="N1183" s="10">
        <f t="shared" si="75"/>
        <v>0.72491909385113273</v>
      </c>
    </row>
    <row r="1184" spans="1:14" x14ac:dyDescent="0.3">
      <c r="A1184" s="9" t="s">
        <v>1301</v>
      </c>
      <c r="B1184" s="9" t="s">
        <v>1300</v>
      </c>
      <c r="C1184" s="9" t="s">
        <v>36</v>
      </c>
      <c r="D1184" s="9" t="s">
        <v>25</v>
      </c>
      <c r="E1184" s="9">
        <v>2</v>
      </c>
      <c r="F1184" s="11">
        <v>68600</v>
      </c>
      <c r="G1184" s="9" t="str">
        <f>INDEX(Products!$B$2:$B$9,MATCH(D1184,Products!$A$2:$A$9,0))</f>
        <v>Trà hoa đậu biếc</v>
      </c>
      <c r="H1184" s="9" t="str">
        <f>INDEX(Products!$C$2:$C$9,MATCH(D1184,Products!$A$2:$A$9,0))</f>
        <v>An thần</v>
      </c>
      <c r="I1184" s="11">
        <f>INDEX(Products!$D$2:$D$9,MATCH(D1184,Products!$A$2:$A$9,0))</f>
        <v>8800</v>
      </c>
      <c r="J1184" s="10">
        <f>IFERROR(INDEX(PlatformFees!$C$2:$C$5,MATCH(C1184,PlatformFees!$A$2:$A$5,0)),0)</f>
        <v>0.13</v>
      </c>
      <c r="K1184" s="11">
        <f t="shared" si="72"/>
        <v>17600</v>
      </c>
      <c r="L1184" s="11">
        <f t="shared" si="73"/>
        <v>8918</v>
      </c>
      <c r="M1184" s="11">
        <f t="shared" si="74"/>
        <v>42082</v>
      </c>
      <c r="N1184" s="10">
        <f t="shared" si="75"/>
        <v>0.6134402332361516</v>
      </c>
    </row>
    <row r="1185" spans="1:14" x14ac:dyDescent="0.3">
      <c r="A1185" s="9" t="s">
        <v>1302</v>
      </c>
      <c r="B1185" s="9" t="s">
        <v>1300</v>
      </c>
      <c r="C1185" s="9" t="s">
        <v>38</v>
      </c>
      <c r="D1185" s="9" t="s">
        <v>17</v>
      </c>
      <c r="E1185" s="9">
        <v>3</v>
      </c>
      <c r="F1185" s="11">
        <v>123300</v>
      </c>
      <c r="G1185" s="9" t="str">
        <f>INDEX(Products!$B$2:$B$9,MATCH(D1185,Products!$A$2:$A$9,0))</f>
        <v>Trà diếp cá rau má</v>
      </c>
      <c r="H1185" s="9" t="str">
        <f>INDEX(Products!$C$2:$C$9,MATCH(D1185,Products!$A$2:$A$9,0))</f>
        <v>Detox</v>
      </c>
      <c r="I1185" s="11">
        <f>INDEX(Products!$D$2:$D$9,MATCH(D1185,Products!$A$2:$A$9,0))</f>
        <v>10500</v>
      </c>
      <c r="J1185" s="10">
        <f>IFERROR(INDEX(PlatformFees!$C$2:$C$5,MATCH(C1185,PlatformFees!$A$2:$A$5,0)),0)</f>
        <v>0.16</v>
      </c>
      <c r="K1185" s="11">
        <f t="shared" si="72"/>
        <v>31500</v>
      </c>
      <c r="L1185" s="11">
        <f t="shared" si="73"/>
        <v>19728</v>
      </c>
      <c r="M1185" s="11">
        <f t="shared" si="74"/>
        <v>72072</v>
      </c>
      <c r="N1185" s="10">
        <f t="shared" si="75"/>
        <v>0.58452554744525542</v>
      </c>
    </row>
    <row r="1186" spans="1:14" x14ac:dyDescent="0.3">
      <c r="A1186" s="9" t="s">
        <v>1303</v>
      </c>
      <c r="B1186" s="9" t="s">
        <v>1300</v>
      </c>
      <c r="C1186" s="9" t="s">
        <v>36</v>
      </c>
      <c r="D1186" s="9" t="s">
        <v>15</v>
      </c>
      <c r="E1186" s="9">
        <v>1</v>
      </c>
      <c r="F1186" s="11">
        <v>30100</v>
      </c>
      <c r="G1186" s="9" t="str">
        <f>INDEX(Products!$B$2:$B$9,MATCH(D1186,Products!$A$2:$A$9,0))</f>
        <v>Trà lá nam sen ổi</v>
      </c>
      <c r="H1186" s="9" t="str">
        <f>INDEX(Products!$C$2:$C$9,MATCH(D1186,Products!$A$2:$A$9,0))</f>
        <v>Thanh lọc</v>
      </c>
      <c r="I1186" s="11">
        <f>INDEX(Products!$D$2:$D$9,MATCH(D1186,Products!$A$2:$A$9,0))</f>
        <v>8500</v>
      </c>
      <c r="J1186" s="10">
        <f>IFERROR(INDEX(PlatformFees!$C$2:$C$5,MATCH(C1186,PlatformFees!$A$2:$A$5,0)),0)</f>
        <v>0.13</v>
      </c>
      <c r="K1186" s="11">
        <f t="shared" si="72"/>
        <v>8500</v>
      </c>
      <c r="L1186" s="11">
        <f t="shared" si="73"/>
        <v>3913</v>
      </c>
      <c r="M1186" s="11">
        <f t="shared" si="74"/>
        <v>17687</v>
      </c>
      <c r="N1186" s="10">
        <f t="shared" si="75"/>
        <v>0.58760797342192694</v>
      </c>
    </row>
    <row r="1187" spans="1:14" x14ac:dyDescent="0.3">
      <c r="A1187" s="9" t="s">
        <v>1304</v>
      </c>
      <c r="B1187" s="9" t="s">
        <v>1300</v>
      </c>
      <c r="C1187" s="9" t="s">
        <v>36</v>
      </c>
      <c r="D1187" s="9" t="s">
        <v>22</v>
      </c>
      <c r="E1187" s="9">
        <v>2</v>
      </c>
      <c r="F1187" s="11">
        <v>73700</v>
      </c>
      <c r="G1187" s="9" t="str">
        <f>INDEX(Products!$B$2:$B$9,MATCH(D1187,Products!$A$2:$A$9,0))</f>
        <v>Trà hoa cúc an thần</v>
      </c>
      <c r="H1187" s="9" t="str">
        <f>INDEX(Products!$C$2:$C$9,MATCH(D1187,Products!$A$2:$A$9,0))</f>
        <v>An thần</v>
      </c>
      <c r="I1187" s="11">
        <f>INDEX(Products!$D$2:$D$9,MATCH(D1187,Products!$A$2:$A$9,0))</f>
        <v>9500</v>
      </c>
      <c r="J1187" s="10">
        <f>IFERROR(INDEX(PlatformFees!$C$2:$C$5,MATCH(C1187,PlatformFees!$A$2:$A$5,0)),0)</f>
        <v>0.13</v>
      </c>
      <c r="K1187" s="11">
        <f t="shared" si="72"/>
        <v>19000</v>
      </c>
      <c r="L1187" s="11">
        <f t="shared" si="73"/>
        <v>9581</v>
      </c>
      <c r="M1187" s="11">
        <f t="shared" si="74"/>
        <v>45119</v>
      </c>
      <c r="N1187" s="10">
        <f t="shared" si="75"/>
        <v>0.61219810040705558</v>
      </c>
    </row>
    <row r="1188" spans="1:14" x14ac:dyDescent="0.3">
      <c r="A1188" s="9" t="s">
        <v>1305</v>
      </c>
      <c r="B1188" s="9" t="s">
        <v>1300</v>
      </c>
      <c r="C1188" s="9" t="s">
        <v>39</v>
      </c>
      <c r="D1188" s="9" t="s">
        <v>22</v>
      </c>
      <c r="E1188" s="9">
        <v>1</v>
      </c>
      <c r="F1188" s="11">
        <v>35000</v>
      </c>
      <c r="G1188" s="9" t="str">
        <f>INDEX(Products!$B$2:$B$9,MATCH(D1188,Products!$A$2:$A$9,0))</f>
        <v>Trà hoa cúc an thần</v>
      </c>
      <c r="H1188" s="9" t="str">
        <f>INDEX(Products!$C$2:$C$9,MATCH(D1188,Products!$A$2:$A$9,0))</f>
        <v>An thần</v>
      </c>
      <c r="I1188" s="11">
        <f>INDEX(Products!$D$2:$D$9,MATCH(D1188,Products!$A$2:$A$9,0))</f>
        <v>9500</v>
      </c>
      <c r="J1188" s="10">
        <f>IFERROR(INDEX(PlatformFees!$C$2:$C$5,MATCH(C1188,PlatformFees!$A$2:$A$5,0)),0)</f>
        <v>0</v>
      </c>
      <c r="K1188" s="11">
        <f t="shared" si="72"/>
        <v>9500</v>
      </c>
      <c r="L1188" s="11">
        <f t="shared" si="73"/>
        <v>0</v>
      </c>
      <c r="M1188" s="11">
        <f t="shared" si="74"/>
        <v>25500</v>
      </c>
      <c r="N1188" s="10">
        <f t="shared" si="75"/>
        <v>0.72857142857142854</v>
      </c>
    </row>
    <row r="1189" spans="1:14" x14ac:dyDescent="0.3">
      <c r="A1189" s="9" t="s">
        <v>1306</v>
      </c>
      <c r="B1189" s="9" t="s">
        <v>1300</v>
      </c>
      <c r="C1189" s="9" t="s">
        <v>36</v>
      </c>
      <c r="D1189" s="9" t="s">
        <v>20</v>
      </c>
      <c r="E1189" s="9">
        <v>1</v>
      </c>
      <c r="F1189" s="11">
        <v>56500</v>
      </c>
      <c r="G1189" s="9" t="str">
        <f>INDEX(Products!$B$2:$B$9,MATCH(D1189,Products!$A$2:$A$9,0))</f>
        <v>Trà cà leo gai giảm cân</v>
      </c>
      <c r="H1189" s="9" t="str">
        <f>INDEX(Products!$C$2:$C$9,MATCH(D1189,Products!$A$2:$A$9,0))</f>
        <v>Detox</v>
      </c>
      <c r="I1189" s="11">
        <f>INDEX(Products!$D$2:$D$9,MATCH(D1189,Products!$A$2:$A$9,0))</f>
        <v>15000</v>
      </c>
      <c r="J1189" s="10">
        <f>IFERROR(INDEX(PlatformFees!$C$2:$C$5,MATCH(C1189,PlatformFees!$A$2:$A$5,0)),0)</f>
        <v>0.13</v>
      </c>
      <c r="K1189" s="11">
        <f t="shared" si="72"/>
        <v>15000</v>
      </c>
      <c r="L1189" s="11">
        <f t="shared" si="73"/>
        <v>7345</v>
      </c>
      <c r="M1189" s="11">
        <f t="shared" si="74"/>
        <v>34155</v>
      </c>
      <c r="N1189" s="10">
        <f t="shared" si="75"/>
        <v>0.60451327433628321</v>
      </c>
    </row>
    <row r="1190" spans="1:14" x14ac:dyDescent="0.3">
      <c r="A1190" s="9" t="s">
        <v>1307</v>
      </c>
      <c r="B1190" s="9" t="s">
        <v>1300</v>
      </c>
      <c r="C1190" s="9" t="s">
        <v>36</v>
      </c>
      <c r="D1190" s="9" t="s">
        <v>15</v>
      </c>
      <c r="E1190" s="9">
        <v>2</v>
      </c>
      <c r="F1190" s="11">
        <v>64000</v>
      </c>
      <c r="G1190" s="9" t="str">
        <f>INDEX(Products!$B$2:$B$9,MATCH(D1190,Products!$A$2:$A$9,0))</f>
        <v>Trà lá nam sen ổi</v>
      </c>
      <c r="H1190" s="9" t="str">
        <f>INDEX(Products!$C$2:$C$9,MATCH(D1190,Products!$A$2:$A$9,0))</f>
        <v>Thanh lọc</v>
      </c>
      <c r="I1190" s="11">
        <f>INDEX(Products!$D$2:$D$9,MATCH(D1190,Products!$A$2:$A$9,0))</f>
        <v>8500</v>
      </c>
      <c r="J1190" s="10">
        <f>IFERROR(INDEX(PlatformFees!$C$2:$C$5,MATCH(C1190,PlatformFees!$A$2:$A$5,0)),0)</f>
        <v>0.13</v>
      </c>
      <c r="K1190" s="11">
        <f t="shared" si="72"/>
        <v>17000</v>
      </c>
      <c r="L1190" s="11">
        <f t="shared" si="73"/>
        <v>8320</v>
      </c>
      <c r="M1190" s="11">
        <f t="shared" si="74"/>
        <v>38680</v>
      </c>
      <c r="N1190" s="10">
        <f t="shared" si="75"/>
        <v>0.604375</v>
      </c>
    </row>
    <row r="1191" spans="1:14" x14ac:dyDescent="0.3">
      <c r="A1191" s="9" t="s">
        <v>1308</v>
      </c>
      <c r="B1191" s="9" t="s">
        <v>1300</v>
      </c>
      <c r="C1191" s="9" t="s">
        <v>36</v>
      </c>
      <c r="D1191" s="9" t="s">
        <v>15</v>
      </c>
      <c r="E1191" s="9">
        <v>2</v>
      </c>
      <c r="F1191" s="11">
        <v>60400</v>
      </c>
      <c r="G1191" s="9" t="str">
        <f>INDEX(Products!$B$2:$B$9,MATCH(D1191,Products!$A$2:$A$9,0))</f>
        <v>Trà lá nam sen ổi</v>
      </c>
      <c r="H1191" s="9" t="str">
        <f>INDEX(Products!$C$2:$C$9,MATCH(D1191,Products!$A$2:$A$9,0))</f>
        <v>Thanh lọc</v>
      </c>
      <c r="I1191" s="11">
        <f>INDEX(Products!$D$2:$D$9,MATCH(D1191,Products!$A$2:$A$9,0))</f>
        <v>8500</v>
      </c>
      <c r="J1191" s="10">
        <f>IFERROR(INDEX(PlatformFees!$C$2:$C$5,MATCH(C1191,PlatformFees!$A$2:$A$5,0)),0)</f>
        <v>0.13</v>
      </c>
      <c r="K1191" s="11">
        <f t="shared" si="72"/>
        <v>17000</v>
      </c>
      <c r="L1191" s="11">
        <f t="shared" si="73"/>
        <v>7852</v>
      </c>
      <c r="M1191" s="11">
        <f t="shared" si="74"/>
        <v>35548</v>
      </c>
      <c r="N1191" s="10">
        <f t="shared" si="75"/>
        <v>0.5885430463576159</v>
      </c>
    </row>
    <row r="1192" spans="1:14" x14ac:dyDescent="0.3">
      <c r="A1192" s="9" t="s">
        <v>1309</v>
      </c>
      <c r="B1192" s="9" t="s">
        <v>1300</v>
      </c>
      <c r="C1192" s="9" t="s">
        <v>36</v>
      </c>
      <c r="D1192" s="9" t="s">
        <v>25</v>
      </c>
      <c r="E1192" s="9">
        <v>2</v>
      </c>
      <c r="F1192" s="11">
        <v>70000</v>
      </c>
      <c r="G1192" s="9" t="str">
        <f>INDEX(Products!$B$2:$B$9,MATCH(D1192,Products!$A$2:$A$9,0))</f>
        <v>Trà hoa đậu biếc</v>
      </c>
      <c r="H1192" s="9" t="str">
        <f>INDEX(Products!$C$2:$C$9,MATCH(D1192,Products!$A$2:$A$9,0))</f>
        <v>An thần</v>
      </c>
      <c r="I1192" s="11">
        <f>INDEX(Products!$D$2:$D$9,MATCH(D1192,Products!$A$2:$A$9,0))</f>
        <v>8800</v>
      </c>
      <c r="J1192" s="10">
        <f>IFERROR(INDEX(PlatformFees!$C$2:$C$5,MATCH(C1192,PlatformFees!$A$2:$A$5,0)),0)</f>
        <v>0.13</v>
      </c>
      <c r="K1192" s="11">
        <f t="shared" si="72"/>
        <v>17600</v>
      </c>
      <c r="L1192" s="11">
        <f t="shared" si="73"/>
        <v>9100</v>
      </c>
      <c r="M1192" s="11">
        <f t="shared" si="74"/>
        <v>43300</v>
      </c>
      <c r="N1192" s="10">
        <f t="shared" si="75"/>
        <v>0.61857142857142855</v>
      </c>
    </row>
    <row r="1193" spans="1:14" x14ac:dyDescent="0.3">
      <c r="A1193" s="9" t="s">
        <v>1310</v>
      </c>
      <c r="B1193" s="9" t="s">
        <v>1300</v>
      </c>
      <c r="C1193" s="9" t="s">
        <v>38</v>
      </c>
      <c r="D1193" s="9" t="s">
        <v>25</v>
      </c>
      <c r="E1193" s="9">
        <v>1</v>
      </c>
      <c r="F1193" s="11">
        <v>31600</v>
      </c>
      <c r="G1193" s="9" t="str">
        <f>INDEX(Products!$B$2:$B$9,MATCH(D1193,Products!$A$2:$A$9,0))</f>
        <v>Trà hoa đậu biếc</v>
      </c>
      <c r="H1193" s="9" t="str">
        <f>INDEX(Products!$C$2:$C$9,MATCH(D1193,Products!$A$2:$A$9,0))</f>
        <v>An thần</v>
      </c>
      <c r="I1193" s="11">
        <f>INDEX(Products!$D$2:$D$9,MATCH(D1193,Products!$A$2:$A$9,0))</f>
        <v>8800</v>
      </c>
      <c r="J1193" s="10">
        <f>IFERROR(INDEX(PlatformFees!$C$2:$C$5,MATCH(C1193,PlatformFees!$A$2:$A$5,0)),0)</f>
        <v>0.16</v>
      </c>
      <c r="K1193" s="11">
        <f t="shared" si="72"/>
        <v>8800</v>
      </c>
      <c r="L1193" s="11">
        <f t="shared" si="73"/>
        <v>5056</v>
      </c>
      <c r="M1193" s="11">
        <f t="shared" si="74"/>
        <v>17744</v>
      </c>
      <c r="N1193" s="10">
        <f t="shared" si="75"/>
        <v>0.56151898734177219</v>
      </c>
    </row>
    <row r="1194" spans="1:14" x14ac:dyDescent="0.3">
      <c r="A1194" s="9" t="s">
        <v>1311</v>
      </c>
      <c r="B1194" s="9" t="s">
        <v>1300</v>
      </c>
      <c r="C1194" s="9" t="s">
        <v>39</v>
      </c>
      <c r="D1194" s="9" t="s">
        <v>15</v>
      </c>
      <c r="E1194" s="9">
        <v>1</v>
      </c>
      <c r="F1194" s="11">
        <v>32200</v>
      </c>
      <c r="G1194" s="9" t="str">
        <f>INDEX(Products!$B$2:$B$9,MATCH(D1194,Products!$A$2:$A$9,0))</f>
        <v>Trà lá nam sen ổi</v>
      </c>
      <c r="H1194" s="9" t="str">
        <f>INDEX(Products!$C$2:$C$9,MATCH(D1194,Products!$A$2:$A$9,0))</f>
        <v>Thanh lọc</v>
      </c>
      <c r="I1194" s="11">
        <f>INDEX(Products!$D$2:$D$9,MATCH(D1194,Products!$A$2:$A$9,0))</f>
        <v>8500</v>
      </c>
      <c r="J1194" s="10">
        <f>IFERROR(INDEX(PlatformFees!$C$2:$C$5,MATCH(C1194,PlatformFees!$A$2:$A$5,0)),0)</f>
        <v>0</v>
      </c>
      <c r="K1194" s="11">
        <f t="shared" si="72"/>
        <v>8500</v>
      </c>
      <c r="L1194" s="11">
        <f t="shared" si="73"/>
        <v>0</v>
      </c>
      <c r="M1194" s="11">
        <f t="shared" si="74"/>
        <v>23700</v>
      </c>
      <c r="N1194" s="10">
        <f t="shared" si="75"/>
        <v>0.7360248447204969</v>
      </c>
    </row>
    <row r="1195" spans="1:14" x14ac:dyDescent="0.3">
      <c r="A1195" s="9" t="s">
        <v>1312</v>
      </c>
      <c r="B1195" s="9" t="s">
        <v>1300</v>
      </c>
      <c r="C1195" s="9" t="s">
        <v>36</v>
      </c>
      <c r="D1195" s="9" t="s">
        <v>20</v>
      </c>
      <c r="E1195" s="9">
        <v>1</v>
      </c>
      <c r="F1195" s="11">
        <v>56000</v>
      </c>
      <c r="G1195" s="9" t="str">
        <f>INDEX(Products!$B$2:$B$9,MATCH(D1195,Products!$A$2:$A$9,0))</f>
        <v>Trà cà leo gai giảm cân</v>
      </c>
      <c r="H1195" s="9" t="str">
        <f>INDEX(Products!$C$2:$C$9,MATCH(D1195,Products!$A$2:$A$9,0))</f>
        <v>Detox</v>
      </c>
      <c r="I1195" s="11">
        <f>INDEX(Products!$D$2:$D$9,MATCH(D1195,Products!$A$2:$A$9,0))</f>
        <v>15000</v>
      </c>
      <c r="J1195" s="10">
        <f>IFERROR(INDEX(PlatformFees!$C$2:$C$5,MATCH(C1195,PlatformFees!$A$2:$A$5,0)),0)</f>
        <v>0.13</v>
      </c>
      <c r="K1195" s="11">
        <f t="shared" si="72"/>
        <v>15000</v>
      </c>
      <c r="L1195" s="11">
        <f t="shared" si="73"/>
        <v>7280</v>
      </c>
      <c r="M1195" s="11">
        <f t="shared" si="74"/>
        <v>33720</v>
      </c>
      <c r="N1195" s="10">
        <f t="shared" si="75"/>
        <v>0.60214285714285709</v>
      </c>
    </row>
    <row r="1196" spans="1:14" x14ac:dyDescent="0.3">
      <c r="A1196" s="9" t="s">
        <v>1313</v>
      </c>
      <c r="B1196" s="9" t="s">
        <v>1300</v>
      </c>
      <c r="C1196" s="9" t="s">
        <v>36</v>
      </c>
      <c r="D1196" s="9" t="s">
        <v>17</v>
      </c>
      <c r="E1196" s="9">
        <v>1</v>
      </c>
      <c r="F1196" s="11">
        <v>39200</v>
      </c>
      <c r="G1196" s="9" t="str">
        <f>INDEX(Products!$B$2:$B$9,MATCH(D1196,Products!$A$2:$A$9,0))</f>
        <v>Trà diếp cá rau má</v>
      </c>
      <c r="H1196" s="9" t="str">
        <f>INDEX(Products!$C$2:$C$9,MATCH(D1196,Products!$A$2:$A$9,0))</f>
        <v>Detox</v>
      </c>
      <c r="I1196" s="11">
        <f>INDEX(Products!$D$2:$D$9,MATCH(D1196,Products!$A$2:$A$9,0))</f>
        <v>10500</v>
      </c>
      <c r="J1196" s="10">
        <f>IFERROR(INDEX(PlatformFees!$C$2:$C$5,MATCH(C1196,PlatformFees!$A$2:$A$5,0)),0)</f>
        <v>0.13</v>
      </c>
      <c r="K1196" s="11">
        <f t="shared" si="72"/>
        <v>10500</v>
      </c>
      <c r="L1196" s="11">
        <f t="shared" si="73"/>
        <v>5096</v>
      </c>
      <c r="M1196" s="11">
        <f t="shared" si="74"/>
        <v>23604</v>
      </c>
      <c r="N1196" s="10">
        <f t="shared" si="75"/>
        <v>0.60214285714285709</v>
      </c>
    </row>
    <row r="1197" spans="1:14" x14ac:dyDescent="0.3">
      <c r="A1197" s="9" t="s">
        <v>1314</v>
      </c>
      <c r="B1197" s="9" t="s">
        <v>1300</v>
      </c>
      <c r="C1197" s="9" t="s">
        <v>39</v>
      </c>
      <c r="D1197" s="9" t="s">
        <v>15</v>
      </c>
      <c r="E1197" s="9">
        <v>2</v>
      </c>
      <c r="F1197" s="11">
        <v>60600</v>
      </c>
      <c r="G1197" s="9" t="str">
        <f>INDEX(Products!$B$2:$B$9,MATCH(D1197,Products!$A$2:$A$9,0))</f>
        <v>Trà lá nam sen ổi</v>
      </c>
      <c r="H1197" s="9" t="str">
        <f>INDEX(Products!$C$2:$C$9,MATCH(D1197,Products!$A$2:$A$9,0))</f>
        <v>Thanh lọc</v>
      </c>
      <c r="I1197" s="11">
        <f>INDEX(Products!$D$2:$D$9,MATCH(D1197,Products!$A$2:$A$9,0))</f>
        <v>8500</v>
      </c>
      <c r="J1197" s="10">
        <f>IFERROR(INDEX(PlatformFees!$C$2:$C$5,MATCH(C1197,PlatformFees!$A$2:$A$5,0)),0)</f>
        <v>0</v>
      </c>
      <c r="K1197" s="11">
        <f t="shared" si="72"/>
        <v>17000</v>
      </c>
      <c r="L1197" s="11">
        <f t="shared" si="73"/>
        <v>0</v>
      </c>
      <c r="M1197" s="11">
        <f t="shared" si="74"/>
        <v>43600</v>
      </c>
      <c r="N1197" s="10">
        <f t="shared" si="75"/>
        <v>0.71947194719471952</v>
      </c>
    </row>
    <row r="1198" spans="1:14" x14ac:dyDescent="0.3">
      <c r="A1198" s="9" t="s">
        <v>1315</v>
      </c>
      <c r="B1198" s="9" t="s">
        <v>1300</v>
      </c>
      <c r="C1198" s="9" t="s">
        <v>40</v>
      </c>
      <c r="D1198" s="9" t="s">
        <v>15</v>
      </c>
      <c r="E1198" s="9">
        <v>3</v>
      </c>
      <c r="F1198" s="11">
        <v>96500</v>
      </c>
      <c r="G1198" s="9" t="str">
        <f>INDEX(Products!$B$2:$B$9,MATCH(D1198,Products!$A$2:$A$9,0))</f>
        <v>Trà lá nam sen ổi</v>
      </c>
      <c r="H1198" s="9" t="str">
        <f>INDEX(Products!$C$2:$C$9,MATCH(D1198,Products!$A$2:$A$9,0))</f>
        <v>Thanh lọc</v>
      </c>
      <c r="I1198" s="11">
        <f>INDEX(Products!$D$2:$D$9,MATCH(D1198,Products!$A$2:$A$9,0))</f>
        <v>8500</v>
      </c>
      <c r="J1198" s="10">
        <f>IFERROR(INDEX(PlatformFees!$C$2:$C$5,MATCH(C1198,PlatformFees!$A$2:$A$5,0)),0)</f>
        <v>0</v>
      </c>
      <c r="K1198" s="11">
        <f t="shared" si="72"/>
        <v>25500</v>
      </c>
      <c r="L1198" s="11">
        <f t="shared" si="73"/>
        <v>0</v>
      </c>
      <c r="M1198" s="11">
        <f t="shared" si="74"/>
        <v>71000</v>
      </c>
      <c r="N1198" s="10">
        <f t="shared" si="75"/>
        <v>0.73575129533678751</v>
      </c>
    </row>
    <row r="1199" spans="1:14" x14ac:dyDescent="0.3">
      <c r="A1199" s="9" t="s">
        <v>1316</v>
      </c>
      <c r="B1199" s="9" t="s">
        <v>1300</v>
      </c>
      <c r="C1199" s="9" t="s">
        <v>38</v>
      </c>
      <c r="D1199" s="9" t="s">
        <v>30</v>
      </c>
      <c r="E1199" s="9">
        <v>2</v>
      </c>
      <c r="F1199" s="11">
        <v>69300</v>
      </c>
      <c r="G1199" s="9" t="str">
        <f>INDEX(Products!$B$2:$B$9,MATCH(D1199,Products!$A$2:$A$9,0))</f>
        <v>Trà mâm xôi vitamin</v>
      </c>
      <c r="H1199" s="9" t="str">
        <f>INDEX(Products!$C$2:$C$9,MATCH(D1199,Products!$A$2:$A$9,0))</f>
        <v>Bổ sung dưỡng chất</v>
      </c>
      <c r="I1199" s="11">
        <f>INDEX(Products!$D$2:$D$9,MATCH(D1199,Products!$A$2:$A$9,0))</f>
        <v>9800</v>
      </c>
      <c r="J1199" s="10">
        <f>IFERROR(INDEX(PlatformFees!$C$2:$C$5,MATCH(C1199,PlatformFees!$A$2:$A$5,0)),0)</f>
        <v>0.16</v>
      </c>
      <c r="K1199" s="11">
        <f t="shared" si="72"/>
        <v>19600</v>
      </c>
      <c r="L1199" s="11">
        <f t="shared" si="73"/>
        <v>11088</v>
      </c>
      <c r="M1199" s="11">
        <f t="shared" si="74"/>
        <v>38612</v>
      </c>
      <c r="N1199" s="10">
        <f t="shared" si="75"/>
        <v>0.55717171717171721</v>
      </c>
    </row>
    <row r="1200" spans="1:14" x14ac:dyDescent="0.3">
      <c r="A1200" s="9" t="s">
        <v>1317</v>
      </c>
      <c r="B1200" s="9" t="s">
        <v>1300</v>
      </c>
      <c r="C1200" s="9" t="s">
        <v>40</v>
      </c>
      <c r="D1200" s="9" t="s">
        <v>30</v>
      </c>
      <c r="E1200" s="9">
        <v>1</v>
      </c>
      <c r="F1200" s="11">
        <v>35600</v>
      </c>
      <c r="G1200" s="9" t="str">
        <f>INDEX(Products!$B$2:$B$9,MATCH(D1200,Products!$A$2:$A$9,0))</f>
        <v>Trà mâm xôi vitamin</v>
      </c>
      <c r="H1200" s="9" t="str">
        <f>INDEX(Products!$C$2:$C$9,MATCH(D1200,Products!$A$2:$A$9,0))</f>
        <v>Bổ sung dưỡng chất</v>
      </c>
      <c r="I1200" s="11">
        <f>INDEX(Products!$D$2:$D$9,MATCH(D1200,Products!$A$2:$A$9,0))</f>
        <v>9800</v>
      </c>
      <c r="J1200" s="10">
        <f>IFERROR(INDEX(PlatformFees!$C$2:$C$5,MATCH(C1200,PlatformFees!$A$2:$A$5,0)),0)</f>
        <v>0</v>
      </c>
      <c r="K1200" s="11">
        <f t="shared" si="72"/>
        <v>9800</v>
      </c>
      <c r="L1200" s="11">
        <f t="shared" si="73"/>
        <v>0</v>
      </c>
      <c r="M1200" s="11">
        <f t="shared" si="74"/>
        <v>25800</v>
      </c>
      <c r="N1200" s="10">
        <f t="shared" si="75"/>
        <v>0.7247191011235955</v>
      </c>
    </row>
    <row r="1201" spans="1:14" x14ac:dyDescent="0.3">
      <c r="A1201" s="9" t="s">
        <v>1318</v>
      </c>
      <c r="B1201" s="9" t="s">
        <v>1300</v>
      </c>
      <c r="C1201" s="9" t="s">
        <v>36</v>
      </c>
      <c r="D1201" s="9" t="s">
        <v>30</v>
      </c>
      <c r="E1201" s="9">
        <v>2</v>
      </c>
      <c r="F1201" s="11">
        <v>67200</v>
      </c>
      <c r="G1201" s="9" t="str">
        <f>INDEX(Products!$B$2:$B$9,MATCH(D1201,Products!$A$2:$A$9,0))</f>
        <v>Trà mâm xôi vitamin</v>
      </c>
      <c r="H1201" s="9" t="str">
        <f>INDEX(Products!$C$2:$C$9,MATCH(D1201,Products!$A$2:$A$9,0))</f>
        <v>Bổ sung dưỡng chất</v>
      </c>
      <c r="I1201" s="11">
        <f>INDEX(Products!$D$2:$D$9,MATCH(D1201,Products!$A$2:$A$9,0))</f>
        <v>9800</v>
      </c>
      <c r="J1201" s="10">
        <f>IFERROR(INDEX(PlatformFees!$C$2:$C$5,MATCH(C1201,PlatformFees!$A$2:$A$5,0)),0)</f>
        <v>0.13</v>
      </c>
      <c r="K1201" s="11">
        <f t="shared" si="72"/>
        <v>19600</v>
      </c>
      <c r="L1201" s="11">
        <f t="shared" si="73"/>
        <v>8736</v>
      </c>
      <c r="M1201" s="11">
        <f t="shared" si="74"/>
        <v>38864</v>
      </c>
      <c r="N1201" s="10">
        <f t="shared" si="75"/>
        <v>0.57833333333333337</v>
      </c>
    </row>
    <row r="1202" spans="1:14" x14ac:dyDescent="0.3">
      <c r="A1202" s="9" t="s">
        <v>1319</v>
      </c>
      <c r="B1202" s="9" t="s">
        <v>1300</v>
      </c>
      <c r="C1202" s="9" t="s">
        <v>38</v>
      </c>
      <c r="D1202" s="9" t="s">
        <v>17</v>
      </c>
      <c r="E1202" s="9">
        <v>1</v>
      </c>
      <c r="F1202" s="11">
        <v>42700</v>
      </c>
      <c r="G1202" s="9" t="str">
        <f>INDEX(Products!$B$2:$B$9,MATCH(D1202,Products!$A$2:$A$9,0))</f>
        <v>Trà diếp cá rau má</v>
      </c>
      <c r="H1202" s="9" t="str">
        <f>INDEX(Products!$C$2:$C$9,MATCH(D1202,Products!$A$2:$A$9,0))</f>
        <v>Detox</v>
      </c>
      <c r="I1202" s="11">
        <f>INDEX(Products!$D$2:$D$9,MATCH(D1202,Products!$A$2:$A$9,0))</f>
        <v>10500</v>
      </c>
      <c r="J1202" s="10">
        <f>IFERROR(INDEX(PlatformFees!$C$2:$C$5,MATCH(C1202,PlatformFees!$A$2:$A$5,0)),0)</f>
        <v>0.16</v>
      </c>
      <c r="K1202" s="11">
        <f t="shared" si="72"/>
        <v>10500</v>
      </c>
      <c r="L1202" s="11">
        <f t="shared" si="73"/>
        <v>6832</v>
      </c>
      <c r="M1202" s="11">
        <f t="shared" si="74"/>
        <v>25368</v>
      </c>
      <c r="N1202" s="10">
        <f t="shared" si="75"/>
        <v>0.59409836065573773</v>
      </c>
    </row>
    <row r="1203" spans="1:14" x14ac:dyDescent="0.3">
      <c r="A1203" s="9" t="s">
        <v>1320</v>
      </c>
      <c r="B1203" s="9" t="s">
        <v>1300</v>
      </c>
      <c r="C1203" s="9" t="s">
        <v>39</v>
      </c>
      <c r="D1203" s="9" t="s">
        <v>15</v>
      </c>
      <c r="E1203" s="9">
        <v>1</v>
      </c>
      <c r="F1203" s="11">
        <v>30300</v>
      </c>
      <c r="G1203" s="9" t="str">
        <f>INDEX(Products!$B$2:$B$9,MATCH(D1203,Products!$A$2:$A$9,0))</f>
        <v>Trà lá nam sen ổi</v>
      </c>
      <c r="H1203" s="9" t="str">
        <f>INDEX(Products!$C$2:$C$9,MATCH(D1203,Products!$A$2:$A$9,0))</f>
        <v>Thanh lọc</v>
      </c>
      <c r="I1203" s="11">
        <f>INDEX(Products!$D$2:$D$9,MATCH(D1203,Products!$A$2:$A$9,0))</f>
        <v>8500</v>
      </c>
      <c r="J1203" s="10">
        <f>IFERROR(INDEX(PlatformFees!$C$2:$C$5,MATCH(C1203,PlatformFees!$A$2:$A$5,0)),0)</f>
        <v>0</v>
      </c>
      <c r="K1203" s="11">
        <f t="shared" si="72"/>
        <v>8500</v>
      </c>
      <c r="L1203" s="11">
        <f t="shared" si="73"/>
        <v>0</v>
      </c>
      <c r="M1203" s="11">
        <f t="shared" si="74"/>
        <v>21800</v>
      </c>
      <c r="N1203" s="10">
        <f t="shared" si="75"/>
        <v>0.71947194719471952</v>
      </c>
    </row>
    <row r="1204" spans="1:14" x14ac:dyDescent="0.3">
      <c r="A1204" s="9" t="s">
        <v>1321</v>
      </c>
      <c r="B1204" s="9" t="s">
        <v>1322</v>
      </c>
      <c r="C1204" s="9" t="s">
        <v>36</v>
      </c>
      <c r="D1204" s="9" t="s">
        <v>15</v>
      </c>
      <c r="E1204" s="9">
        <v>1</v>
      </c>
      <c r="F1204" s="11">
        <v>31500</v>
      </c>
      <c r="G1204" s="9" t="str">
        <f>INDEX(Products!$B$2:$B$9,MATCH(D1204,Products!$A$2:$A$9,0))</f>
        <v>Trà lá nam sen ổi</v>
      </c>
      <c r="H1204" s="9" t="str">
        <f>INDEX(Products!$C$2:$C$9,MATCH(D1204,Products!$A$2:$A$9,0))</f>
        <v>Thanh lọc</v>
      </c>
      <c r="I1204" s="11">
        <f>INDEX(Products!$D$2:$D$9,MATCH(D1204,Products!$A$2:$A$9,0))</f>
        <v>8500</v>
      </c>
      <c r="J1204" s="10">
        <f>IFERROR(INDEX(PlatformFees!$C$2:$C$5,MATCH(C1204,PlatformFees!$A$2:$A$5,0)),0)</f>
        <v>0.13</v>
      </c>
      <c r="K1204" s="11">
        <f t="shared" si="72"/>
        <v>8500</v>
      </c>
      <c r="L1204" s="11">
        <f t="shared" si="73"/>
        <v>4095</v>
      </c>
      <c r="M1204" s="11">
        <f t="shared" si="74"/>
        <v>18905</v>
      </c>
      <c r="N1204" s="10">
        <f t="shared" si="75"/>
        <v>0.60015873015873011</v>
      </c>
    </row>
    <row r="1205" spans="1:14" x14ac:dyDescent="0.3">
      <c r="A1205" s="9" t="s">
        <v>1323</v>
      </c>
      <c r="B1205" s="9" t="s">
        <v>1322</v>
      </c>
      <c r="C1205" s="9" t="s">
        <v>36</v>
      </c>
      <c r="D1205" s="9" t="s">
        <v>17</v>
      </c>
      <c r="E1205" s="9">
        <v>1</v>
      </c>
      <c r="F1205" s="11">
        <v>41300</v>
      </c>
      <c r="G1205" s="9" t="str">
        <f>INDEX(Products!$B$2:$B$9,MATCH(D1205,Products!$A$2:$A$9,0))</f>
        <v>Trà diếp cá rau má</v>
      </c>
      <c r="H1205" s="9" t="str">
        <f>INDEX(Products!$C$2:$C$9,MATCH(D1205,Products!$A$2:$A$9,0))</f>
        <v>Detox</v>
      </c>
      <c r="I1205" s="11">
        <f>INDEX(Products!$D$2:$D$9,MATCH(D1205,Products!$A$2:$A$9,0))</f>
        <v>10500</v>
      </c>
      <c r="J1205" s="10">
        <f>IFERROR(INDEX(PlatformFees!$C$2:$C$5,MATCH(C1205,PlatformFees!$A$2:$A$5,0)),0)</f>
        <v>0.13</v>
      </c>
      <c r="K1205" s="11">
        <f t="shared" si="72"/>
        <v>10500</v>
      </c>
      <c r="L1205" s="11">
        <f t="shared" si="73"/>
        <v>5369</v>
      </c>
      <c r="M1205" s="11">
        <f t="shared" si="74"/>
        <v>25431</v>
      </c>
      <c r="N1205" s="10">
        <f t="shared" si="75"/>
        <v>0.61576271186440679</v>
      </c>
    </row>
    <row r="1206" spans="1:14" x14ac:dyDescent="0.3">
      <c r="A1206" s="9" t="s">
        <v>1324</v>
      </c>
      <c r="B1206" s="9" t="s">
        <v>1322</v>
      </c>
      <c r="C1206" s="9" t="s">
        <v>38</v>
      </c>
      <c r="D1206" s="9" t="s">
        <v>22</v>
      </c>
      <c r="E1206" s="9">
        <v>1</v>
      </c>
      <c r="F1206" s="11">
        <v>36500</v>
      </c>
      <c r="G1206" s="9" t="str">
        <f>INDEX(Products!$B$2:$B$9,MATCH(D1206,Products!$A$2:$A$9,0))</f>
        <v>Trà hoa cúc an thần</v>
      </c>
      <c r="H1206" s="9" t="str">
        <f>INDEX(Products!$C$2:$C$9,MATCH(D1206,Products!$A$2:$A$9,0))</f>
        <v>An thần</v>
      </c>
      <c r="I1206" s="11">
        <f>INDEX(Products!$D$2:$D$9,MATCH(D1206,Products!$A$2:$A$9,0))</f>
        <v>9500</v>
      </c>
      <c r="J1206" s="10">
        <f>IFERROR(INDEX(PlatformFees!$C$2:$C$5,MATCH(C1206,PlatformFees!$A$2:$A$5,0)),0)</f>
        <v>0.16</v>
      </c>
      <c r="K1206" s="11">
        <f t="shared" si="72"/>
        <v>9500</v>
      </c>
      <c r="L1206" s="11">
        <f t="shared" si="73"/>
        <v>5840</v>
      </c>
      <c r="M1206" s="11">
        <f t="shared" si="74"/>
        <v>21160</v>
      </c>
      <c r="N1206" s="10">
        <f t="shared" si="75"/>
        <v>0.57972602739726031</v>
      </c>
    </row>
    <row r="1207" spans="1:14" x14ac:dyDescent="0.3">
      <c r="A1207" s="9" t="s">
        <v>1325</v>
      </c>
      <c r="B1207" s="9" t="s">
        <v>1322</v>
      </c>
      <c r="C1207" s="9" t="s">
        <v>36</v>
      </c>
      <c r="D1207" s="9" t="s">
        <v>15</v>
      </c>
      <c r="E1207" s="9">
        <v>1</v>
      </c>
      <c r="F1207" s="11">
        <v>31900</v>
      </c>
      <c r="G1207" s="9" t="str">
        <f>INDEX(Products!$B$2:$B$9,MATCH(D1207,Products!$A$2:$A$9,0))</f>
        <v>Trà lá nam sen ổi</v>
      </c>
      <c r="H1207" s="9" t="str">
        <f>INDEX(Products!$C$2:$C$9,MATCH(D1207,Products!$A$2:$A$9,0))</f>
        <v>Thanh lọc</v>
      </c>
      <c r="I1207" s="11">
        <f>INDEX(Products!$D$2:$D$9,MATCH(D1207,Products!$A$2:$A$9,0))</f>
        <v>8500</v>
      </c>
      <c r="J1207" s="10">
        <f>IFERROR(INDEX(PlatformFees!$C$2:$C$5,MATCH(C1207,PlatformFees!$A$2:$A$5,0)),0)</f>
        <v>0.13</v>
      </c>
      <c r="K1207" s="11">
        <f t="shared" si="72"/>
        <v>8500</v>
      </c>
      <c r="L1207" s="11">
        <f t="shared" si="73"/>
        <v>4147</v>
      </c>
      <c r="M1207" s="11">
        <f t="shared" si="74"/>
        <v>19253</v>
      </c>
      <c r="N1207" s="10">
        <f t="shared" si="75"/>
        <v>0.60354231974921635</v>
      </c>
    </row>
    <row r="1208" spans="1:14" x14ac:dyDescent="0.3">
      <c r="A1208" s="9" t="s">
        <v>1326</v>
      </c>
      <c r="B1208" s="9" t="s">
        <v>1322</v>
      </c>
      <c r="C1208" s="9" t="s">
        <v>36</v>
      </c>
      <c r="D1208" s="9" t="s">
        <v>30</v>
      </c>
      <c r="E1208" s="9">
        <v>3</v>
      </c>
      <c r="F1208" s="11">
        <v>100100</v>
      </c>
      <c r="G1208" s="9" t="str">
        <f>INDEX(Products!$B$2:$B$9,MATCH(D1208,Products!$A$2:$A$9,0))</f>
        <v>Trà mâm xôi vitamin</v>
      </c>
      <c r="H1208" s="9" t="str">
        <f>INDEX(Products!$C$2:$C$9,MATCH(D1208,Products!$A$2:$A$9,0))</f>
        <v>Bổ sung dưỡng chất</v>
      </c>
      <c r="I1208" s="11">
        <f>INDEX(Products!$D$2:$D$9,MATCH(D1208,Products!$A$2:$A$9,0))</f>
        <v>9800</v>
      </c>
      <c r="J1208" s="10">
        <f>IFERROR(INDEX(PlatformFees!$C$2:$C$5,MATCH(C1208,PlatformFees!$A$2:$A$5,0)),0)</f>
        <v>0.13</v>
      </c>
      <c r="K1208" s="11">
        <f t="shared" si="72"/>
        <v>29400</v>
      </c>
      <c r="L1208" s="11">
        <f t="shared" si="73"/>
        <v>13013</v>
      </c>
      <c r="M1208" s="11">
        <f t="shared" si="74"/>
        <v>57687</v>
      </c>
      <c r="N1208" s="10">
        <f t="shared" si="75"/>
        <v>0.57629370629370624</v>
      </c>
    </row>
    <row r="1209" spans="1:14" x14ac:dyDescent="0.3">
      <c r="A1209" s="9" t="s">
        <v>1327</v>
      </c>
      <c r="B1209" s="9" t="s">
        <v>1322</v>
      </c>
      <c r="C1209" s="9" t="s">
        <v>36</v>
      </c>
      <c r="D1209" s="9" t="s">
        <v>15</v>
      </c>
      <c r="E1209" s="9">
        <v>2</v>
      </c>
      <c r="F1209" s="11">
        <v>64500</v>
      </c>
      <c r="G1209" s="9" t="str">
        <f>INDEX(Products!$B$2:$B$9,MATCH(D1209,Products!$A$2:$A$9,0))</f>
        <v>Trà lá nam sen ổi</v>
      </c>
      <c r="H1209" s="9" t="str">
        <f>INDEX(Products!$C$2:$C$9,MATCH(D1209,Products!$A$2:$A$9,0))</f>
        <v>Thanh lọc</v>
      </c>
      <c r="I1209" s="11">
        <f>INDEX(Products!$D$2:$D$9,MATCH(D1209,Products!$A$2:$A$9,0))</f>
        <v>8500</v>
      </c>
      <c r="J1209" s="10">
        <f>IFERROR(INDEX(PlatformFees!$C$2:$C$5,MATCH(C1209,PlatformFees!$A$2:$A$5,0)),0)</f>
        <v>0.13</v>
      </c>
      <c r="K1209" s="11">
        <f t="shared" si="72"/>
        <v>17000</v>
      </c>
      <c r="L1209" s="11">
        <f t="shared" si="73"/>
        <v>8385</v>
      </c>
      <c r="M1209" s="11">
        <f t="shared" si="74"/>
        <v>39115</v>
      </c>
      <c r="N1209" s="10">
        <f t="shared" si="75"/>
        <v>0.60643410852713175</v>
      </c>
    </row>
    <row r="1210" spans="1:14" x14ac:dyDescent="0.3">
      <c r="A1210" s="9" t="s">
        <v>1328</v>
      </c>
      <c r="B1210" s="9" t="s">
        <v>1322</v>
      </c>
      <c r="C1210" s="9" t="s">
        <v>36</v>
      </c>
      <c r="D1210" s="9" t="s">
        <v>17</v>
      </c>
      <c r="E1210" s="9">
        <v>2</v>
      </c>
      <c r="F1210" s="11">
        <v>84600</v>
      </c>
      <c r="G1210" s="9" t="str">
        <f>INDEX(Products!$B$2:$B$9,MATCH(D1210,Products!$A$2:$A$9,0))</f>
        <v>Trà diếp cá rau má</v>
      </c>
      <c r="H1210" s="9" t="str">
        <f>INDEX(Products!$C$2:$C$9,MATCH(D1210,Products!$A$2:$A$9,0))</f>
        <v>Detox</v>
      </c>
      <c r="I1210" s="11">
        <f>INDEX(Products!$D$2:$D$9,MATCH(D1210,Products!$A$2:$A$9,0))</f>
        <v>10500</v>
      </c>
      <c r="J1210" s="10">
        <f>IFERROR(INDEX(PlatformFees!$C$2:$C$5,MATCH(C1210,PlatformFees!$A$2:$A$5,0)),0)</f>
        <v>0.13</v>
      </c>
      <c r="K1210" s="11">
        <f t="shared" si="72"/>
        <v>21000</v>
      </c>
      <c r="L1210" s="11">
        <f t="shared" si="73"/>
        <v>10998</v>
      </c>
      <c r="M1210" s="11">
        <f t="shared" si="74"/>
        <v>52602</v>
      </c>
      <c r="N1210" s="10">
        <f t="shared" si="75"/>
        <v>0.62177304964539004</v>
      </c>
    </row>
    <row r="1211" spans="1:14" x14ac:dyDescent="0.3">
      <c r="A1211" s="9" t="s">
        <v>1329</v>
      </c>
      <c r="B1211" s="9" t="s">
        <v>1322</v>
      </c>
      <c r="C1211" s="9" t="s">
        <v>39</v>
      </c>
      <c r="D1211" s="9" t="s">
        <v>27</v>
      </c>
      <c r="E1211" s="9">
        <v>2</v>
      </c>
      <c r="F1211" s="11">
        <v>80100</v>
      </c>
      <c r="G1211" s="9" t="str">
        <f>INDEX(Products!$B$2:$B$9,MATCH(D1211,Products!$A$2:$A$9,0))</f>
        <v>Trà gừng mật ong</v>
      </c>
      <c r="H1211" s="9" t="str">
        <f>INDEX(Products!$C$2:$C$9,MATCH(D1211,Products!$A$2:$A$9,0))</f>
        <v>Giữ ấm</v>
      </c>
      <c r="I1211" s="11">
        <f>INDEX(Products!$D$2:$D$9,MATCH(D1211,Products!$A$2:$A$9,0))</f>
        <v>11000</v>
      </c>
      <c r="J1211" s="10">
        <f>IFERROR(INDEX(PlatformFees!$C$2:$C$5,MATCH(C1211,PlatformFees!$A$2:$A$5,0)),0)</f>
        <v>0</v>
      </c>
      <c r="K1211" s="11">
        <f t="shared" si="72"/>
        <v>22000</v>
      </c>
      <c r="L1211" s="11">
        <f t="shared" si="73"/>
        <v>0</v>
      </c>
      <c r="M1211" s="11">
        <f t="shared" si="74"/>
        <v>58100</v>
      </c>
      <c r="N1211" s="10">
        <f t="shared" si="75"/>
        <v>0.72534332084893882</v>
      </c>
    </row>
    <row r="1212" spans="1:14" x14ac:dyDescent="0.3">
      <c r="A1212" s="9" t="s">
        <v>1330</v>
      </c>
      <c r="B1212" s="9" t="s">
        <v>1322</v>
      </c>
      <c r="C1212" s="9" t="s">
        <v>36</v>
      </c>
      <c r="D1212" s="9" t="s">
        <v>17</v>
      </c>
      <c r="E1212" s="9">
        <v>3</v>
      </c>
      <c r="F1212" s="11">
        <v>117800</v>
      </c>
      <c r="G1212" s="9" t="str">
        <f>INDEX(Products!$B$2:$B$9,MATCH(D1212,Products!$A$2:$A$9,0))</f>
        <v>Trà diếp cá rau má</v>
      </c>
      <c r="H1212" s="9" t="str">
        <f>INDEX(Products!$C$2:$C$9,MATCH(D1212,Products!$A$2:$A$9,0))</f>
        <v>Detox</v>
      </c>
      <c r="I1212" s="11">
        <f>INDEX(Products!$D$2:$D$9,MATCH(D1212,Products!$A$2:$A$9,0))</f>
        <v>10500</v>
      </c>
      <c r="J1212" s="10">
        <f>IFERROR(INDEX(PlatformFees!$C$2:$C$5,MATCH(C1212,PlatformFees!$A$2:$A$5,0)),0)</f>
        <v>0.13</v>
      </c>
      <c r="K1212" s="11">
        <f t="shared" si="72"/>
        <v>31500</v>
      </c>
      <c r="L1212" s="11">
        <f t="shared" si="73"/>
        <v>15314</v>
      </c>
      <c r="M1212" s="11">
        <f t="shared" si="74"/>
        <v>70986</v>
      </c>
      <c r="N1212" s="10">
        <f t="shared" si="75"/>
        <v>0.60259762308998299</v>
      </c>
    </row>
    <row r="1213" spans="1:14" x14ac:dyDescent="0.3">
      <c r="A1213" s="9" t="s">
        <v>1331</v>
      </c>
      <c r="B1213" s="9" t="s">
        <v>1322</v>
      </c>
      <c r="C1213" s="9" t="s">
        <v>39</v>
      </c>
      <c r="D1213" s="9" t="s">
        <v>22</v>
      </c>
      <c r="E1213" s="9">
        <v>2</v>
      </c>
      <c r="F1213" s="11">
        <v>74600</v>
      </c>
      <c r="G1213" s="9" t="str">
        <f>INDEX(Products!$B$2:$B$9,MATCH(D1213,Products!$A$2:$A$9,0))</f>
        <v>Trà hoa cúc an thần</v>
      </c>
      <c r="H1213" s="9" t="str">
        <f>INDEX(Products!$C$2:$C$9,MATCH(D1213,Products!$A$2:$A$9,0))</f>
        <v>An thần</v>
      </c>
      <c r="I1213" s="11">
        <f>INDEX(Products!$D$2:$D$9,MATCH(D1213,Products!$A$2:$A$9,0))</f>
        <v>9500</v>
      </c>
      <c r="J1213" s="10">
        <f>IFERROR(INDEX(PlatformFees!$C$2:$C$5,MATCH(C1213,PlatformFees!$A$2:$A$5,0)),0)</f>
        <v>0</v>
      </c>
      <c r="K1213" s="11">
        <f t="shared" si="72"/>
        <v>19000</v>
      </c>
      <c r="L1213" s="11">
        <f t="shared" si="73"/>
        <v>0</v>
      </c>
      <c r="M1213" s="11">
        <f t="shared" si="74"/>
        <v>55600</v>
      </c>
      <c r="N1213" s="10">
        <f t="shared" si="75"/>
        <v>0.74530831099195716</v>
      </c>
    </row>
    <row r="1214" spans="1:14" x14ac:dyDescent="0.3">
      <c r="A1214" s="9" t="s">
        <v>1332</v>
      </c>
      <c r="B1214" s="9" t="s">
        <v>1322</v>
      </c>
      <c r="C1214" s="9" t="s">
        <v>38</v>
      </c>
      <c r="D1214" s="9" t="s">
        <v>20</v>
      </c>
      <c r="E1214" s="9">
        <v>2</v>
      </c>
      <c r="F1214" s="11">
        <v>103500</v>
      </c>
      <c r="G1214" s="9" t="str">
        <f>INDEX(Products!$B$2:$B$9,MATCH(D1214,Products!$A$2:$A$9,0))</f>
        <v>Trà cà leo gai giảm cân</v>
      </c>
      <c r="H1214" s="9" t="str">
        <f>INDEX(Products!$C$2:$C$9,MATCH(D1214,Products!$A$2:$A$9,0))</f>
        <v>Detox</v>
      </c>
      <c r="I1214" s="11">
        <f>INDEX(Products!$D$2:$D$9,MATCH(D1214,Products!$A$2:$A$9,0))</f>
        <v>15000</v>
      </c>
      <c r="J1214" s="10">
        <f>IFERROR(INDEX(PlatformFees!$C$2:$C$5,MATCH(C1214,PlatformFees!$A$2:$A$5,0)),0)</f>
        <v>0.16</v>
      </c>
      <c r="K1214" s="11">
        <f t="shared" si="72"/>
        <v>30000</v>
      </c>
      <c r="L1214" s="11">
        <f t="shared" si="73"/>
        <v>16560</v>
      </c>
      <c r="M1214" s="11">
        <f t="shared" si="74"/>
        <v>56940</v>
      </c>
      <c r="N1214" s="10">
        <f t="shared" si="75"/>
        <v>0.5501449275362319</v>
      </c>
    </row>
    <row r="1215" spans="1:14" x14ac:dyDescent="0.3">
      <c r="A1215" s="9" t="s">
        <v>1333</v>
      </c>
      <c r="B1215" s="9" t="s">
        <v>1322</v>
      </c>
      <c r="C1215" s="9" t="s">
        <v>36</v>
      </c>
      <c r="D1215" s="9" t="s">
        <v>25</v>
      </c>
      <c r="E1215" s="9">
        <v>1</v>
      </c>
      <c r="F1215" s="11">
        <v>34500</v>
      </c>
      <c r="G1215" s="9" t="str">
        <f>INDEX(Products!$B$2:$B$9,MATCH(D1215,Products!$A$2:$A$9,0))</f>
        <v>Trà hoa đậu biếc</v>
      </c>
      <c r="H1215" s="9" t="str">
        <f>INDEX(Products!$C$2:$C$9,MATCH(D1215,Products!$A$2:$A$9,0))</f>
        <v>An thần</v>
      </c>
      <c r="I1215" s="11">
        <f>INDEX(Products!$D$2:$D$9,MATCH(D1215,Products!$A$2:$A$9,0))</f>
        <v>8800</v>
      </c>
      <c r="J1215" s="10">
        <f>IFERROR(INDEX(PlatformFees!$C$2:$C$5,MATCH(C1215,PlatformFees!$A$2:$A$5,0)),0)</f>
        <v>0.13</v>
      </c>
      <c r="K1215" s="11">
        <f t="shared" si="72"/>
        <v>8800</v>
      </c>
      <c r="L1215" s="11">
        <f t="shared" si="73"/>
        <v>4485</v>
      </c>
      <c r="M1215" s="11">
        <f t="shared" si="74"/>
        <v>21215</v>
      </c>
      <c r="N1215" s="10">
        <f t="shared" si="75"/>
        <v>0.61492753623188401</v>
      </c>
    </row>
    <row r="1216" spans="1:14" x14ac:dyDescent="0.3">
      <c r="A1216" s="9" t="s">
        <v>1334</v>
      </c>
      <c r="B1216" s="9" t="s">
        <v>1322</v>
      </c>
      <c r="C1216" s="9" t="s">
        <v>38</v>
      </c>
      <c r="D1216" s="9" t="s">
        <v>27</v>
      </c>
      <c r="E1216" s="9">
        <v>1</v>
      </c>
      <c r="F1216" s="11">
        <v>37100</v>
      </c>
      <c r="G1216" s="9" t="str">
        <f>INDEX(Products!$B$2:$B$9,MATCH(D1216,Products!$A$2:$A$9,0))</f>
        <v>Trà gừng mật ong</v>
      </c>
      <c r="H1216" s="9" t="str">
        <f>INDEX(Products!$C$2:$C$9,MATCH(D1216,Products!$A$2:$A$9,0))</f>
        <v>Giữ ấm</v>
      </c>
      <c r="I1216" s="11">
        <f>INDEX(Products!$D$2:$D$9,MATCH(D1216,Products!$A$2:$A$9,0))</f>
        <v>11000</v>
      </c>
      <c r="J1216" s="10">
        <f>IFERROR(INDEX(PlatformFees!$C$2:$C$5,MATCH(C1216,PlatformFees!$A$2:$A$5,0)),0)</f>
        <v>0.16</v>
      </c>
      <c r="K1216" s="11">
        <f t="shared" si="72"/>
        <v>11000</v>
      </c>
      <c r="L1216" s="11">
        <f t="shared" si="73"/>
        <v>5936</v>
      </c>
      <c r="M1216" s="11">
        <f t="shared" si="74"/>
        <v>20164</v>
      </c>
      <c r="N1216" s="10">
        <f t="shared" si="75"/>
        <v>0.54350404312668466</v>
      </c>
    </row>
    <row r="1217" spans="1:14" x14ac:dyDescent="0.3">
      <c r="A1217" s="9" t="s">
        <v>1335</v>
      </c>
      <c r="B1217" s="9" t="s">
        <v>1322</v>
      </c>
      <c r="C1217" s="9" t="s">
        <v>36</v>
      </c>
      <c r="D1217" s="9" t="s">
        <v>17</v>
      </c>
      <c r="E1217" s="9">
        <v>1</v>
      </c>
      <c r="F1217" s="11">
        <v>41100</v>
      </c>
      <c r="G1217" s="9" t="str">
        <f>INDEX(Products!$B$2:$B$9,MATCH(D1217,Products!$A$2:$A$9,0))</f>
        <v>Trà diếp cá rau má</v>
      </c>
      <c r="H1217" s="9" t="str">
        <f>INDEX(Products!$C$2:$C$9,MATCH(D1217,Products!$A$2:$A$9,0))</f>
        <v>Detox</v>
      </c>
      <c r="I1217" s="11">
        <f>INDEX(Products!$D$2:$D$9,MATCH(D1217,Products!$A$2:$A$9,0))</f>
        <v>10500</v>
      </c>
      <c r="J1217" s="10">
        <f>IFERROR(INDEX(PlatformFees!$C$2:$C$5,MATCH(C1217,PlatformFees!$A$2:$A$5,0)),0)</f>
        <v>0.13</v>
      </c>
      <c r="K1217" s="11">
        <f t="shared" si="72"/>
        <v>10500</v>
      </c>
      <c r="L1217" s="11">
        <f t="shared" si="73"/>
        <v>5343</v>
      </c>
      <c r="M1217" s="11">
        <f t="shared" si="74"/>
        <v>25257</v>
      </c>
      <c r="N1217" s="10">
        <f t="shared" si="75"/>
        <v>0.61452554744525545</v>
      </c>
    </row>
    <row r="1218" spans="1:14" x14ac:dyDescent="0.3">
      <c r="A1218" s="9" t="s">
        <v>1336</v>
      </c>
      <c r="B1218" s="9" t="s">
        <v>1322</v>
      </c>
      <c r="C1218" s="9" t="s">
        <v>38</v>
      </c>
      <c r="D1218" s="9" t="s">
        <v>25</v>
      </c>
      <c r="E1218" s="9">
        <v>2</v>
      </c>
      <c r="F1218" s="11">
        <v>65400</v>
      </c>
      <c r="G1218" s="9" t="str">
        <f>INDEX(Products!$B$2:$B$9,MATCH(D1218,Products!$A$2:$A$9,0))</f>
        <v>Trà hoa đậu biếc</v>
      </c>
      <c r="H1218" s="9" t="str">
        <f>INDEX(Products!$C$2:$C$9,MATCH(D1218,Products!$A$2:$A$9,0))</f>
        <v>An thần</v>
      </c>
      <c r="I1218" s="11">
        <f>INDEX(Products!$D$2:$D$9,MATCH(D1218,Products!$A$2:$A$9,0))</f>
        <v>8800</v>
      </c>
      <c r="J1218" s="10">
        <f>IFERROR(INDEX(PlatformFees!$C$2:$C$5,MATCH(C1218,PlatformFees!$A$2:$A$5,0)),0)</f>
        <v>0.16</v>
      </c>
      <c r="K1218" s="11">
        <f t="shared" ref="K1218:K1281" si="76">E1218*I1218</f>
        <v>17600</v>
      </c>
      <c r="L1218" s="11">
        <f t="shared" ref="L1218:L1281" si="77">F1218*J1218</f>
        <v>10464</v>
      </c>
      <c r="M1218" s="11">
        <f t="shared" ref="M1218:M1281" si="78">F1218-L1218-K1218</f>
        <v>37336</v>
      </c>
      <c r="N1218" s="10">
        <f t="shared" ref="N1218:N1281" si="79">IFERROR(M1218/F1218,0)</f>
        <v>0.57088685015290519</v>
      </c>
    </row>
    <row r="1219" spans="1:14" x14ac:dyDescent="0.3">
      <c r="A1219" s="9" t="s">
        <v>1337</v>
      </c>
      <c r="B1219" s="9" t="s">
        <v>1322</v>
      </c>
      <c r="C1219" s="9" t="s">
        <v>36</v>
      </c>
      <c r="D1219" s="9" t="s">
        <v>12</v>
      </c>
      <c r="E1219" s="9">
        <v>1</v>
      </c>
      <c r="F1219" s="11">
        <v>35200</v>
      </c>
      <c r="G1219" s="9" t="str">
        <f>INDEX(Products!$B$2:$B$9,MATCH(D1219,Products!$A$2:$A$9,0))</f>
        <v>Trà atiso thanh lọc</v>
      </c>
      <c r="H1219" s="9" t="str">
        <f>INDEX(Products!$C$2:$C$9,MATCH(D1219,Products!$A$2:$A$9,0))</f>
        <v>Thanh lọc</v>
      </c>
      <c r="I1219" s="11">
        <f>INDEX(Products!$D$2:$D$9,MATCH(D1219,Products!$A$2:$A$9,0))</f>
        <v>9000</v>
      </c>
      <c r="J1219" s="10">
        <f>IFERROR(INDEX(PlatformFees!$C$2:$C$5,MATCH(C1219,PlatformFees!$A$2:$A$5,0)),0)</f>
        <v>0.13</v>
      </c>
      <c r="K1219" s="11">
        <f t="shared" si="76"/>
        <v>9000</v>
      </c>
      <c r="L1219" s="11">
        <f t="shared" si="77"/>
        <v>4576</v>
      </c>
      <c r="M1219" s="11">
        <f t="shared" si="78"/>
        <v>21624</v>
      </c>
      <c r="N1219" s="10">
        <f t="shared" si="79"/>
        <v>0.61431818181818176</v>
      </c>
    </row>
    <row r="1220" spans="1:14" x14ac:dyDescent="0.3">
      <c r="A1220" s="9" t="s">
        <v>1338</v>
      </c>
      <c r="B1220" s="9" t="s">
        <v>1339</v>
      </c>
      <c r="C1220" s="9" t="s">
        <v>36</v>
      </c>
      <c r="D1220" s="9" t="s">
        <v>12</v>
      </c>
      <c r="E1220" s="9">
        <v>2</v>
      </c>
      <c r="F1220" s="11">
        <v>70700</v>
      </c>
      <c r="G1220" s="9" t="str">
        <f>INDEX(Products!$B$2:$B$9,MATCH(D1220,Products!$A$2:$A$9,0))</f>
        <v>Trà atiso thanh lọc</v>
      </c>
      <c r="H1220" s="9" t="str">
        <f>INDEX(Products!$C$2:$C$9,MATCH(D1220,Products!$A$2:$A$9,0))</f>
        <v>Thanh lọc</v>
      </c>
      <c r="I1220" s="11">
        <f>INDEX(Products!$D$2:$D$9,MATCH(D1220,Products!$A$2:$A$9,0))</f>
        <v>9000</v>
      </c>
      <c r="J1220" s="10">
        <f>IFERROR(INDEX(PlatformFees!$C$2:$C$5,MATCH(C1220,PlatformFees!$A$2:$A$5,0)),0)</f>
        <v>0.13</v>
      </c>
      <c r="K1220" s="11">
        <f t="shared" si="76"/>
        <v>18000</v>
      </c>
      <c r="L1220" s="11">
        <f t="shared" si="77"/>
        <v>9191</v>
      </c>
      <c r="M1220" s="11">
        <f t="shared" si="78"/>
        <v>43509</v>
      </c>
      <c r="N1220" s="10">
        <f t="shared" si="79"/>
        <v>0.61540311173974538</v>
      </c>
    </row>
    <row r="1221" spans="1:14" x14ac:dyDescent="0.3">
      <c r="A1221" s="9" t="s">
        <v>1340</v>
      </c>
      <c r="B1221" s="9" t="s">
        <v>1339</v>
      </c>
      <c r="C1221" s="9" t="s">
        <v>36</v>
      </c>
      <c r="D1221" s="9" t="s">
        <v>22</v>
      </c>
      <c r="E1221" s="9">
        <v>2</v>
      </c>
      <c r="F1221" s="11">
        <v>71200</v>
      </c>
      <c r="G1221" s="9" t="str">
        <f>INDEX(Products!$B$2:$B$9,MATCH(D1221,Products!$A$2:$A$9,0))</f>
        <v>Trà hoa cúc an thần</v>
      </c>
      <c r="H1221" s="9" t="str">
        <f>INDEX(Products!$C$2:$C$9,MATCH(D1221,Products!$A$2:$A$9,0))</f>
        <v>An thần</v>
      </c>
      <c r="I1221" s="11">
        <f>INDEX(Products!$D$2:$D$9,MATCH(D1221,Products!$A$2:$A$9,0))</f>
        <v>9500</v>
      </c>
      <c r="J1221" s="10">
        <f>IFERROR(INDEX(PlatformFees!$C$2:$C$5,MATCH(C1221,PlatformFees!$A$2:$A$5,0)),0)</f>
        <v>0.13</v>
      </c>
      <c r="K1221" s="11">
        <f t="shared" si="76"/>
        <v>19000</v>
      </c>
      <c r="L1221" s="11">
        <f t="shared" si="77"/>
        <v>9256</v>
      </c>
      <c r="M1221" s="11">
        <f t="shared" si="78"/>
        <v>42944</v>
      </c>
      <c r="N1221" s="10">
        <f t="shared" si="79"/>
        <v>0.60314606741573029</v>
      </c>
    </row>
    <row r="1222" spans="1:14" x14ac:dyDescent="0.3">
      <c r="A1222" s="9" t="s">
        <v>1341</v>
      </c>
      <c r="B1222" s="9" t="s">
        <v>1339</v>
      </c>
      <c r="C1222" s="9" t="s">
        <v>36</v>
      </c>
      <c r="D1222" s="9" t="s">
        <v>20</v>
      </c>
      <c r="E1222" s="9">
        <v>1</v>
      </c>
      <c r="F1222" s="11">
        <v>51300</v>
      </c>
      <c r="G1222" s="9" t="str">
        <f>INDEX(Products!$B$2:$B$9,MATCH(D1222,Products!$A$2:$A$9,0))</f>
        <v>Trà cà leo gai giảm cân</v>
      </c>
      <c r="H1222" s="9" t="str">
        <f>INDEX(Products!$C$2:$C$9,MATCH(D1222,Products!$A$2:$A$9,0))</f>
        <v>Detox</v>
      </c>
      <c r="I1222" s="11">
        <f>INDEX(Products!$D$2:$D$9,MATCH(D1222,Products!$A$2:$A$9,0))</f>
        <v>15000</v>
      </c>
      <c r="J1222" s="10">
        <f>IFERROR(INDEX(PlatformFees!$C$2:$C$5,MATCH(C1222,PlatformFees!$A$2:$A$5,0)),0)</f>
        <v>0.13</v>
      </c>
      <c r="K1222" s="11">
        <f t="shared" si="76"/>
        <v>15000</v>
      </c>
      <c r="L1222" s="11">
        <f t="shared" si="77"/>
        <v>6669</v>
      </c>
      <c r="M1222" s="11">
        <f t="shared" si="78"/>
        <v>29631</v>
      </c>
      <c r="N1222" s="10">
        <f t="shared" si="79"/>
        <v>0.57760233918128656</v>
      </c>
    </row>
    <row r="1223" spans="1:14" x14ac:dyDescent="0.3">
      <c r="A1223" s="9" t="s">
        <v>1342</v>
      </c>
      <c r="B1223" s="9" t="s">
        <v>1339</v>
      </c>
      <c r="C1223" s="9" t="s">
        <v>38</v>
      </c>
      <c r="D1223" s="9" t="s">
        <v>12</v>
      </c>
      <c r="E1223" s="9">
        <v>1</v>
      </c>
      <c r="F1223" s="11">
        <v>32900</v>
      </c>
      <c r="G1223" s="9" t="str">
        <f>INDEX(Products!$B$2:$B$9,MATCH(D1223,Products!$A$2:$A$9,0))</f>
        <v>Trà atiso thanh lọc</v>
      </c>
      <c r="H1223" s="9" t="str">
        <f>INDEX(Products!$C$2:$C$9,MATCH(D1223,Products!$A$2:$A$9,0))</f>
        <v>Thanh lọc</v>
      </c>
      <c r="I1223" s="11">
        <f>INDEX(Products!$D$2:$D$9,MATCH(D1223,Products!$A$2:$A$9,0))</f>
        <v>9000</v>
      </c>
      <c r="J1223" s="10">
        <f>IFERROR(INDEX(PlatformFees!$C$2:$C$5,MATCH(C1223,PlatformFees!$A$2:$A$5,0)),0)</f>
        <v>0.16</v>
      </c>
      <c r="K1223" s="11">
        <f t="shared" si="76"/>
        <v>9000</v>
      </c>
      <c r="L1223" s="11">
        <f t="shared" si="77"/>
        <v>5264</v>
      </c>
      <c r="M1223" s="11">
        <f t="shared" si="78"/>
        <v>18636</v>
      </c>
      <c r="N1223" s="10">
        <f t="shared" si="79"/>
        <v>0.56644376899696047</v>
      </c>
    </row>
    <row r="1224" spans="1:14" x14ac:dyDescent="0.3">
      <c r="A1224" s="9" t="s">
        <v>1343</v>
      </c>
      <c r="B1224" s="9" t="s">
        <v>1339</v>
      </c>
      <c r="C1224" s="9" t="s">
        <v>36</v>
      </c>
      <c r="D1224" s="9" t="s">
        <v>15</v>
      </c>
      <c r="E1224" s="9">
        <v>1</v>
      </c>
      <c r="F1224" s="11">
        <v>29800</v>
      </c>
      <c r="G1224" s="9" t="str">
        <f>INDEX(Products!$B$2:$B$9,MATCH(D1224,Products!$A$2:$A$9,0))</f>
        <v>Trà lá nam sen ổi</v>
      </c>
      <c r="H1224" s="9" t="str">
        <f>INDEX(Products!$C$2:$C$9,MATCH(D1224,Products!$A$2:$A$9,0))</f>
        <v>Thanh lọc</v>
      </c>
      <c r="I1224" s="11">
        <f>INDEX(Products!$D$2:$D$9,MATCH(D1224,Products!$A$2:$A$9,0))</f>
        <v>8500</v>
      </c>
      <c r="J1224" s="10">
        <f>IFERROR(INDEX(PlatformFees!$C$2:$C$5,MATCH(C1224,PlatformFees!$A$2:$A$5,0)),0)</f>
        <v>0.13</v>
      </c>
      <c r="K1224" s="11">
        <f t="shared" si="76"/>
        <v>8500</v>
      </c>
      <c r="L1224" s="11">
        <f t="shared" si="77"/>
        <v>3874</v>
      </c>
      <c r="M1224" s="11">
        <f t="shared" si="78"/>
        <v>17426</v>
      </c>
      <c r="N1224" s="10">
        <f t="shared" si="79"/>
        <v>0.58476510067114096</v>
      </c>
    </row>
    <row r="1225" spans="1:14" x14ac:dyDescent="0.3">
      <c r="A1225" s="9" t="s">
        <v>1344</v>
      </c>
      <c r="B1225" s="9" t="s">
        <v>1339</v>
      </c>
      <c r="C1225" s="9" t="s">
        <v>38</v>
      </c>
      <c r="D1225" s="9" t="s">
        <v>27</v>
      </c>
      <c r="E1225" s="9">
        <v>3</v>
      </c>
      <c r="F1225" s="11">
        <v>116900</v>
      </c>
      <c r="G1225" s="9" t="str">
        <f>INDEX(Products!$B$2:$B$9,MATCH(D1225,Products!$A$2:$A$9,0))</f>
        <v>Trà gừng mật ong</v>
      </c>
      <c r="H1225" s="9" t="str">
        <f>INDEX(Products!$C$2:$C$9,MATCH(D1225,Products!$A$2:$A$9,0))</f>
        <v>Giữ ấm</v>
      </c>
      <c r="I1225" s="11">
        <f>INDEX(Products!$D$2:$D$9,MATCH(D1225,Products!$A$2:$A$9,0))</f>
        <v>11000</v>
      </c>
      <c r="J1225" s="10">
        <f>IFERROR(INDEX(PlatformFees!$C$2:$C$5,MATCH(C1225,PlatformFees!$A$2:$A$5,0)),0)</f>
        <v>0.16</v>
      </c>
      <c r="K1225" s="11">
        <f t="shared" si="76"/>
        <v>33000</v>
      </c>
      <c r="L1225" s="11">
        <f t="shared" si="77"/>
        <v>18704</v>
      </c>
      <c r="M1225" s="11">
        <f t="shared" si="78"/>
        <v>65196</v>
      </c>
      <c r="N1225" s="10">
        <f t="shared" si="79"/>
        <v>0.55770744225834046</v>
      </c>
    </row>
    <row r="1226" spans="1:14" x14ac:dyDescent="0.3">
      <c r="A1226" s="9" t="s">
        <v>1345</v>
      </c>
      <c r="B1226" s="9" t="s">
        <v>1339</v>
      </c>
      <c r="C1226" s="9" t="s">
        <v>38</v>
      </c>
      <c r="D1226" s="9" t="s">
        <v>20</v>
      </c>
      <c r="E1226" s="9">
        <v>1</v>
      </c>
      <c r="F1226" s="11">
        <v>52800</v>
      </c>
      <c r="G1226" s="9" t="str">
        <f>INDEX(Products!$B$2:$B$9,MATCH(D1226,Products!$A$2:$A$9,0))</f>
        <v>Trà cà leo gai giảm cân</v>
      </c>
      <c r="H1226" s="9" t="str">
        <f>INDEX(Products!$C$2:$C$9,MATCH(D1226,Products!$A$2:$A$9,0))</f>
        <v>Detox</v>
      </c>
      <c r="I1226" s="11">
        <f>INDEX(Products!$D$2:$D$9,MATCH(D1226,Products!$A$2:$A$9,0))</f>
        <v>15000</v>
      </c>
      <c r="J1226" s="10">
        <f>IFERROR(INDEX(PlatformFees!$C$2:$C$5,MATCH(C1226,PlatformFees!$A$2:$A$5,0)),0)</f>
        <v>0.16</v>
      </c>
      <c r="K1226" s="11">
        <f t="shared" si="76"/>
        <v>15000</v>
      </c>
      <c r="L1226" s="11">
        <f t="shared" si="77"/>
        <v>8448</v>
      </c>
      <c r="M1226" s="11">
        <f t="shared" si="78"/>
        <v>29352</v>
      </c>
      <c r="N1226" s="10">
        <f t="shared" si="79"/>
        <v>0.55590909090909091</v>
      </c>
    </row>
    <row r="1227" spans="1:14" x14ac:dyDescent="0.3">
      <c r="A1227" s="9" t="s">
        <v>1346</v>
      </c>
      <c r="B1227" s="9" t="s">
        <v>1339</v>
      </c>
      <c r="C1227" s="9" t="s">
        <v>38</v>
      </c>
      <c r="D1227" s="9" t="s">
        <v>12</v>
      </c>
      <c r="E1227" s="9">
        <v>1</v>
      </c>
      <c r="F1227" s="11">
        <v>34700</v>
      </c>
      <c r="G1227" s="9" t="str">
        <f>INDEX(Products!$B$2:$B$9,MATCH(D1227,Products!$A$2:$A$9,0))</f>
        <v>Trà atiso thanh lọc</v>
      </c>
      <c r="H1227" s="9" t="str">
        <f>INDEX(Products!$C$2:$C$9,MATCH(D1227,Products!$A$2:$A$9,0))</f>
        <v>Thanh lọc</v>
      </c>
      <c r="I1227" s="11">
        <f>INDEX(Products!$D$2:$D$9,MATCH(D1227,Products!$A$2:$A$9,0))</f>
        <v>9000</v>
      </c>
      <c r="J1227" s="10">
        <f>IFERROR(INDEX(PlatformFees!$C$2:$C$5,MATCH(C1227,PlatformFees!$A$2:$A$5,0)),0)</f>
        <v>0.16</v>
      </c>
      <c r="K1227" s="11">
        <f t="shared" si="76"/>
        <v>9000</v>
      </c>
      <c r="L1227" s="11">
        <f t="shared" si="77"/>
        <v>5552</v>
      </c>
      <c r="M1227" s="11">
        <f t="shared" si="78"/>
        <v>20148</v>
      </c>
      <c r="N1227" s="10">
        <f t="shared" si="79"/>
        <v>0.58063400576368873</v>
      </c>
    </row>
    <row r="1228" spans="1:14" x14ac:dyDescent="0.3">
      <c r="A1228" s="9" t="s">
        <v>1347</v>
      </c>
      <c r="B1228" s="9" t="s">
        <v>1339</v>
      </c>
      <c r="C1228" s="9" t="s">
        <v>40</v>
      </c>
      <c r="D1228" s="9" t="s">
        <v>27</v>
      </c>
      <c r="E1228" s="9">
        <v>2</v>
      </c>
      <c r="F1228" s="11">
        <v>80600</v>
      </c>
      <c r="G1228" s="9" t="str">
        <f>INDEX(Products!$B$2:$B$9,MATCH(D1228,Products!$A$2:$A$9,0))</f>
        <v>Trà gừng mật ong</v>
      </c>
      <c r="H1228" s="9" t="str">
        <f>INDEX(Products!$C$2:$C$9,MATCH(D1228,Products!$A$2:$A$9,0))</f>
        <v>Giữ ấm</v>
      </c>
      <c r="I1228" s="11">
        <f>INDEX(Products!$D$2:$D$9,MATCH(D1228,Products!$A$2:$A$9,0))</f>
        <v>11000</v>
      </c>
      <c r="J1228" s="10">
        <f>IFERROR(INDEX(PlatformFees!$C$2:$C$5,MATCH(C1228,PlatformFees!$A$2:$A$5,0)),0)</f>
        <v>0</v>
      </c>
      <c r="K1228" s="11">
        <f t="shared" si="76"/>
        <v>22000</v>
      </c>
      <c r="L1228" s="11">
        <f t="shared" si="77"/>
        <v>0</v>
      </c>
      <c r="M1228" s="11">
        <f t="shared" si="78"/>
        <v>58600</v>
      </c>
      <c r="N1228" s="10">
        <f t="shared" si="79"/>
        <v>0.72704714640198509</v>
      </c>
    </row>
    <row r="1229" spans="1:14" x14ac:dyDescent="0.3">
      <c r="A1229" s="9" t="s">
        <v>1348</v>
      </c>
      <c r="B1229" s="9" t="s">
        <v>1339</v>
      </c>
      <c r="C1229" s="9" t="s">
        <v>36</v>
      </c>
      <c r="D1229" s="9" t="s">
        <v>20</v>
      </c>
      <c r="E1229" s="9">
        <v>2</v>
      </c>
      <c r="F1229" s="11">
        <v>111100</v>
      </c>
      <c r="G1229" s="9" t="str">
        <f>INDEX(Products!$B$2:$B$9,MATCH(D1229,Products!$A$2:$A$9,0))</f>
        <v>Trà cà leo gai giảm cân</v>
      </c>
      <c r="H1229" s="9" t="str">
        <f>INDEX(Products!$C$2:$C$9,MATCH(D1229,Products!$A$2:$A$9,0))</f>
        <v>Detox</v>
      </c>
      <c r="I1229" s="11">
        <f>INDEX(Products!$D$2:$D$9,MATCH(D1229,Products!$A$2:$A$9,0))</f>
        <v>15000</v>
      </c>
      <c r="J1229" s="10">
        <f>IFERROR(INDEX(PlatformFees!$C$2:$C$5,MATCH(C1229,PlatformFees!$A$2:$A$5,0)),0)</f>
        <v>0.13</v>
      </c>
      <c r="K1229" s="11">
        <f t="shared" si="76"/>
        <v>30000</v>
      </c>
      <c r="L1229" s="11">
        <f t="shared" si="77"/>
        <v>14443</v>
      </c>
      <c r="M1229" s="11">
        <f t="shared" si="78"/>
        <v>66657</v>
      </c>
      <c r="N1229" s="10">
        <f t="shared" si="79"/>
        <v>0.59997299729972997</v>
      </c>
    </row>
    <row r="1230" spans="1:14" x14ac:dyDescent="0.3">
      <c r="A1230" s="9" t="s">
        <v>1349</v>
      </c>
      <c r="B1230" s="9" t="s">
        <v>1339</v>
      </c>
      <c r="C1230" s="9" t="s">
        <v>39</v>
      </c>
      <c r="D1230" s="9" t="s">
        <v>12</v>
      </c>
      <c r="E1230" s="9">
        <v>2</v>
      </c>
      <c r="F1230" s="11">
        <v>66400</v>
      </c>
      <c r="G1230" s="9" t="str">
        <f>INDEX(Products!$B$2:$B$9,MATCH(D1230,Products!$A$2:$A$9,0))</f>
        <v>Trà atiso thanh lọc</v>
      </c>
      <c r="H1230" s="9" t="str">
        <f>INDEX(Products!$C$2:$C$9,MATCH(D1230,Products!$A$2:$A$9,0))</f>
        <v>Thanh lọc</v>
      </c>
      <c r="I1230" s="11">
        <f>INDEX(Products!$D$2:$D$9,MATCH(D1230,Products!$A$2:$A$9,0))</f>
        <v>9000</v>
      </c>
      <c r="J1230" s="10">
        <f>IFERROR(INDEX(PlatformFees!$C$2:$C$5,MATCH(C1230,PlatformFees!$A$2:$A$5,0)),0)</f>
        <v>0</v>
      </c>
      <c r="K1230" s="11">
        <f t="shared" si="76"/>
        <v>18000</v>
      </c>
      <c r="L1230" s="11">
        <f t="shared" si="77"/>
        <v>0</v>
      </c>
      <c r="M1230" s="11">
        <f t="shared" si="78"/>
        <v>48400</v>
      </c>
      <c r="N1230" s="10">
        <f t="shared" si="79"/>
        <v>0.72891566265060237</v>
      </c>
    </row>
    <row r="1231" spans="1:14" x14ac:dyDescent="0.3">
      <c r="A1231" s="9" t="s">
        <v>1350</v>
      </c>
      <c r="B1231" s="9" t="s">
        <v>1339</v>
      </c>
      <c r="C1231" s="9" t="s">
        <v>36</v>
      </c>
      <c r="D1231" s="9" t="s">
        <v>12</v>
      </c>
      <c r="E1231" s="9">
        <v>1</v>
      </c>
      <c r="F1231" s="11">
        <v>32500</v>
      </c>
      <c r="G1231" s="9" t="str">
        <f>INDEX(Products!$B$2:$B$9,MATCH(D1231,Products!$A$2:$A$9,0))</f>
        <v>Trà atiso thanh lọc</v>
      </c>
      <c r="H1231" s="9" t="str">
        <f>INDEX(Products!$C$2:$C$9,MATCH(D1231,Products!$A$2:$A$9,0))</f>
        <v>Thanh lọc</v>
      </c>
      <c r="I1231" s="11">
        <f>INDEX(Products!$D$2:$D$9,MATCH(D1231,Products!$A$2:$A$9,0))</f>
        <v>9000</v>
      </c>
      <c r="J1231" s="10">
        <f>IFERROR(INDEX(PlatformFees!$C$2:$C$5,MATCH(C1231,PlatformFees!$A$2:$A$5,0)),0)</f>
        <v>0.13</v>
      </c>
      <c r="K1231" s="11">
        <f t="shared" si="76"/>
        <v>9000</v>
      </c>
      <c r="L1231" s="11">
        <f t="shared" si="77"/>
        <v>4225</v>
      </c>
      <c r="M1231" s="11">
        <f t="shared" si="78"/>
        <v>19275</v>
      </c>
      <c r="N1231" s="10">
        <f t="shared" si="79"/>
        <v>0.59307692307692306</v>
      </c>
    </row>
    <row r="1232" spans="1:14" x14ac:dyDescent="0.3">
      <c r="A1232" s="9" t="s">
        <v>1351</v>
      </c>
      <c r="B1232" s="9" t="s">
        <v>1339</v>
      </c>
      <c r="C1232" s="9" t="s">
        <v>36</v>
      </c>
      <c r="D1232" s="9" t="s">
        <v>20</v>
      </c>
      <c r="E1232" s="9">
        <v>1</v>
      </c>
      <c r="F1232" s="11">
        <v>55000</v>
      </c>
      <c r="G1232" s="9" t="str">
        <f>INDEX(Products!$B$2:$B$9,MATCH(D1232,Products!$A$2:$A$9,0))</f>
        <v>Trà cà leo gai giảm cân</v>
      </c>
      <c r="H1232" s="9" t="str">
        <f>INDEX(Products!$C$2:$C$9,MATCH(D1232,Products!$A$2:$A$9,0))</f>
        <v>Detox</v>
      </c>
      <c r="I1232" s="11">
        <f>INDEX(Products!$D$2:$D$9,MATCH(D1232,Products!$A$2:$A$9,0))</f>
        <v>15000</v>
      </c>
      <c r="J1232" s="10">
        <f>IFERROR(INDEX(PlatformFees!$C$2:$C$5,MATCH(C1232,PlatformFees!$A$2:$A$5,0)),0)</f>
        <v>0.13</v>
      </c>
      <c r="K1232" s="11">
        <f t="shared" si="76"/>
        <v>15000</v>
      </c>
      <c r="L1232" s="11">
        <f t="shared" si="77"/>
        <v>7150</v>
      </c>
      <c r="M1232" s="11">
        <f t="shared" si="78"/>
        <v>32850</v>
      </c>
      <c r="N1232" s="10">
        <f t="shared" si="79"/>
        <v>0.59727272727272729</v>
      </c>
    </row>
    <row r="1233" spans="1:14" x14ac:dyDescent="0.3">
      <c r="A1233" s="9" t="s">
        <v>1352</v>
      </c>
      <c r="B1233" s="9" t="s">
        <v>1353</v>
      </c>
      <c r="C1233" s="9" t="s">
        <v>36</v>
      </c>
      <c r="D1233" s="9" t="s">
        <v>15</v>
      </c>
      <c r="E1233" s="9">
        <v>3</v>
      </c>
      <c r="F1233" s="11">
        <v>90900</v>
      </c>
      <c r="G1233" s="9" t="str">
        <f>INDEX(Products!$B$2:$B$9,MATCH(D1233,Products!$A$2:$A$9,0))</f>
        <v>Trà lá nam sen ổi</v>
      </c>
      <c r="H1233" s="9" t="str">
        <f>INDEX(Products!$C$2:$C$9,MATCH(D1233,Products!$A$2:$A$9,0))</f>
        <v>Thanh lọc</v>
      </c>
      <c r="I1233" s="11">
        <f>INDEX(Products!$D$2:$D$9,MATCH(D1233,Products!$A$2:$A$9,0))</f>
        <v>8500</v>
      </c>
      <c r="J1233" s="10">
        <f>IFERROR(INDEX(PlatformFees!$C$2:$C$5,MATCH(C1233,PlatformFees!$A$2:$A$5,0)),0)</f>
        <v>0.13</v>
      </c>
      <c r="K1233" s="11">
        <f t="shared" si="76"/>
        <v>25500</v>
      </c>
      <c r="L1233" s="11">
        <f t="shared" si="77"/>
        <v>11817</v>
      </c>
      <c r="M1233" s="11">
        <f t="shared" si="78"/>
        <v>53583</v>
      </c>
      <c r="N1233" s="10">
        <f t="shared" si="79"/>
        <v>0.58947194719471951</v>
      </c>
    </row>
    <row r="1234" spans="1:14" x14ac:dyDescent="0.3">
      <c r="A1234" s="9" t="s">
        <v>1354</v>
      </c>
      <c r="B1234" s="9" t="s">
        <v>1353</v>
      </c>
      <c r="C1234" s="9" t="s">
        <v>38</v>
      </c>
      <c r="D1234" s="9" t="s">
        <v>15</v>
      </c>
      <c r="E1234" s="9">
        <v>3</v>
      </c>
      <c r="F1234" s="11">
        <v>94200</v>
      </c>
      <c r="G1234" s="9" t="str">
        <f>INDEX(Products!$B$2:$B$9,MATCH(D1234,Products!$A$2:$A$9,0))</f>
        <v>Trà lá nam sen ổi</v>
      </c>
      <c r="H1234" s="9" t="str">
        <f>INDEX(Products!$C$2:$C$9,MATCH(D1234,Products!$A$2:$A$9,0))</f>
        <v>Thanh lọc</v>
      </c>
      <c r="I1234" s="11">
        <f>INDEX(Products!$D$2:$D$9,MATCH(D1234,Products!$A$2:$A$9,0))</f>
        <v>8500</v>
      </c>
      <c r="J1234" s="10">
        <f>IFERROR(INDEX(PlatformFees!$C$2:$C$5,MATCH(C1234,PlatformFees!$A$2:$A$5,0)),0)</f>
        <v>0.16</v>
      </c>
      <c r="K1234" s="11">
        <f t="shared" si="76"/>
        <v>25500</v>
      </c>
      <c r="L1234" s="11">
        <f t="shared" si="77"/>
        <v>15072</v>
      </c>
      <c r="M1234" s="11">
        <f t="shared" si="78"/>
        <v>53628</v>
      </c>
      <c r="N1234" s="10">
        <f t="shared" si="79"/>
        <v>0.56929936305732487</v>
      </c>
    </row>
    <row r="1235" spans="1:14" x14ac:dyDescent="0.3">
      <c r="A1235" s="9" t="s">
        <v>1355</v>
      </c>
      <c r="B1235" s="9" t="s">
        <v>1353</v>
      </c>
      <c r="C1235" s="9" t="s">
        <v>39</v>
      </c>
      <c r="D1235" s="9" t="s">
        <v>27</v>
      </c>
      <c r="E1235" s="9">
        <v>2</v>
      </c>
      <c r="F1235" s="11">
        <v>76800</v>
      </c>
      <c r="G1235" s="9" t="str">
        <f>INDEX(Products!$B$2:$B$9,MATCH(D1235,Products!$A$2:$A$9,0))</f>
        <v>Trà gừng mật ong</v>
      </c>
      <c r="H1235" s="9" t="str">
        <f>INDEX(Products!$C$2:$C$9,MATCH(D1235,Products!$A$2:$A$9,0))</f>
        <v>Giữ ấm</v>
      </c>
      <c r="I1235" s="11">
        <f>INDEX(Products!$D$2:$D$9,MATCH(D1235,Products!$A$2:$A$9,0))</f>
        <v>11000</v>
      </c>
      <c r="J1235" s="10">
        <f>IFERROR(INDEX(PlatformFees!$C$2:$C$5,MATCH(C1235,PlatformFees!$A$2:$A$5,0)),0)</f>
        <v>0</v>
      </c>
      <c r="K1235" s="11">
        <f t="shared" si="76"/>
        <v>22000</v>
      </c>
      <c r="L1235" s="11">
        <f t="shared" si="77"/>
        <v>0</v>
      </c>
      <c r="M1235" s="11">
        <f t="shared" si="78"/>
        <v>54800</v>
      </c>
      <c r="N1235" s="10">
        <f t="shared" si="79"/>
        <v>0.71354166666666663</v>
      </c>
    </row>
    <row r="1236" spans="1:14" x14ac:dyDescent="0.3">
      <c r="A1236" s="9" t="s">
        <v>1356</v>
      </c>
      <c r="B1236" s="9" t="s">
        <v>1353</v>
      </c>
      <c r="C1236" s="9" t="s">
        <v>38</v>
      </c>
      <c r="D1236" s="9" t="s">
        <v>22</v>
      </c>
      <c r="E1236" s="9">
        <v>1</v>
      </c>
      <c r="F1236" s="11">
        <v>35700</v>
      </c>
      <c r="G1236" s="9" t="str">
        <f>INDEX(Products!$B$2:$B$9,MATCH(D1236,Products!$A$2:$A$9,0))</f>
        <v>Trà hoa cúc an thần</v>
      </c>
      <c r="H1236" s="9" t="str">
        <f>INDEX(Products!$C$2:$C$9,MATCH(D1236,Products!$A$2:$A$9,0))</f>
        <v>An thần</v>
      </c>
      <c r="I1236" s="11">
        <f>INDEX(Products!$D$2:$D$9,MATCH(D1236,Products!$A$2:$A$9,0))</f>
        <v>9500</v>
      </c>
      <c r="J1236" s="10">
        <f>IFERROR(INDEX(PlatformFees!$C$2:$C$5,MATCH(C1236,PlatformFees!$A$2:$A$5,0)),0)</f>
        <v>0.16</v>
      </c>
      <c r="K1236" s="11">
        <f t="shared" si="76"/>
        <v>9500</v>
      </c>
      <c r="L1236" s="11">
        <f t="shared" si="77"/>
        <v>5712</v>
      </c>
      <c r="M1236" s="11">
        <f t="shared" si="78"/>
        <v>20488</v>
      </c>
      <c r="N1236" s="10">
        <f t="shared" si="79"/>
        <v>0.57389355742296921</v>
      </c>
    </row>
    <row r="1237" spans="1:14" x14ac:dyDescent="0.3">
      <c r="A1237" s="9" t="s">
        <v>1357</v>
      </c>
      <c r="B1237" s="9" t="s">
        <v>1353</v>
      </c>
      <c r="C1237" s="9" t="s">
        <v>36</v>
      </c>
      <c r="D1237" s="9" t="s">
        <v>20</v>
      </c>
      <c r="E1237" s="9">
        <v>1</v>
      </c>
      <c r="F1237" s="11">
        <v>54600</v>
      </c>
      <c r="G1237" s="9" t="str">
        <f>INDEX(Products!$B$2:$B$9,MATCH(D1237,Products!$A$2:$A$9,0))</f>
        <v>Trà cà leo gai giảm cân</v>
      </c>
      <c r="H1237" s="9" t="str">
        <f>INDEX(Products!$C$2:$C$9,MATCH(D1237,Products!$A$2:$A$9,0))</f>
        <v>Detox</v>
      </c>
      <c r="I1237" s="11">
        <f>INDEX(Products!$D$2:$D$9,MATCH(D1237,Products!$A$2:$A$9,0))</f>
        <v>15000</v>
      </c>
      <c r="J1237" s="10">
        <f>IFERROR(INDEX(PlatformFees!$C$2:$C$5,MATCH(C1237,PlatformFees!$A$2:$A$5,0)),0)</f>
        <v>0.13</v>
      </c>
      <c r="K1237" s="11">
        <f t="shared" si="76"/>
        <v>15000</v>
      </c>
      <c r="L1237" s="11">
        <f t="shared" si="77"/>
        <v>7098</v>
      </c>
      <c r="M1237" s="11">
        <f t="shared" si="78"/>
        <v>32502</v>
      </c>
      <c r="N1237" s="10">
        <f t="shared" si="79"/>
        <v>0.59527472527472525</v>
      </c>
    </row>
    <row r="1238" spans="1:14" x14ac:dyDescent="0.3">
      <c r="A1238" s="9" t="s">
        <v>1358</v>
      </c>
      <c r="B1238" s="9" t="s">
        <v>1353</v>
      </c>
      <c r="C1238" s="9" t="s">
        <v>38</v>
      </c>
      <c r="D1238" s="9" t="s">
        <v>20</v>
      </c>
      <c r="E1238" s="9">
        <v>1</v>
      </c>
      <c r="F1238" s="11">
        <v>56100</v>
      </c>
      <c r="G1238" s="9" t="str">
        <f>INDEX(Products!$B$2:$B$9,MATCH(D1238,Products!$A$2:$A$9,0))</f>
        <v>Trà cà leo gai giảm cân</v>
      </c>
      <c r="H1238" s="9" t="str">
        <f>INDEX(Products!$C$2:$C$9,MATCH(D1238,Products!$A$2:$A$9,0))</f>
        <v>Detox</v>
      </c>
      <c r="I1238" s="11">
        <f>INDEX(Products!$D$2:$D$9,MATCH(D1238,Products!$A$2:$A$9,0))</f>
        <v>15000</v>
      </c>
      <c r="J1238" s="10">
        <f>IFERROR(INDEX(PlatformFees!$C$2:$C$5,MATCH(C1238,PlatformFees!$A$2:$A$5,0)),0)</f>
        <v>0.16</v>
      </c>
      <c r="K1238" s="11">
        <f t="shared" si="76"/>
        <v>15000</v>
      </c>
      <c r="L1238" s="11">
        <f t="shared" si="77"/>
        <v>8976</v>
      </c>
      <c r="M1238" s="11">
        <f t="shared" si="78"/>
        <v>32124</v>
      </c>
      <c r="N1238" s="10">
        <f t="shared" si="79"/>
        <v>0.57262032085561498</v>
      </c>
    </row>
    <row r="1239" spans="1:14" x14ac:dyDescent="0.3">
      <c r="A1239" s="9" t="s">
        <v>1359</v>
      </c>
      <c r="B1239" s="9" t="s">
        <v>1353</v>
      </c>
      <c r="C1239" s="9" t="s">
        <v>38</v>
      </c>
      <c r="D1239" s="9" t="s">
        <v>30</v>
      </c>
      <c r="E1239" s="9">
        <v>1</v>
      </c>
      <c r="F1239" s="11">
        <v>34800</v>
      </c>
      <c r="G1239" s="9" t="str">
        <f>INDEX(Products!$B$2:$B$9,MATCH(D1239,Products!$A$2:$A$9,0))</f>
        <v>Trà mâm xôi vitamin</v>
      </c>
      <c r="H1239" s="9" t="str">
        <f>INDEX(Products!$C$2:$C$9,MATCH(D1239,Products!$A$2:$A$9,0))</f>
        <v>Bổ sung dưỡng chất</v>
      </c>
      <c r="I1239" s="11">
        <f>INDEX(Products!$D$2:$D$9,MATCH(D1239,Products!$A$2:$A$9,0))</f>
        <v>9800</v>
      </c>
      <c r="J1239" s="10">
        <f>IFERROR(INDEX(PlatformFees!$C$2:$C$5,MATCH(C1239,PlatformFees!$A$2:$A$5,0)),0)</f>
        <v>0.16</v>
      </c>
      <c r="K1239" s="11">
        <f t="shared" si="76"/>
        <v>9800</v>
      </c>
      <c r="L1239" s="11">
        <f t="shared" si="77"/>
        <v>5568</v>
      </c>
      <c r="M1239" s="11">
        <f t="shared" si="78"/>
        <v>19432</v>
      </c>
      <c r="N1239" s="10">
        <f t="shared" si="79"/>
        <v>0.55839080459770118</v>
      </c>
    </row>
    <row r="1240" spans="1:14" x14ac:dyDescent="0.3">
      <c r="A1240" s="9" t="s">
        <v>1360</v>
      </c>
      <c r="B1240" s="9" t="s">
        <v>1353</v>
      </c>
      <c r="C1240" s="9" t="s">
        <v>38</v>
      </c>
      <c r="D1240" s="9" t="s">
        <v>27</v>
      </c>
      <c r="E1240" s="9">
        <v>1</v>
      </c>
      <c r="F1240" s="11">
        <v>39500</v>
      </c>
      <c r="G1240" s="9" t="str">
        <f>INDEX(Products!$B$2:$B$9,MATCH(D1240,Products!$A$2:$A$9,0))</f>
        <v>Trà gừng mật ong</v>
      </c>
      <c r="H1240" s="9" t="str">
        <f>INDEX(Products!$C$2:$C$9,MATCH(D1240,Products!$A$2:$A$9,0))</f>
        <v>Giữ ấm</v>
      </c>
      <c r="I1240" s="11">
        <f>INDEX(Products!$D$2:$D$9,MATCH(D1240,Products!$A$2:$A$9,0))</f>
        <v>11000</v>
      </c>
      <c r="J1240" s="10">
        <f>IFERROR(INDEX(PlatformFees!$C$2:$C$5,MATCH(C1240,PlatformFees!$A$2:$A$5,0)),0)</f>
        <v>0.16</v>
      </c>
      <c r="K1240" s="11">
        <f t="shared" si="76"/>
        <v>11000</v>
      </c>
      <c r="L1240" s="11">
        <f t="shared" si="77"/>
        <v>6320</v>
      </c>
      <c r="M1240" s="11">
        <f t="shared" si="78"/>
        <v>22180</v>
      </c>
      <c r="N1240" s="10">
        <f t="shared" si="79"/>
        <v>0.56151898734177219</v>
      </c>
    </row>
    <row r="1241" spans="1:14" x14ac:dyDescent="0.3">
      <c r="A1241" s="9" t="s">
        <v>1361</v>
      </c>
      <c r="B1241" s="9" t="s">
        <v>1353</v>
      </c>
      <c r="C1241" s="9" t="s">
        <v>38</v>
      </c>
      <c r="D1241" s="9" t="s">
        <v>17</v>
      </c>
      <c r="E1241" s="9">
        <v>2</v>
      </c>
      <c r="F1241" s="11">
        <v>85800</v>
      </c>
      <c r="G1241" s="9" t="str">
        <f>INDEX(Products!$B$2:$B$9,MATCH(D1241,Products!$A$2:$A$9,0))</f>
        <v>Trà diếp cá rau má</v>
      </c>
      <c r="H1241" s="9" t="str">
        <f>INDEX(Products!$C$2:$C$9,MATCH(D1241,Products!$A$2:$A$9,0))</f>
        <v>Detox</v>
      </c>
      <c r="I1241" s="11">
        <f>INDEX(Products!$D$2:$D$9,MATCH(D1241,Products!$A$2:$A$9,0))</f>
        <v>10500</v>
      </c>
      <c r="J1241" s="10">
        <f>IFERROR(INDEX(PlatformFees!$C$2:$C$5,MATCH(C1241,PlatformFees!$A$2:$A$5,0)),0)</f>
        <v>0.16</v>
      </c>
      <c r="K1241" s="11">
        <f t="shared" si="76"/>
        <v>21000</v>
      </c>
      <c r="L1241" s="11">
        <f t="shared" si="77"/>
        <v>13728</v>
      </c>
      <c r="M1241" s="11">
        <f t="shared" si="78"/>
        <v>51072</v>
      </c>
      <c r="N1241" s="10">
        <f t="shared" si="79"/>
        <v>0.59524475524475529</v>
      </c>
    </row>
    <row r="1242" spans="1:14" x14ac:dyDescent="0.3">
      <c r="A1242" s="9" t="s">
        <v>1362</v>
      </c>
      <c r="B1242" s="9" t="s">
        <v>1353</v>
      </c>
      <c r="C1242" s="9" t="s">
        <v>36</v>
      </c>
      <c r="D1242" s="9" t="s">
        <v>30</v>
      </c>
      <c r="E1242" s="9">
        <v>2</v>
      </c>
      <c r="F1242" s="11">
        <v>73800</v>
      </c>
      <c r="G1242" s="9" t="str">
        <f>INDEX(Products!$B$2:$B$9,MATCH(D1242,Products!$A$2:$A$9,0))</f>
        <v>Trà mâm xôi vitamin</v>
      </c>
      <c r="H1242" s="9" t="str">
        <f>INDEX(Products!$C$2:$C$9,MATCH(D1242,Products!$A$2:$A$9,0))</f>
        <v>Bổ sung dưỡng chất</v>
      </c>
      <c r="I1242" s="11">
        <f>INDEX(Products!$D$2:$D$9,MATCH(D1242,Products!$A$2:$A$9,0))</f>
        <v>9800</v>
      </c>
      <c r="J1242" s="10">
        <f>IFERROR(INDEX(PlatformFees!$C$2:$C$5,MATCH(C1242,PlatformFees!$A$2:$A$5,0)),0)</f>
        <v>0.13</v>
      </c>
      <c r="K1242" s="11">
        <f t="shared" si="76"/>
        <v>19600</v>
      </c>
      <c r="L1242" s="11">
        <f t="shared" si="77"/>
        <v>9594</v>
      </c>
      <c r="M1242" s="11">
        <f t="shared" si="78"/>
        <v>44606</v>
      </c>
      <c r="N1242" s="10">
        <f t="shared" si="79"/>
        <v>0.60441734417344173</v>
      </c>
    </row>
    <row r="1243" spans="1:14" x14ac:dyDescent="0.3">
      <c r="A1243" s="9" t="s">
        <v>1363</v>
      </c>
      <c r="B1243" s="9" t="s">
        <v>1353</v>
      </c>
      <c r="C1243" s="9" t="s">
        <v>36</v>
      </c>
      <c r="D1243" s="9" t="s">
        <v>12</v>
      </c>
      <c r="E1243" s="9">
        <v>1</v>
      </c>
      <c r="F1243" s="11">
        <v>34500</v>
      </c>
      <c r="G1243" s="9" t="str">
        <f>INDEX(Products!$B$2:$B$9,MATCH(D1243,Products!$A$2:$A$9,0))</f>
        <v>Trà atiso thanh lọc</v>
      </c>
      <c r="H1243" s="9" t="str">
        <f>INDEX(Products!$C$2:$C$9,MATCH(D1243,Products!$A$2:$A$9,0))</f>
        <v>Thanh lọc</v>
      </c>
      <c r="I1243" s="11">
        <f>INDEX(Products!$D$2:$D$9,MATCH(D1243,Products!$A$2:$A$9,0))</f>
        <v>9000</v>
      </c>
      <c r="J1243" s="10">
        <f>IFERROR(INDEX(PlatformFees!$C$2:$C$5,MATCH(C1243,PlatformFees!$A$2:$A$5,0)),0)</f>
        <v>0.13</v>
      </c>
      <c r="K1243" s="11">
        <f t="shared" si="76"/>
        <v>9000</v>
      </c>
      <c r="L1243" s="11">
        <f t="shared" si="77"/>
        <v>4485</v>
      </c>
      <c r="M1243" s="11">
        <f t="shared" si="78"/>
        <v>21015</v>
      </c>
      <c r="N1243" s="10">
        <f t="shared" si="79"/>
        <v>0.60913043478260864</v>
      </c>
    </row>
    <row r="1244" spans="1:14" x14ac:dyDescent="0.3">
      <c r="A1244" s="9" t="s">
        <v>1364</v>
      </c>
      <c r="B1244" s="9" t="s">
        <v>1353</v>
      </c>
      <c r="C1244" s="9" t="s">
        <v>38</v>
      </c>
      <c r="D1244" s="9" t="s">
        <v>30</v>
      </c>
      <c r="E1244" s="9">
        <v>1</v>
      </c>
      <c r="F1244" s="11">
        <v>33100</v>
      </c>
      <c r="G1244" s="9" t="str">
        <f>INDEX(Products!$B$2:$B$9,MATCH(D1244,Products!$A$2:$A$9,0))</f>
        <v>Trà mâm xôi vitamin</v>
      </c>
      <c r="H1244" s="9" t="str">
        <f>INDEX(Products!$C$2:$C$9,MATCH(D1244,Products!$A$2:$A$9,0))</f>
        <v>Bổ sung dưỡng chất</v>
      </c>
      <c r="I1244" s="11">
        <f>INDEX(Products!$D$2:$D$9,MATCH(D1244,Products!$A$2:$A$9,0))</f>
        <v>9800</v>
      </c>
      <c r="J1244" s="10">
        <f>IFERROR(INDEX(PlatformFees!$C$2:$C$5,MATCH(C1244,PlatformFees!$A$2:$A$5,0)),0)</f>
        <v>0.16</v>
      </c>
      <c r="K1244" s="11">
        <f t="shared" si="76"/>
        <v>9800</v>
      </c>
      <c r="L1244" s="11">
        <f t="shared" si="77"/>
        <v>5296</v>
      </c>
      <c r="M1244" s="11">
        <f t="shared" si="78"/>
        <v>18004</v>
      </c>
      <c r="N1244" s="10">
        <f t="shared" si="79"/>
        <v>0.5439274924471299</v>
      </c>
    </row>
    <row r="1245" spans="1:14" x14ac:dyDescent="0.3">
      <c r="A1245" s="9" t="s">
        <v>1365</v>
      </c>
      <c r="B1245" s="9" t="s">
        <v>1353</v>
      </c>
      <c r="C1245" s="9" t="s">
        <v>40</v>
      </c>
      <c r="D1245" s="9" t="s">
        <v>15</v>
      </c>
      <c r="E1245" s="9">
        <v>1</v>
      </c>
      <c r="F1245" s="11">
        <v>29500</v>
      </c>
      <c r="G1245" s="9" t="str">
        <f>INDEX(Products!$B$2:$B$9,MATCH(D1245,Products!$A$2:$A$9,0))</f>
        <v>Trà lá nam sen ổi</v>
      </c>
      <c r="H1245" s="9" t="str">
        <f>INDEX(Products!$C$2:$C$9,MATCH(D1245,Products!$A$2:$A$9,0))</f>
        <v>Thanh lọc</v>
      </c>
      <c r="I1245" s="11">
        <f>INDEX(Products!$D$2:$D$9,MATCH(D1245,Products!$A$2:$A$9,0))</f>
        <v>8500</v>
      </c>
      <c r="J1245" s="10">
        <f>IFERROR(INDEX(PlatformFees!$C$2:$C$5,MATCH(C1245,PlatformFees!$A$2:$A$5,0)),0)</f>
        <v>0</v>
      </c>
      <c r="K1245" s="11">
        <f t="shared" si="76"/>
        <v>8500</v>
      </c>
      <c r="L1245" s="11">
        <f t="shared" si="77"/>
        <v>0</v>
      </c>
      <c r="M1245" s="11">
        <f t="shared" si="78"/>
        <v>21000</v>
      </c>
      <c r="N1245" s="10">
        <f t="shared" si="79"/>
        <v>0.71186440677966101</v>
      </c>
    </row>
    <row r="1246" spans="1:14" x14ac:dyDescent="0.3">
      <c r="A1246" s="9" t="s">
        <v>1366</v>
      </c>
      <c r="B1246" s="9" t="s">
        <v>1353</v>
      </c>
      <c r="C1246" s="9" t="s">
        <v>39</v>
      </c>
      <c r="D1246" s="9" t="s">
        <v>25</v>
      </c>
      <c r="E1246" s="9">
        <v>1</v>
      </c>
      <c r="F1246" s="11">
        <v>34700</v>
      </c>
      <c r="G1246" s="9" t="str">
        <f>INDEX(Products!$B$2:$B$9,MATCH(D1246,Products!$A$2:$A$9,0))</f>
        <v>Trà hoa đậu biếc</v>
      </c>
      <c r="H1246" s="9" t="str">
        <f>INDEX(Products!$C$2:$C$9,MATCH(D1246,Products!$A$2:$A$9,0))</f>
        <v>An thần</v>
      </c>
      <c r="I1246" s="11">
        <f>INDEX(Products!$D$2:$D$9,MATCH(D1246,Products!$A$2:$A$9,0))</f>
        <v>8800</v>
      </c>
      <c r="J1246" s="10">
        <f>IFERROR(INDEX(PlatformFees!$C$2:$C$5,MATCH(C1246,PlatformFees!$A$2:$A$5,0)),0)</f>
        <v>0</v>
      </c>
      <c r="K1246" s="11">
        <f t="shared" si="76"/>
        <v>8800</v>
      </c>
      <c r="L1246" s="11">
        <f t="shared" si="77"/>
        <v>0</v>
      </c>
      <c r="M1246" s="11">
        <f t="shared" si="78"/>
        <v>25900</v>
      </c>
      <c r="N1246" s="10">
        <f t="shared" si="79"/>
        <v>0.74639769452449567</v>
      </c>
    </row>
    <row r="1247" spans="1:14" x14ac:dyDescent="0.3">
      <c r="A1247" s="9" t="s">
        <v>1367</v>
      </c>
      <c r="B1247" s="9" t="s">
        <v>1353</v>
      </c>
      <c r="C1247" s="9" t="s">
        <v>38</v>
      </c>
      <c r="D1247" s="9" t="s">
        <v>20</v>
      </c>
      <c r="E1247" s="9">
        <v>2</v>
      </c>
      <c r="F1247" s="11">
        <v>103100</v>
      </c>
      <c r="G1247" s="9" t="str">
        <f>INDEX(Products!$B$2:$B$9,MATCH(D1247,Products!$A$2:$A$9,0))</f>
        <v>Trà cà leo gai giảm cân</v>
      </c>
      <c r="H1247" s="9" t="str">
        <f>INDEX(Products!$C$2:$C$9,MATCH(D1247,Products!$A$2:$A$9,0))</f>
        <v>Detox</v>
      </c>
      <c r="I1247" s="11">
        <f>INDEX(Products!$D$2:$D$9,MATCH(D1247,Products!$A$2:$A$9,0))</f>
        <v>15000</v>
      </c>
      <c r="J1247" s="10">
        <f>IFERROR(INDEX(PlatformFees!$C$2:$C$5,MATCH(C1247,PlatformFees!$A$2:$A$5,0)),0)</f>
        <v>0.16</v>
      </c>
      <c r="K1247" s="11">
        <f t="shared" si="76"/>
        <v>30000</v>
      </c>
      <c r="L1247" s="11">
        <f t="shared" si="77"/>
        <v>16496</v>
      </c>
      <c r="M1247" s="11">
        <f t="shared" si="78"/>
        <v>56604</v>
      </c>
      <c r="N1247" s="10">
        <f t="shared" si="79"/>
        <v>0.54902036857419978</v>
      </c>
    </row>
    <row r="1248" spans="1:14" x14ac:dyDescent="0.3">
      <c r="A1248" s="9" t="s">
        <v>1368</v>
      </c>
      <c r="B1248" s="9" t="s">
        <v>1353</v>
      </c>
      <c r="C1248" s="9" t="s">
        <v>36</v>
      </c>
      <c r="D1248" s="9" t="s">
        <v>17</v>
      </c>
      <c r="E1248" s="9">
        <v>1</v>
      </c>
      <c r="F1248" s="11">
        <v>39900</v>
      </c>
      <c r="G1248" s="9" t="str">
        <f>INDEX(Products!$B$2:$B$9,MATCH(D1248,Products!$A$2:$A$9,0))</f>
        <v>Trà diếp cá rau má</v>
      </c>
      <c r="H1248" s="9" t="str">
        <f>INDEX(Products!$C$2:$C$9,MATCH(D1248,Products!$A$2:$A$9,0))</f>
        <v>Detox</v>
      </c>
      <c r="I1248" s="11">
        <f>INDEX(Products!$D$2:$D$9,MATCH(D1248,Products!$A$2:$A$9,0))</f>
        <v>10500</v>
      </c>
      <c r="J1248" s="10">
        <f>IFERROR(INDEX(PlatformFees!$C$2:$C$5,MATCH(C1248,PlatformFees!$A$2:$A$5,0)),0)</f>
        <v>0.13</v>
      </c>
      <c r="K1248" s="11">
        <f t="shared" si="76"/>
        <v>10500</v>
      </c>
      <c r="L1248" s="11">
        <f t="shared" si="77"/>
        <v>5187</v>
      </c>
      <c r="M1248" s="11">
        <f t="shared" si="78"/>
        <v>24213</v>
      </c>
      <c r="N1248" s="10">
        <f t="shared" si="79"/>
        <v>0.60684210526315785</v>
      </c>
    </row>
    <row r="1249" spans="1:14" x14ac:dyDescent="0.3">
      <c r="A1249" s="9" t="s">
        <v>1369</v>
      </c>
      <c r="B1249" s="9" t="s">
        <v>1353</v>
      </c>
      <c r="C1249" s="9" t="s">
        <v>39</v>
      </c>
      <c r="D1249" s="9" t="s">
        <v>15</v>
      </c>
      <c r="E1249" s="9">
        <v>1</v>
      </c>
      <c r="F1249" s="11">
        <v>32300</v>
      </c>
      <c r="G1249" s="9" t="str">
        <f>INDEX(Products!$B$2:$B$9,MATCH(D1249,Products!$A$2:$A$9,0))</f>
        <v>Trà lá nam sen ổi</v>
      </c>
      <c r="H1249" s="9" t="str">
        <f>INDEX(Products!$C$2:$C$9,MATCH(D1249,Products!$A$2:$A$9,0))</f>
        <v>Thanh lọc</v>
      </c>
      <c r="I1249" s="11">
        <f>INDEX(Products!$D$2:$D$9,MATCH(D1249,Products!$A$2:$A$9,0))</f>
        <v>8500</v>
      </c>
      <c r="J1249" s="10">
        <f>IFERROR(INDEX(PlatformFees!$C$2:$C$5,MATCH(C1249,PlatformFees!$A$2:$A$5,0)),0)</f>
        <v>0</v>
      </c>
      <c r="K1249" s="11">
        <f t="shared" si="76"/>
        <v>8500</v>
      </c>
      <c r="L1249" s="11">
        <f t="shared" si="77"/>
        <v>0</v>
      </c>
      <c r="M1249" s="11">
        <f t="shared" si="78"/>
        <v>23800</v>
      </c>
      <c r="N1249" s="10">
        <f t="shared" si="79"/>
        <v>0.73684210526315785</v>
      </c>
    </row>
    <row r="1250" spans="1:14" x14ac:dyDescent="0.3">
      <c r="A1250" s="9" t="s">
        <v>1370</v>
      </c>
      <c r="B1250" s="9" t="s">
        <v>1353</v>
      </c>
      <c r="C1250" s="9" t="s">
        <v>36</v>
      </c>
      <c r="D1250" s="9" t="s">
        <v>17</v>
      </c>
      <c r="E1250" s="9">
        <v>1</v>
      </c>
      <c r="F1250" s="11">
        <v>42000</v>
      </c>
      <c r="G1250" s="9" t="str">
        <f>INDEX(Products!$B$2:$B$9,MATCH(D1250,Products!$A$2:$A$9,0))</f>
        <v>Trà diếp cá rau má</v>
      </c>
      <c r="H1250" s="9" t="str">
        <f>INDEX(Products!$C$2:$C$9,MATCH(D1250,Products!$A$2:$A$9,0))</f>
        <v>Detox</v>
      </c>
      <c r="I1250" s="11">
        <f>INDEX(Products!$D$2:$D$9,MATCH(D1250,Products!$A$2:$A$9,0))</f>
        <v>10500</v>
      </c>
      <c r="J1250" s="10">
        <f>IFERROR(INDEX(PlatformFees!$C$2:$C$5,MATCH(C1250,PlatformFees!$A$2:$A$5,0)),0)</f>
        <v>0.13</v>
      </c>
      <c r="K1250" s="11">
        <f t="shared" si="76"/>
        <v>10500</v>
      </c>
      <c r="L1250" s="11">
        <f t="shared" si="77"/>
        <v>5460</v>
      </c>
      <c r="M1250" s="11">
        <f t="shared" si="78"/>
        <v>26040</v>
      </c>
      <c r="N1250" s="10">
        <f t="shared" si="79"/>
        <v>0.62</v>
      </c>
    </row>
    <row r="1251" spans="1:14" x14ac:dyDescent="0.3">
      <c r="A1251" s="9" t="s">
        <v>1371</v>
      </c>
      <c r="B1251" s="9" t="s">
        <v>1372</v>
      </c>
      <c r="C1251" s="9" t="s">
        <v>36</v>
      </c>
      <c r="D1251" s="9" t="s">
        <v>20</v>
      </c>
      <c r="E1251" s="9">
        <v>2</v>
      </c>
      <c r="F1251" s="11">
        <v>111200</v>
      </c>
      <c r="G1251" s="9" t="str">
        <f>INDEX(Products!$B$2:$B$9,MATCH(D1251,Products!$A$2:$A$9,0))</f>
        <v>Trà cà leo gai giảm cân</v>
      </c>
      <c r="H1251" s="9" t="str">
        <f>INDEX(Products!$C$2:$C$9,MATCH(D1251,Products!$A$2:$A$9,0))</f>
        <v>Detox</v>
      </c>
      <c r="I1251" s="11">
        <f>INDEX(Products!$D$2:$D$9,MATCH(D1251,Products!$A$2:$A$9,0))</f>
        <v>15000</v>
      </c>
      <c r="J1251" s="10">
        <f>IFERROR(INDEX(PlatformFees!$C$2:$C$5,MATCH(C1251,PlatformFees!$A$2:$A$5,0)),0)</f>
        <v>0.13</v>
      </c>
      <c r="K1251" s="11">
        <f t="shared" si="76"/>
        <v>30000</v>
      </c>
      <c r="L1251" s="11">
        <f t="shared" si="77"/>
        <v>14456</v>
      </c>
      <c r="M1251" s="11">
        <f t="shared" si="78"/>
        <v>66744</v>
      </c>
      <c r="N1251" s="10">
        <f t="shared" si="79"/>
        <v>0.6002158273381295</v>
      </c>
    </row>
    <row r="1252" spans="1:14" x14ac:dyDescent="0.3">
      <c r="A1252" s="9" t="s">
        <v>1373</v>
      </c>
      <c r="B1252" s="9" t="s">
        <v>1372</v>
      </c>
      <c r="C1252" s="9" t="s">
        <v>38</v>
      </c>
      <c r="D1252" s="9" t="s">
        <v>20</v>
      </c>
      <c r="E1252" s="9">
        <v>1</v>
      </c>
      <c r="F1252" s="11">
        <v>54200</v>
      </c>
      <c r="G1252" s="9" t="str">
        <f>INDEX(Products!$B$2:$B$9,MATCH(D1252,Products!$A$2:$A$9,0))</f>
        <v>Trà cà leo gai giảm cân</v>
      </c>
      <c r="H1252" s="9" t="str">
        <f>INDEX(Products!$C$2:$C$9,MATCH(D1252,Products!$A$2:$A$9,0))</f>
        <v>Detox</v>
      </c>
      <c r="I1252" s="11">
        <f>INDEX(Products!$D$2:$D$9,MATCH(D1252,Products!$A$2:$A$9,0))</f>
        <v>15000</v>
      </c>
      <c r="J1252" s="10">
        <f>IFERROR(INDEX(PlatformFees!$C$2:$C$5,MATCH(C1252,PlatformFees!$A$2:$A$5,0)),0)</f>
        <v>0.16</v>
      </c>
      <c r="K1252" s="11">
        <f t="shared" si="76"/>
        <v>15000</v>
      </c>
      <c r="L1252" s="11">
        <f t="shared" si="77"/>
        <v>8672</v>
      </c>
      <c r="M1252" s="11">
        <f t="shared" si="78"/>
        <v>30528</v>
      </c>
      <c r="N1252" s="10">
        <f t="shared" si="79"/>
        <v>0.56324723247232478</v>
      </c>
    </row>
    <row r="1253" spans="1:14" x14ac:dyDescent="0.3">
      <c r="A1253" s="9" t="s">
        <v>1374</v>
      </c>
      <c r="B1253" s="9" t="s">
        <v>1372</v>
      </c>
      <c r="C1253" s="9" t="s">
        <v>36</v>
      </c>
      <c r="D1253" s="9" t="s">
        <v>25</v>
      </c>
      <c r="E1253" s="9">
        <v>2</v>
      </c>
      <c r="F1253" s="11">
        <v>65400</v>
      </c>
      <c r="G1253" s="9" t="str">
        <f>INDEX(Products!$B$2:$B$9,MATCH(D1253,Products!$A$2:$A$9,0))</f>
        <v>Trà hoa đậu biếc</v>
      </c>
      <c r="H1253" s="9" t="str">
        <f>INDEX(Products!$C$2:$C$9,MATCH(D1253,Products!$A$2:$A$9,0))</f>
        <v>An thần</v>
      </c>
      <c r="I1253" s="11">
        <f>INDEX(Products!$D$2:$D$9,MATCH(D1253,Products!$A$2:$A$9,0))</f>
        <v>8800</v>
      </c>
      <c r="J1253" s="10">
        <f>IFERROR(INDEX(PlatformFees!$C$2:$C$5,MATCH(C1253,PlatformFees!$A$2:$A$5,0)),0)</f>
        <v>0.13</v>
      </c>
      <c r="K1253" s="11">
        <f t="shared" si="76"/>
        <v>17600</v>
      </c>
      <c r="L1253" s="11">
        <f t="shared" si="77"/>
        <v>8502</v>
      </c>
      <c r="M1253" s="11">
        <f t="shared" si="78"/>
        <v>39298</v>
      </c>
      <c r="N1253" s="10">
        <f t="shared" si="79"/>
        <v>0.60088685015290522</v>
      </c>
    </row>
    <row r="1254" spans="1:14" x14ac:dyDescent="0.3">
      <c r="A1254" s="9" t="s">
        <v>1375</v>
      </c>
      <c r="B1254" s="9" t="s">
        <v>1372</v>
      </c>
      <c r="C1254" s="9" t="s">
        <v>39</v>
      </c>
      <c r="D1254" s="9" t="s">
        <v>30</v>
      </c>
      <c r="E1254" s="9">
        <v>1</v>
      </c>
      <c r="F1254" s="11">
        <v>34500</v>
      </c>
      <c r="G1254" s="9" t="str">
        <f>INDEX(Products!$B$2:$B$9,MATCH(D1254,Products!$A$2:$A$9,0))</f>
        <v>Trà mâm xôi vitamin</v>
      </c>
      <c r="H1254" s="9" t="str">
        <f>INDEX(Products!$C$2:$C$9,MATCH(D1254,Products!$A$2:$A$9,0))</f>
        <v>Bổ sung dưỡng chất</v>
      </c>
      <c r="I1254" s="11">
        <f>INDEX(Products!$D$2:$D$9,MATCH(D1254,Products!$A$2:$A$9,0))</f>
        <v>9800</v>
      </c>
      <c r="J1254" s="10">
        <f>IFERROR(INDEX(PlatformFees!$C$2:$C$5,MATCH(C1254,PlatformFees!$A$2:$A$5,0)),0)</f>
        <v>0</v>
      </c>
      <c r="K1254" s="11">
        <f t="shared" si="76"/>
        <v>9800</v>
      </c>
      <c r="L1254" s="11">
        <f t="shared" si="77"/>
        <v>0</v>
      </c>
      <c r="M1254" s="11">
        <f t="shared" si="78"/>
        <v>24700</v>
      </c>
      <c r="N1254" s="10">
        <f t="shared" si="79"/>
        <v>0.71594202898550729</v>
      </c>
    </row>
    <row r="1255" spans="1:14" x14ac:dyDescent="0.3">
      <c r="A1255" s="9" t="s">
        <v>1376</v>
      </c>
      <c r="B1255" s="9" t="s">
        <v>1372</v>
      </c>
      <c r="C1255" s="9" t="s">
        <v>39</v>
      </c>
      <c r="D1255" s="9" t="s">
        <v>20</v>
      </c>
      <c r="E1255" s="9">
        <v>1</v>
      </c>
      <c r="F1255" s="11">
        <v>55900</v>
      </c>
      <c r="G1255" s="9" t="str">
        <f>INDEX(Products!$B$2:$B$9,MATCH(D1255,Products!$A$2:$A$9,0))</f>
        <v>Trà cà leo gai giảm cân</v>
      </c>
      <c r="H1255" s="9" t="str">
        <f>INDEX(Products!$C$2:$C$9,MATCH(D1255,Products!$A$2:$A$9,0))</f>
        <v>Detox</v>
      </c>
      <c r="I1255" s="11">
        <f>INDEX(Products!$D$2:$D$9,MATCH(D1255,Products!$A$2:$A$9,0))</f>
        <v>15000</v>
      </c>
      <c r="J1255" s="10">
        <f>IFERROR(INDEX(PlatformFees!$C$2:$C$5,MATCH(C1255,PlatformFees!$A$2:$A$5,0)),0)</f>
        <v>0</v>
      </c>
      <c r="K1255" s="11">
        <f t="shared" si="76"/>
        <v>15000</v>
      </c>
      <c r="L1255" s="11">
        <f t="shared" si="77"/>
        <v>0</v>
      </c>
      <c r="M1255" s="11">
        <f t="shared" si="78"/>
        <v>40900</v>
      </c>
      <c r="N1255" s="10">
        <f t="shared" si="79"/>
        <v>0.73166368515205726</v>
      </c>
    </row>
    <row r="1256" spans="1:14" x14ac:dyDescent="0.3">
      <c r="A1256" s="9" t="s">
        <v>1377</v>
      </c>
      <c r="B1256" s="9" t="s">
        <v>1372</v>
      </c>
      <c r="C1256" s="9" t="s">
        <v>36</v>
      </c>
      <c r="D1256" s="9" t="s">
        <v>22</v>
      </c>
      <c r="E1256" s="9">
        <v>2</v>
      </c>
      <c r="F1256" s="11">
        <v>77700</v>
      </c>
      <c r="G1256" s="9" t="str">
        <f>INDEX(Products!$B$2:$B$9,MATCH(D1256,Products!$A$2:$A$9,0))</f>
        <v>Trà hoa cúc an thần</v>
      </c>
      <c r="H1256" s="9" t="str">
        <f>INDEX(Products!$C$2:$C$9,MATCH(D1256,Products!$A$2:$A$9,0))</f>
        <v>An thần</v>
      </c>
      <c r="I1256" s="11">
        <f>INDEX(Products!$D$2:$D$9,MATCH(D1256,Products!$A$2:$A$9,0))</f>
        <v>9500</v>
      </c>
      <c r="J1256" s="10">
        <f>IFERROR(INDEX(PlatformFees!$C$2:$C$5,MATCH(C1256,PlatformFees!$A$2:$A$5,0)),0)</f>
        <v>0.13</v>
      </c>
      <c r="K1256" s="11">
        <f t="shared" si="76"/>
        <v>19000</v>
      </c>
      <c r="L1256" s="11">
        <f t="shared" si="77"/>
        <v>10101</v>
      </c>
      <c r="M1256" s="11">
        <f t="shared" si="78"/>
        <v>48599</v>
      </c>
      <c r="N1256" s="10">
        <f t="shared" si="79"/>
        <v>0.62546975546975547</v>
      </c>
    </row>
    <row r="1257" spans="1:14" x14ac:dyDescent="0.3">
      <c r="A1257" s="9" t="s">
        <v>1378</v>
      </c>
      <c r="B1257" s="9" t="s">
        <v>1372</v>
      </c>
      <c r="C1257" s="9" t="s">
        <v>38</v>
      </c>
      <c r="D1257" s="9" t="s">
        <v>22</v>
      </c>
      <c r="E1257" s="9">
        <v>1</v>
      </c>
      <c r="F1257" s="11">
        <v>36200</v>
      </c>
      <c r="G1257" s="9" t="str">
        <f>INDEX(Products!$B$2:$B$9,MATCH(D1257,Products!$A$2:$A$9,0))</f>
        <v>Trà hoa cúc an thần</v>
      </c>
      <c r="H1257" s="9" t="str">
        <f>INDEX(Products!$C$2:$C$9,MATCH(D1257,Products!$A$2:$A$9,0))</f>
        <v>An thần</v>
      </c>
      <c r="I1257" s="11">
        <f>INDEX(Products!$D$2:$D$9,MATCH(D1257,Products!$A$2:$A$9,0))</f>
        <v>9500</v>
      </c>
      <c r="J1257" s="10">
        <f>IFERROR(INDEX(PlatformFees!$C$2:$C$5,MATCH(C1257,PlatformFees!$A$2:$A$5,0)),0)</f>
        <v>0.16</v>
      </c>
      <c r="K1257" s="11">
        <f t="shared" si="76"/>
        <v>9500</v>
      </c>
      <c r="L1257" s="11">
        <f t="shared" si="77"/>
        <v>5792</v>
      </c>
      <c r="M1257" s="11">
        <f t="shared" si="78"/>
        <v>20908</v>
      </c>
      <c r="N1257" s="10">
        <f t="shared" si="79"/>
        <v>0.57756906077348069</v>
      </c>
    </row>
    <row r="1258" spans="1:14" x14ac:dyDescent="0.3">
      <c r="A1258" s="9" t="s">
        <v>1379</v>
      </c>
      <c r="B1258" s="9" t="s">
        <v>1372</v>
      </c>
      <c r="C1258" s="9" t="s">
        <v>36</v>
      </c>
      <c r="D1258" s="9" t="s">
        <v>20</v>
      </c>
      <c r="E1258" s="9">
        <v>1</v>
      </c>
      <c r="F1258" s="11">
        <v>52600</v>
      </c>
      <c r="G1258" s="9" t="str">
        <f>INDEX(Products!$B$2:$B$9,MATCH(D1258,Products!$A$2:$A$9,0))</f>
        <v>Trà cà leo gai giảm cân</v>
      </c>
      <c r="H1258" s="9" t="str">
        <f>INDEX(Products!$C$2:$C$9,MATCH(D1258,Products!$A$2:$A$9,0))</f>
        <v>Detox</v>
      </c>
      <c r="I1258" s="11">
        <f>INDEX(Products!$D$2:$D$9,MATCH(D1258,Products!$A$2:$A$9,0))</f>
        <v>15000</v>
      </c>
      <c r="J1258" s="10">
        <f>IFERROR(INDEX(PlatformFees!$C$2:$C$5,MATCH(C1258,PlatformFees!$A$2:$A$5,0)),0)</f>
        <v>0.13</v>
      </c>
      <c r="K1258" s="11">
        <f t="shared" si="76"/>
        <v>15000</v>
      </c>
      <c r="L1258" s="11">
        <f t="shared" si="77"/>
        <v>6838</v>
      </c>
      <c r="M1258" s="11">
        <f t="shared" si="78"/>
        <v>30762</v>
      </c>
      <c r="N1258" s="10">
        <f t="shared" si="79"/>
        <v>0.58482889733840304</v>
      </c>
    </row>
    <row r="1259" spans="1:14" x14ac:dyDescent="0.3">
      <c r="A1259" s="9" t="s">
        <v>1380</v>
      </c>
      <c r="B1259" s="9" t="s">
        <v>1372</v>
      </c>
      <c r="C1259" s="9" t="s">
        <v>38</v>
      </c>
      <c r="D1259" s="9" t="s">
        <v>15</v>
      </c>
      <c r="E1259" s="9">
        <v>3</v>
      </c>
      <c r="F1259" s="11">
        <v>96000</v>
      </c>
      <c r="G1259" s="9" t="str">
        <f>INDEX(Products!$B$2:$B$9,MATCH(D1259,Products!$A$2:$A$9,0))</f>
        <v>Trà lá nam sen ổi</v>
      </c>
      <c r="H1259" s="9" t="str">
        <f>INDEX(Products!$C$2:$C$9,MATCH(D1259,Products!$A$2:$A$9,0))</f>
        <v>Thanh lọc</v>
      </c>
      <c r="I1259" s="11">
        <f>INDEX(Products!$D$2:$D$9,MATCH(D1259,Products!$A$2:$A$9,0))</f>
        <v>8500</v>
      </c>
      <c r="J1259" s="10">
        <f>IFERROR(INDEX(PlatformFees!$C$2:$C$5,MATCH(C1259,PlatformFees!$A$2:$A$5,0)),0)</f>
        <v>0.16</v>
      </c>
      <c r="K1259" s="11">
        <f t="shared" si="76"/>
        <v>25500</v>
      </c>
      <c r="L1259" s="11">
        <f t="shared" si="77"/>
        <v>15360</v>
      </c>
      <c r="M1259" s="11">
        <f t="shared" si="78"/>
        <v>55140</v>
      </c>
      <c r="N1259" s="10">
        <f t="shared" si="79"/>
        <v>0.57437499999999997</v>
      </c>
    </row>
    <row r="1260" spans="1:14" x14ac:dyDescent="0.3">
      <c r="A1260" s="9" t="s">
        <v>1381</v>
      </c>
      <c r="B1260" s="9" t="s">
        <v>1372</v>
      </c>
      <c r="C1260" s="9" t="s">
        <v>36</v>
      </c>
      <c r="D1260" s="9" t="s">
        <v>20</v>
      </c>
      <c r="E1260" s="9">
        <v>2</v>
      </c>
      <c r="F1260" s="11">
        <v>108200</v>
      </c>
      <c r="G1260" s="9" t="str">
        <f>INDEX(Products!$B$2:$B$9,MATCH(D1260,Products!$A$2:$A$9,0))</f>
        <v>Trà cà leo gai giảm cân</v>
      </c>
      <c r="H1260" s="9" t="str">
        <f>INDEX(Products!$C$2:$C$9,MATCH(D1260,Products!$A$2:$A$9,0))</f>
        <v>Detox</v>
      </c>
      <c r="I1260" s="11">
        <f>INDEX(Products!$D$2:$D$9,MATCH(D1260,Products!$A$2:$A$9,0))</f>
        <v>15000</v>
      </c>
      <c r="J1260" s="10">
        <f>IFERROR(INDEX(PlatformFees!$C$2:$C$5,MATCH(C1260,PlatformFees!$A$2:$A$5,0)),0)</f>
        <v>0.13</v>
      </c>
      <c r="K1260" s="11">
        <f t="shared" si="76"/>
        <v>30000</v>
      </c>
      <c r="L1260" s="11">
        <f t="shared" si="77"/>
        <v>14066</v>
      </c>
      <c r="M1260" s="11">
        <f t="shared" si="78"/>
        <v>64134</v>
      </c>
      <c r="N1260" s="10">
        <f t="shared" si="79"/>
        <v>0.59273567467652499</v>
      </c>
    </row>
    <row r="1261" spans="1:14" x14ac:dyDescent="0.3">
      <c r="A1261" s="9" t="s">
        <v>1382</v>
      </c>
      <c r="B1261" s="9" t="s">
        <v>1372</v>
      </c>
      <c r="C1261" s="9" t="s">
        <v>36</v>
      </c>
      <c r="D1261" s="9" t="s">
        <v>20</v>
      </c>
      <c r="E1261" s="9">
        <v>2</v>
      </c>
      <c r="F1261" s="11">
        <v>103000</v>
      </c>
      <c r="G1261" s="9" t="str">
        <f>INDEX(Products!$B$2:$B$9,MATCH(D1261,Products!$A$2:$A$9,0))</f>
        <v>Trà cà leo gai giảm cân</v>
      </c>
      <c r="H1261" s="9" t="str">
        <f>INDEX(Products!$C$2:$C$9,MATCH(D1261,Products!$A$2:$A$9,0))</f>
        <v>Detox</v>
      </c>
      <c r="I1261" s="11">
        <f>INDEX(Products!$D$2:$D$9,MATCH(D1261,Products!$A$2:$A$9,0))</f>
        <v>15000</v>
      </c>
      <c r="J1261" s="10">
        <f>IFERROR(INDEX(PlatformFees!$C$2:$C$5,MATCH(C1261,PlatformFees!$A$2:$A$5,0)),0)</f>
        <v>0.13</v>
      </c>
      <c r="K1261" s="11">
        <f t="shared" si="76"/>
        <v>30000</v>
      </c>
      <c r="L1261" s="11">
        <f t="shared" si="77"/>
        <v>13390</v>
      </c>
      <c r="M1261" s="11">
        <f t="shared" si="78"/>
        <v>59610</v>
      </c>
      <c r="N1261" s="10">
        <f t="shared" si="79"/>
        <v>0.57873786407766992</v>
      </c>
    </row>
    <row r="1262" spans="1:14" x14ac:dyDescent="0.3">
      <c r="A1262" s="9" t="s">
        <v>1383</v>
      </c>
      <c r="B1262" s="9" t="s">
        <v>1372</v>
      </c>
      <c r="C1262" s="9" t="s">
        <v>36</v>
      </c>
      <c r="D1262" s="9" t="s">
        <v>20</v>
      </c>
      <c r="E1262" s="9">
        <v>3</v>
      </c>
      <c r="F1262" s="11">
        <v>152700</v>
      </c>
      <c r="G1262" s="9" t="str">
        <f>INDEX(Products!$B$2:$B$9,MATCH(D1262,Products!$A$2:$A$9,0))</f>
        <v>Trà cà leo gai giảm cân</v>
      </c>
      <c r="H1262" s="9" t="str">
        <f>INDEX(Products!$C$2:$C$9,MATCH(D1262,Products!$A$2:$A$9,0))</f>
        <v>Detox</v>
      </c>
      <c r="I1262" s="11">
        <f>INDEX(Products!$D$2:$D$9,MATCH(D1262,Products!$A$2:$A$9,0))</f>
        <v>15000</v>
      </c>
      <c r="J1262" s="10">
        <f>IFERROR(INDEX(PlatformFees!$C$2:$C$5,MATCH(C1262,PlatformFees!$A$2:$A$5,0)),0)</f>
        <v>0.13</v>
      </c>
      <c r="K1262" s="11">
        <f t="shared" si="76"/>
        <v>45000</v>
      </c>
      <c r="L1262" s="11">
        <f t="shared" si="77"/>
        <v>19851</v>
      </c>
      <c r="M1262" s="11">
        <f t="shared" si="78"/>
        <v>87849</v>
      </c>
      <c r="N1262" s="10">
        <f t="shared" si="79"/>
        <v>0.57530451866404719</v>
      </c>
    </row>
    <row r="1263" spans="1:14" x14ac:dyDescent="0.3">
      <c r="A1263" s="9" t="s">
        <v>1384</v>
      </c>
      <c r="B1263" s="9" t="s">
        <v>1372</v>
      </c>
      <c r="C1263" s="9" t="s">
        <v>36</v>
      </c>
      <c r="D1263" s="9" t="s">
        <v>12</v>
      </c>
      <c r="E1263" s="9">
        <v>2</v>
      </c>
      <c r="F1263" s="11">
        <v>67700</v>
      </c>
      <c r="G1263" s="9" t="str">
        <f>INDEX(Products!$B$2:$B$9,MATCH(D1263,Products!$A$2:$A$9,0))</f>
        <v>Trà atiso thanh lọc</v>
      </c>
      <c r="H1263" s="9" t="str">
        <f>INDEX(Products!$C$2:$C$9,MATCH(D1263,Products!$A$2:$A$9,0))</f>
        <v>Thanh lọc</v>
      </c>
      <c r="I1263" s="11">
        <f>INDEX(Products!$D$2:$D$9,MATCH(D1263,Products!$A$2:$A$9,0))</f>
        <v>9000</v>
      </c>
      <c r="J1263" s="10">
        <f>IFERROR(INDEX(PlatformFees!$C$2:$C$5,MATCH(C1263,PlatformFees!$A$2:$A$5,0)),0)</f>
        <v>0.13</v>
      </c>
      <c r="K1263" s="11">
        <f t="shared" si="76"/>
        <v>18000</v>
      </c>
      <c r="L1263" s="11">
        <f t="shared" si="77"/>
        <v>8801</v>
      </c>
      <c r="M1263" s="11">
        <f t="shared" si="78"/>
        <v>40899</v>
      </c>
      <c r="N1263" s="10">
        <f t="shared" si="79"/>
        <v>0.60412112259970463</v>
      </c>
    </row>
    <row r="1264" spans="1:14" x14ac:dyDescent="0.3">
      <c r="A1264" s="9" t="s">
        <v>1385</v>
      </c>
      <c r="B1264" s="9" t="s">
        <v>1372</v>
      </c>
      <c r="C1264" s="9" t="s">
        <v>38</v>
      </c>
      <c r="D1264" s="9" t="s">
        <v>25</v>
      </c>
      <c r="E1264" s="9">
        <v>2</v>
      </c>
      <c r="F1264" s="11">
        <v>66700</v>
      </c>
      <c r="G1264" s="9" t="str">
        <f>INDEX(Products!$B$2:$B$9,MATCH(D1264,Products!$A$2:$A$9,0))</f>
        <v>Trà hoa đậu biếc</v>
      </c>
      <c r="H1264" s="9" t="str">
        <f>INDEX(Products!$C$2:$C$9,MATCH(D1264,Products!$A$2:$A$9,0))</f>
        <v>An thần</v>
      </c>
      <c r="I1264" s="11">
        <f>INDEX(Products!$D$2:$D$9,MATCH(D1264,Products!$A$2:$A$9,0))</f>
        <v>8800</v>
      </c>
      <c r="J1264" s="10">
        <f>IFERROR(INDEX(PlatformFees!$C$2:$C$5,MATCH(C1264,PlatformFees!$A$2:$A$5,0)),0)</f>
        <v>0.16</v>
      </c>
      <c r="K1264" s="11">
        <f t="shared" si="76"/>
        <v>17600</v>
      </c>
      <c r="L1264" s="11">
        <f t="shared" si="77"/>
        <v>10672</v>
      </c>
      <c r="M1264" s="11">
        <f t="shared" si="78"/>
        <v>38428</v>
      </c>
      <c r="N1264" s="10">
        <f t="shared" si="79"/>
        <v>0.57613193403298346</v>
      </c>
    </row>
    <row r="1265" spans="1:14" x14ac:dyDescent="0.3">
      <c r="A1265" s="9" t="s">
        <v>1386</v>
      </c>
      <c r="B1265" s="9" t="s">
        <v>1372</v>
      </c>
      <c r="C1265" s="9" t="s">
        <v>38</v>
      </c>
      <c r="D1265" s="9" t="s">
        <v>22</v>
      </c>
      <c r="E1265" s="9">
        <v>1</v>
      </c>
      <c r="F1265" s="11">
        <v>37300</v>
      </c>
      <c r="G1265" s="9" t="str">
        <f>INDEX(Products!$B$2:$B$9,MATCH(D1265,Products!$A$2:$A$9,0))</f>
        <v>Trà hoa cúc an thần</v>
      </c>
      <c r="H1265" s="9" t="str">
        <f>INDEX(Products!$C$2:$C$9,MATCH(D1265,Products!$A$2:$A$9,0))</f>
        <v>An thần</v>
      </c>
      <c r="I1265" s="11">
        <f>INDEX(Products!$D$2:$D$9,MATCH(D1265,Products!$A$2:$A$9,0))</f>
        <v>9500</v>
      </c>
      <c r="J1265" s="10">
        <f>IFERROR(INDEX(PlatformFees!$C$2:$C$5,MATCH(C1265,PlatformFees!$A$2:$A$5,0)),0)</f>
        <v>0.16</v>
      </c>
      <c r="K1265" s="11">
        <f t="shared" si="76"/>
        <v>9500</v>
      </c>
      <c r="L1265" s="11">
        <f t="shared" si="77"/>
        <v>5968</v>
      </c>
      <c r="M1265" s="11">
        <f t="shared" si="78"/>
        <v>21832</v>
      </c>
      <c r="N1265" s="10">
        <f t="shared" si="79"/>
        <v>0.58530831099195713</v>
      </c>
    </row>
    <row r="1266" spans="1:14" x14ac:dyDescent="0.3">
      <c r="A1266" s="9" t="s">
        <v>1387</v>
      </c>
      <c r="B1266" s="9" t="s">
        <v>1372</v>
      </c>
      <c r="C1266" s="9" t="s">
        <v>40</v>
      </c>
      <c r="D1266" s="9" t="s">
        <v>22</v>
      </c>
      <c r="E1266" s="9">
        <v>1</v>
      </c>
      <c r="F1266" s="11">
        <v>35300</v>
      </c>
      <c r="G1266" s="9" t="str">
        <f>INDEX(Products!$B$2:$B$9,MATCH(D1266,Products!$A$2:$A$9,0))</f>
        <v>Trà hoa cúc an thần</v>
      </c>
      <c r="H1266" s="9" t="str">
        <f>INDEX(Products!$C$2:$C$9,MATCH(D1266,Products!$A$2:$A$9,0))</f>
        <v>An thần</v>
      </c>
      <c r="I1266" s="11">
        <f>INDEX(Products!$D$2:$D$9,MATCH(D1266,Products!$A$2:$A$9,0))</f>
        <v>9500</v>
      </c>
      <c r="J1266" s="10">
        <f>IFERROR(INDEX(PlatformFees!$C$2:$C$5,MATCH(C1266,PlatformFees!$A$2:$A$5,0)),0)</f>
        <v>0</v>
      </c>
      <c r="K1266" s="11">
        <f t="shared" si="76"/>
        <v>9500</v>
      </c>
      <c r="L1266" s="11">
        <f t="shared" si="77"/>
        <v>0</v>
      </c>
      <c r="M1266" s="11">
        <f t="shared" si="78"/>
        <v>25800</v>
      </c>
      <c r="N1266" s="10">
        <f t="shared" si="79"/>
        <v>0.73087818696883855</v>
      </c>
    </row>
    <row r="1267" spans="1:14" x14ac:dyDescent="0.3">
      <c r="A1267" s="9" t="s">
        <v>1388</v>
      </c>
      <c r="B1267" s="9" t="s">
        <v>1372</v>
      </c>
      <c r="C1267" s="9" t="s">
        <v>39</v>
      </c>
      <c r="D1267" s="9" t="s">
        <v>17</v>
      </c>
      <c r="E1267" s="9">
        <v>2</v>
      </c>
      <c r="F1267" s="11">
        <v>78100</v>
      </c>
      <c r="G1267" s="9" t="str">
        <f>INDEX(Products!$B$2:$B$9,MATCH(D1267,Products!$A$2:$A$9,0))</f>
        <v>Trà diếp cá rau má</v>
      </c>
      <c r="H1267" s="9" t="str">
        <f>INDEX(Products!$C$2:$C$9,MATCH(D1267,Products!$A$2:$A$9,0))</f>
        <v>Detox</v>
      </c>
      <c r="I1267" s="11">
        <f>INDEX(Products!$D$2:$D$9,MATCH(D1267,Products!$A$2:$A$9,0))</f>
        <v>10500</v>
      </c>
      <c r="J1267" s="10">
        <f>IFERROR(INDEX(PlatformFees!$C$2:$C$5,MATCH(C1267,PlatformFees!$A$2:$A$5,0)),0)</f>
        <v>0</v>
      </c>
      <c r="K1267" s="11">
        <f t="shared" si="76"/>
        <v>21000</v>
      </c>
      <c r="L1267" s="11">
        <f t="shared" si="77"/>
        <v>0</v>
      </c>
      <c r="M1267" s="11">
        <f t="shared" si="78"/>
        <v>57100</v>
      </c>
      <c r="N1267" s="10">
        <f t="shared" si="79"/>
        <v>0.73111395646606914</v>
      </c>
    </row>
    <row r="1268" spans="1:14" x14ac:dyDescent="0.3">
      <c r="A1268" s="9" t="s">
        <v>1389</v>
      </c>
      <c r="B1268" s="9" t="s">
        <v>1372</v>
      </c>
      <c r="C1268" s="9" t="s">
        <v>38</v>
      </c>
      <c r="D1268" s="9" t="s">
        <v>20</v>
      </c>
      <c r="E1268" s="9">
        <v>1</v>
      </c>
      <c r="F1268" s="11">
        <v>51800</v>
      </c>
      <c r="G1268" s="9" t="str">
        <f>INDEX(Products!$B$2:$B$9,MATCH(D1268,Products!$A$2:$A$9,0))</f>
        <v>Trà cà leo gai giảm cân</v>
      </c>
      <c r="H1268" s="9" t="str">
        <f>INDEX(Products!$C$2:$C$9,MATCH(D1268,Products!$A$2:$A$9,0))</f>
        <v>Detox</v>
      </c>
      <c r="I1268" s="11">
        <f>INDEX(Products!$D$2:$D$9,MATCH(D1268,Products!$A$2:$A$9,0))</f>
        <v>15000</v>
      </c>
      <c r="J1268" s="10">
        <f>IFERROR(INDEX(PlatformFees!$C$2:$C$5,MATCH(C1268,PlatformFees!$A$2:$A$5,0)),0)</f>
        <v>0.16</v>
      </c>
      <c r="K1268" s="11">
        <f t="shared" si="76"/>
        <v>15000</v>
      </c>
      <c r="L1268" s="11">
        <f t="shared" si="77"/>
        <v>8288</v>
      </c>
      <c r="M1268" s="11">
        <f t="shared" si="78"/>
        <v>28512</v>
      </c>
      <c r="N1268" s="10">
        <f t="shared" si="79"/>
        <v>0.55042471042471042</v>
      </c>
    </row>
    <row r="1269" spans="1:14" x14ac:dyDescent="0.3">
      <c r="A1269" s="9" t="s">
        <v>1390</v>
      </c>
      <c r="B1269" s="9" t="s">
        <v>1372</v>
      </c>
      <c r="C1269" s="9" t="s">
        <v>36</v>
      </c>
      <c r="D1269" s="9" t="s">
        <v>22</v>
      </c>
      <c r="E1269" s="9">
        <v>1</v>
      </c>
      <c r="F1269" s="11">
        <v>35700</v>
      </c>
      <c r="G1269" s="9" t="str">
        <f>INDEX(Products!$B$2:$B$9,MATCH(D1269,Products!$A$2:$A$9,0))</f>
        <v>Trà hoa cúc an thần</v>
      </c>
      <c r="H1269" s="9" t="str">
        <f>INDEX(Products!$C$2:$C$9,MATCH(D1269,Products!$A$2:$A$9,0))</f>
        <v>An thần</v>
      </c>
      <c r="I1269" s="11">
        <f>INDEX(Products!$D$2:$D$9,MATCH(D1269,Products!$A$2:$A$9,0))</f>
        <v>9500</v>
      </c>
      <c r="J1269" s="10">
        <f>IFERROR(INDEX(PlatformFees!$C$2:$C$5,MATCH(C1269,PlatformFees!$A$2:$A$5,0)),0)</f>
        <v>0.13</v>
      </c>
      <c r="K1269" s="11">
        <f t="shared" si="76"/>
        <v>9500</v>
      </c>
      <c r="L1269" s="11">
        <f t="shared" si="77"/>
        <v>4641</v>
      </c>
      <c r="M1269" s="11">
        <f t="shared" si="78"/>
        <v>21559</v>
      </c>
      <c r="N1269" s="10">
        <f t="shared" si="79"/>
        <v>0.60389355742296924</v>
      </c>
    </row>
    <row r="1270" spans="1:14" x14ac:dyDescent="0.3">
      <c r="A1270" s="9" t="s">
        <v>1391</v>
      </c>
      <c r="B1270" s="9" t="s">
        <v>1372</v>
      </c>
      <c r="C1270" s="9" t="s">
        <v>36</v>
      </c>
      <c r="D1270" s="9" t="s">
        <v>27</v>
      </c>
      <c r="E1270" s="9">
        <v>2</v>
      </c>
      <c r="F1270" s="11">
        <v>79100</v>
      </c>
      <c r="G1270" s="9" t="str">
        <f>INDEX(Products!$B$2:$B$9,MATCH(D1270,Products!$A$2:$A$9,0))</f>
        <v>Trà gừng mật ong</v>
      </c>
      <c r="H1270" s="9" t="str">
        <f>INDEX(Products!$C$2:$C$9,MATCH(D1270,Products!$A$2:$A$9,0))</f>
        <v>Giữ ấm</v>
      </c>
      <c r="I1270" s="11">
        <f>INDEX(Products!$D$2:$D$9,MATCH(D1270,Products!$A$2:$A$9,0))</f>
        <v>11000</v>
      </c>
      <c r="J1270" s="10">
        <f>IFERROR(INDEX(PlatformFees!$C$2:$C$5,MATCH(C1270,PlatformFees!$A$2:$A$5,0)),0)</f>
        <v>0.13</v>
      </c>
      <c r="K1270" s="11">
        <f t="shared" si="76"/>
        <v>22000</v>
      </c>
      <c r="L1270" s="11">
        <f t="shared" si="77"/>
        <v>10283</v>
      </c>
      <c r="M1270" s="11">
        <f t="shared" si="78"/>
        <v>46817</v>
      </c>
      <c r="N1270" s="10">
        <f t="shared" si="79"/>
        <v>0.5918710493046776</v>
      </c>
    </row>
    <row r="1271" spans="1:14" x14ac:dyDescent="0.3">
      <c r="A1271" s="9" t="s">
        <v>1392</v>
      </c>
      <c r="B1271" s="9" t="s">
        <v>1372</v>
      </c>
      <c r="C1271" s="9" t="s">
        <v>36</v>
      </c>
      <c r="D1271" s="9" t="s">
        <v>30</v>
      </c>
      <c r="E1271" s="9">
        <v>1</v>
      </c>
      <c r="F1271" s="11">
        <v>33900</v>
      </c>
      <c r="G1271" s="9" t="str">
        <f>INDEX(Products!$B$2:$B$9,MATCH(D1271,Products!$A$2:$A$9,0))</f>
        <v>Trà mâm xôi vitamin</v>
      </c>
      <c r="H1271" s="9" t="str">
        <f>INDEX(Products!$C$2:$C$9,MATCH(D1271,Products!$A$2:$A$9,0))</f>
        <v>Bổ sung dưỡng chất</v>
      </c>
      <c r="I1271" s="11">
        <f>INDEX(Products!$D$2:$D$9,MATCH(D1271,Products!$A$2:$A$9,0))</f>
        <v>9800</v>
      </c>
      <c r="J1271" s="10">
        <f>IFERROR(INDEX(PlatformFees!$C$2:$C$5,MATCH(C1271,PlatformFees!$A$2:$A$5,0)),0)</f>
        <v>0.13</v>
      </c>
      <c r="K1271" s="11">
        <f t="shared" si="76"/>
        <v>9800</v>
      </c>
      <c r="L1271" s="11">
        <f t="shared" si="77"/>
        <v>4407</v>
      </c>
      <c r="M1271" s="11">
        <f t="shared" si="78"/>
        <v>19693</v>
      </c>
      <c r="N1271" s="10">
        <f t="shared" si="79"/>
        <v>0.58091445427728616</v>
      </c>
    </row>
    <row r="1272" spans="1:14" x14ac:dyDescent="0.3">
      <c r="A1272" s="9" t="s">
        <v>1393</v>
      </c>
      <c r="B1272" s="9" t="s">
        <v>1394</v>
      </c>
      <c r="C1272" s="9" t="s">
        <v>36</v>
      </c>
      <c r="D1272" s="9" t="s">
        <v>25</v>
      </c>
      <c r="E1272" s="9">
        <v>1</v>
      </c>
      <c r="F1272" s="11">
        <v>31700</v>
      </c>
      <c r="G1272" s="9" t="str">
        <f>INDEX(Products!$B$2:$B$9,MATCH(D1272,Products!$A$2:$A$9,0))</f>
        <v>Trà hoa đậu biếc</v>
      </c>
      <c r="H1272" s="9" t="str">
        <f>INDEX(Products!$C$2:$C$9,MATCH(D1272,Products!$A$2:$A$9,0))</f>
        <v>An thần</v>
      </c>
      <c r="I1272" s="11">
        <f>INDEX(Products!$D$2:$D$9,MATCH(D1272,Products!$A$2:$A$9,0))</f>
        <v>8800</v>
      </c>
      <c r="J1272" s="10">
        <f>IFERROR(INDEX(PlatformFees!$C$2:$C$5,MATCH(C1272,PlatformFees!$A$2:$A$5,0)),0)</f>
        <v>0.13</v>
      </c>
      <c r="K1272" s="11">
        <f t="shared" si="76"/>
        <v>8800</v>
      </c>
      <c r="L1272" s="11">
        <f t="shared" si="77"/>
        <v>4121</v>
      </c>
      <c r="M1272" s="11">
        <f t="shared" si="78"/>
        <v>18779</v>
      </c>
      <c r="N1272" s="10">
        <f t="shared" si="79"/>
        <v>0.59239747634069395</v>
      </c>
    </row>
    <row r="1273" spans="1:14" x14ac:dyDescent="0.3">
      <c r="A1273" s="9" t="s">
        <v>1395</v>
      </c>
      <c r="B1273" s="9" t="s">
        <v>1394</v>
      </c>
      <c r="C1273" s="9" t="s">
        <v>36</v>
      </c>
      <c r="D1273" s="9" t="s">
        <v>30</v>
      </c>
      <c r="E1273" s="9">
        <v>1</v>
      </c>
      <c r="F1273" s="11">
        <v>36600</v>
      </c>
      <c r="G1273" s="9" t="str">
        <f>INDEX(Products!$B$2:$B$9,MATCH(D1273,Products!$A$2:$A$9,0))</f>
        <v>Trà mâm xôi vitamin</v>
      </c>
      <c r="H1273" s="9" t="str">
        <f>INDEX(Products!$C$2:$C$9,MATCH(D1273,Products!$A$2:$A$9,0))</f>
        <v>Bổ sung dưỡng chất</v>
      </c>
      <c r="I1273" s="11">
        <f>INDEX(Products!$D$2:$D$9,MATCH(D1273,Products!$A$2:$A$9,0))</f>
        <v>9800</v>
      </c>
      <c r="J1273" s="10">
        <f>IFERROR(INDEX(PlatformFees!$C$2:$C$5,MATCH(C1273,PlatformFees!$A$2:$A$5,0)),0)</f>
        <v>0.13</v>
      </c>
      <c r="K1273" s="11">
        <f t="shared" si="76"/>
        <v>9800</v>
      </c>
      <c r="L1273" s="11">
        <f t="shared" si="77"/>
        <v>4758</v>
      </c>
      <c r="M1273" s="11">
        <f t="shared" si="78"/>
        <v>22042</v>
      </c>
      <c r="N1273" s="10">
        <f t="shared" si="79"/>
        <v>0.60224043715846998</v>
      </c>
    </row>
    <row r="1274" spans="1:14" x14ac:dyDescent="0.3">
      <c r="A1274" s="9" t="s">
        <v>1396</v>
      </c>
      <c r="B1274" s="9" t="s">
        <v>1394</v>
      </c>
      <c r="C1274" s="9" t="s">
        <v>39</v>
      </c>
      <c r="D1274" s="9" t="s">
        <v>12</v>
      </c>
      <c r="E1274" s="9">
        <v>3</v>
      </c>
      <c r="F1274" s="11">
        <v>105900</v>
      </c>
      <c r="G1274" s="9" t="str">
        <f>INDEX(Products!$B$2:$B$9,MATCH(D1274,Products!$A$2:$A$9,0))</f>
        <v>Trà atiso thanh lọc</v>
      </c>
      <c r="H1274" s="9" t="str">
        <f>INDEX(Products!$C$2:$C$9,MATCH(D1274,Products!$A$2:$A$9,0))</f>
        <v>Thanh lọc</v>
      </c>
      <c r="I1274" s="11">
        <f>INDEX(Products!$D$2:$D$9,MATCH(D1274,Products!$A$2:$A$9,0))</f>
        <v>9000</v>
      </c>
      <c r="J1274" s="10">
        <f>IFERROR(INDEX(PlatformFees!$C$2:$C$5,MATCH(C1274,PlatformFees!$A$2:$A$5,0)),0)</f>
        <v>0</v>
      </c>
      <c r="K1274" s="11">
        <f t="shared" si="76"/>
        <v>27000</v>
      </c>
      <c r="L1274" s="11">
        <f t="shared" si="77"/>
        <v>0</v>
      </c>
      <c r="M1274" s="11">
        <f t="shared" si="78"/>
        <v>78900</v>
      </c>
      <c r="N1274" s="10">
        <f t="shared" si="79"/>
        <v>0.74504249291784708</v>
      </c>
    </row>
    <row r="1275" spans="1:14" x14ac:dyDescent="0.3">
      <c r="A1275" s="9" t="s">
        <v>1397</v>
      </c>
      <c r="B1275" s="9" t="s">
        <v>1394</v>
      </c>
      <c r="C1275" s="9" t="s">
        <v>36</v>
      </c>
      <c r="D1275" s="9" t="s">
        <v>20</v>
      </c>
      <c r="E1275" s="9">
        <v>1</v>
      </c>
      <c r="F1275" s="11">
        <v>51900</v>
      </c>
      <c r="G1275" s="9" t="str">
        <f>INDEX(Products!$B$2:$B$9,MATCH(D1275,Products!$A$2:$A$9,0))</f>
        <v>Trà cà leo gai giảm cân</v>
      </c>
      <c r="H1275" s="9" t="str">
        <f>INDEX(Products!$C$2:$C$9,MATCH(D1275,Products!$A$2:$A$9,0))</f>
        <v>Detox</v>
      </c>
      <c r="I1275" s="11">
        <f>INDEX(Products!$D$2:$D$9,MATCH(D1275,Products!$A$2:$A$9,0))</f>
        <v>15000</v>
      </c>
      <c r="J1275" s="10">
        <f>IFERROR(INDEX(PlatformFees!$C$2:$C$5,MATCH(C1275,PlatformFees!$A$2:$A$5,0)),0)</f>
        <v>0.13</v>
      </c>
      <c r="K1275" s="11">
        <f t="shared" si="76"/>
        <v>15000</v>
      </c>
      <c r="L1275" s="11">
        <f t="shared" si="77"/>
        <v>6747</v>
      </c>
      <c r="M1275" s="11">
        <f t="shared" si="78"/>
        <v>30153</v>
      </c>
      <c r="N1275" s="10">
        <f t="shared" si="79"/>
        <v>0.5809826589595376</v>
      </c>
    </row>
    <row r="1276" spans="1:14" x14ac:dyDescent="0.3">
      <c r="A1276" s="9" t="s">
        <v>1398</v>
      </c>
      <c r="B1276" s="9" t="s">
        <v>1394</v>
      </c>
      <c r="C1276" s="9" t="s">
        <v>38</v>
      </c>
      <c r="D1276" s="9" t="s">
        <v>17</v>
      </c>
      <c r="E1276" s="9">
        <v>2</v>
      </c>
      <c r="F1276" s="11">
        <v>84200</v>
      </c>
      <c r="G1276" s="9" t="str">
        <f>INDEX(Products!$B$2:$B$9,MATCH(D1276,Products!$A$2:$A$9,0))</f>
        <v>Trà diếp cá rau má</v>
      </c>
      <c r="H1276" s="9" t="str">
        <f>INDEX(Products!$C$2:$C$9,MATCH(D1276,Products!$A$2:$A$9,0))</f>
        <v>Detox</v>
      </c>
      <c r="I1276" s="11">
        <f>INDEX(Products!$D$2:$D$9,MATCH(D1276,Products!$A$2:$A$9,0))</f>
        <v>10500</v>
      </c>
      <c r="J1276" s="10">
        <f>IFERROR(INDEX(PlatformFees!$C$2:$C$5,MATCH(C1276,PlatformFees!$A$2:$A$5,0)),0)</f>
        <v>0.16</v>
      </c>
      <c r="K1276" s="11">
        <f t="shared" si="76"/>
        <v>21000</v>
      </c>
      <c r="L1276" s="11">
        <f t="shared" si="77"/>
        <v>13472</v>
      </c>
      <c r="M1276" s="11">
        <f t="shared" si="78"/>
        <v>49728</v>
      </c>
      <c r="N1276" s="10">
        <f t="shared" si="79"/>
        <v>0.59059382422802853</v>
      </c>
    </row>
    <row r="1277" spans="1:14" x14ac:dyDescent="0.3">
      <c r="A1277" s="9" t="s">
        <v>1399</v>
      </c>
      <c r="B1277" s="9" t="s">
        <v>1394</v>
      </c>
      <c r="C1277" s="9" t="s">
        <v>38</v>
      </c>
      <c r="D1277" s="9" t="s">
        <v>22</v>
      </c>
      <c r="E1277" s="9">
        <v>1</v>
      </c>
      <c r="F1277" s="11">
        <v>37900</v>
      </c>
      <c r="G1277" s="9" t="str">
        <f>INDEX(Products!$B$2:$B$9,MATCH(D1277,Products!$A$2:$A$9,0))</f>
        <v>Trà hoa cúc an thần</v>
      </c>
      <c r="H1277" s="9" t="str">
        <f>INDEX(Products!$C$2:$C$9,MATCH(D1277,Products!$A$2:$A$9,0))</f>
        <v>An thần</v>
      </c>
      <c r="I1277" s="11">
        <f>INDEX(Products!$D$2:$D$9,MATCH(D1277,Products!$A$2:$A$9,0))</f>
        <v>9500</v>
      </c>
      <c r="J1277" s="10">
        <f>IFERROR(INDEX(PlatformFees!$C$2:$C$5,MATCH(C1277,PlatformFees!$A$2:$A$5,0)),0)</f>
        <v>0.16</v>
      </c>
      <c r="K1277" s="11">
        <f t="shared" si="76"/>
        <v>9500</v>
      </c>
      <c r="L1277" s="11">
        <f t="shared" si="77"/>
        <v>6064</v>
      </c>
      <c r="M1277" s="11">
        <f t="shared" si="78"/>
        <v>22336</v>
      </c>
      <c r="N1277" s="10">
        <f t="shared" si="79"/>
        <v>0.58934036939313983</v>
      </c>
    </row>
    <row r="1278" spans="1:14" x14ac:dyDescent="0.3">
      <c r="A1278" s="9" t="s">
        <v>1400</v>
      </c>
      <c r="B1278" s="9" t="s">
        <v>1394</v>
      </c>
      <c r="C1278" s="9" t="s">
        <v>38</v>
      </c>
      <c r="D1278" s="9" t="s">
        <v>17</v>
      </c>
      <c r="E1278" s="9">
        <v>3</v>
      </c>
      <c r="F1278" s="11">
        <v>123200</v>
      </c>
      <c r="G1278" s="9" t="str">
        <f>INDEX(Products!$B$2:$B$9,MATCH(D1278,Products!$A$2:$A$9,0))</f>
        <v>Trà diếp cá rau má</v>
      </c>
      <c r="H1278" s="9" t="str">
        <f>INDEX(Products!$C$2:$C$9,MATCH(D1278,Products!$A$2:$A$9,0))</f>
        <v>Detox</v>
      </c>
      <c r="I1278" s="11">
        <f>INDEX(Products!$D$2:$D$9,MATCH(D1278,Products!$A$2:$A$9,0))</f>
        <v>10500</v>
      </c>
      <c r="J1278" s="10">
        <f>IFERROR(INDEX(PlatformFees!$C$2:$C$5,MATCH(C1278,PlatformFees!$A$2:$A$5,0)),0)</f>
        <v>0.16</v>
      </c>
      <c r="K1278" s="11">
        <f t="shared" si="76"/>
        <v>31500</v>
      </c>
      <c r="L1278" s="11">
        <f t="shared" si="77"/>
        <v>19712</v>
      </c>
      <c r="M1278" s="11">
        <f t="shared" si="78"/>
        <v>71988</v>
      </c>
      <c r="N1278" s="10">
        <f t="shared" si="79"/>
        <v>0.58431818181818185</v>
      </c>
    </row>
    <row r="1279" spans="1:14" x14ac:dyDescent="0.3">
      <c r="A1279" s="9" t="s">
        <v>1401</v>
      </c>
      <c r="B1279" s="9" t="s">
        <v>1394</v>
      </c>
      <c r="C1279" s="9" t="s">
        <v>36</v>
      </c>
      <c r="D1279" s="9" t="s">
        <v>12</v>
      </c>
      <c r="E1279" s="9">
        <v>1</v>
      </c>
      <c r="F1279" s="11">
        <v>35200</v>
      </c>
      <c r="G1279" s="9" t="str">
        <f>INDEX(Products!$B$2:$B$9,MATCH(D1279,Products!$A$2:$A$9,0))</f>
        <v>Trà atiso thanh lọc</v>
      </c>
      <c r="H1279" s="9" t="str">
        <f>INDEX(Products!$C$2:$C$9,MATCH(D1279,Products!$A$2:$A$9,0))</f>
        <v>Thanh lọc</v>
      </c>
      <c r="I1279" s="11">
        <f>INDEX(Products!$D$2:$D$9,MATCH(D1279,Products!$A$2:$A$9,0))</f>
        <v>9000</v>
      </c>
      <c r="J1279" s="10">
        <f>IFERROR(INDEX(PlatformFees!$C$2:$C$5,MATCH(C1279,PlatformFees!$A$2:$A$5,0)),0)</f>
        <v>0.13</v>
      </c>
      <c r="K1279" s="11">
        <f t="shared" si="76"/>
        <v>9000</v>
      </c>
      <c r="L1279" s="11">
        <f t="shared" si="77"/>
        <v>4576</v>
      </c>
      <c r="M1279" s="11">
        <f t="shared" si="78"/>
        <v>21624</v>
      </c>
      <c r="N1279" s="10">
        <f t="shared" si="79"/>
        <v>0.61431818181818176</v>
      </c>
    </row>
    <row r="1280" spans="1:14" x14ac:dyDescent="0.3">
      <c r="A1280" s="9" t="s">
        <v>1402</v>
      </c>
      <c r="B1280" s="9" t="s">
        <v>1394</v>
      </c>
      <c r="C1280" s="9" t="s">
        <v>38</v>
      </c>
      <c r="D1280" s="9" t="s">
        <v>12</v>
      </c>
      <c r="E1280" s="9">
        <v>3</v>
      </c>
      <c r="F1280" s="11">
        <v>107500</v>
      </c>
      <c r="G1280" s="9" t="str">
        <f>INDEX(Products!$B$2:$B$9,MATCH(D1280,Products!$A$2:$A$9,0))</f>
        <v>Trà atiso thanh lọc</v>
      </c>
      <c r="H1280" s="9" t="str">
        <f>INDEX(Products!$C$2:$C$9,MATCH(D1280,Products!$A$2:$A$9,0))</f>
        <v>Thanh lọc</v>
      </c>
      <c r="I1280" s="11">
        <f>INDEX(Products!$D$2:$D$9,MATCH(D1280,Products!$A$2:$A$9,0))</f>
        <v>9000</v>
      </c>
      <c r="J1280" s="10">
        <f>IFERROR(INDEX(PlatformFees!$C$2:$C$5,MATCH(C1280,PlatformFees!$A$2:$A$5,0)),0)</f>
        <v>0.16</v>
      </c>
      <c r="K1280" s="11">
        <f t="shared" si="76"/>
        <v>27000</v>
      </c>
      <c r="L1280" s="11">
        <f t="shared" si="77"/>
        <v>17200</v>
      </c>
      <c r="M1280" s="11">
        <f t="shared" si="78"/>
        <v>63300</v>
      </c>
      <c r="N1280" s="10">
        <f t="shared" si="79"/>
        <v>0.58883720930232553</v>
      </c>
    </row>
    <row r="1281" spans="1:14" x14ac:dyDescent="0.3">
      <c r="A1281" s="9" t="s">
        <v>1403</v>
      </c>
      <c r="B1281" s="9" t="s">
        <v>1394</v>
      </c>
      <c r="C1281" s="9" t="s">
        <v>36</v>
      </c>
      <c r="D1281" s="9" t="s">
        <v>22</v>
      </c>
      <c r="E1281" s="9">
        <v>3</v>
      </c>
      <c r="F1281" s="11">
        <v>115600</v>
      </c>
      <c r="G1281" s="9" t="str">
        <f>INDEX(Products!$B$2:$B$9,MATCH(D1281,Products!$A$2:$A$9,0))</f>
        <v>Trà hoa cúc an thần</v>
      </c>
      <c r="H1281" s="9" t="str">
        <f>INDEX(Products!$C$2:$C$9,MATCH(D1281,Products!$A$2:$A$9,0))</f>
        <v>An thần</v>
      </c>
      <c r="I1281" s="11">
        <f>INDEX(Products!$D$2:$D$9,MATCH(D1281,Products!$A$2:$A$9,0))</f>
        <v>9500</v>
      </c>
      <c r="J1281" s="10">
        <f>IFERROR(INDEX(PlatformFees!$C$2:$C$5,MATCH(C1281,PlatformFees!$A$2:$A$5,0)),0)</f>
        <v>0.13</v>
      </c>
      <c r="K1281" s="11">
        <f t="shared" si="76"/>
        <v>28500</v>
      </c>
      <c r="L1281" s="11">
        <f t="shared" si="77"/>
        <v>15028</v>
      </c>
      <c r="M1281" s="11">
        <f t="shared" si="78"/>
        <v>72072</v>
      </c>
      <c r="N1281" s="10">
        <f t="shared" si="79"/>
        <v>0.6234602076124568</v>
      </c>
    </row>
    <row r="1282" spans="1:14" x14ac:dyDescent="0.3">
      <c r="A1282" s="9" t="s">
        <v>1404</v>
      </c>
      <c r="B1282" s="9" t="s">
        <v>1394</v>
      </c>
      <c r="C1282" s="9" t="s">
        <v>38</v>
      </c>
      <c r="D1282" s="9" t="s">
        <v>27</v>
      </c>
      <c r="E1282" s="9">
        <v>1</v>
      </c>
      <c r="F1282" s="11">
        <v>38100</v>
      </c>
      <c r="G1282" s="9" t="str">
        <f>INDEX(Products!$B$2:$B$9,MATCH(D1282,Products!$A$2:$A$9,0))</f>
        <v>Trà gừng mật ong</v>
      </c>
      <c r="H1282" s="9" t="str">
        <f>INDEX(Products!$C$2:$C$9,MATCH(D1282,Products!$A$2:$A$9,0))</f>
        <v>Giữ ấm</v>
      </c>
      <c r="I1282" s="11">
        <f>INDEX(Products!$D$2:$D$9,MATCH(D1282,Products!$A$2:$A$9,0))</f>
        <v>11000</v>
      </c>
      <c r="J1282" s="10">
        <f>IFERROR(INDEX(PlatformFees!$C$2:$C$5,MATCH(C1282,PlatformFees!$A$2:$A$5,0)),0)</f>
        <v>0.16</v>
      </c>
      <c r="K1282" s="11">
        <f t="shared" ref="K1282:K1345" si="80">E1282*I1282</f>
        <v>11000</v>
      </c>
      <c r="L1282" s="11">
        <f t="shared" ref="L1282:L1345" si="81">F1282*J1282</f>
        <v>6096</v>
      </c>
      <c r="M1282" s="11">
        <f t="shared" ref="M1282:M1345" si="82">F1282-L1282-K1282</f>
        <v>21004</v>
      </c>
      <c r="N1282" s="10">
        <f t="shared" ref="N1282:N1345" si="83">IFERROR(M1282/F1282,0)</f>
        <v>0.55128608923884515</v>
      </c>
    </row>
    <row r="1283" spans="1:14" x14ac:dyDescent="0.3">
      <c r="A1283" s="9" t="s">
        <v>1405</v>
      </c>
      <c r="B1283" s="9" t="s">
        <v>1394</v>
      </c>
      <c r="C1283" s="9" t="s">
        <v>39</v>
      </c>
      <c r="D1283" s="9" t="s">
        <v>20</v>
      </c>
      <c r="E1283" s="9">
        <v>2</v>
      </c>
      <c r="F1283" s="11">
        <v>107400</v>
      </c>
      <c r="G1283" s="9" t="str">
        <f>INDEX(Products!$B$2:$B$9,MATCH(D1283,Products!$A$2:$A$9,0))</f>
        <v>Trà cà leo gai giảm cân</v>
      </c>
      <c r="H1283" s="9" t="str">
        <f>INDEX(Products!$C$2:$C$9,MATCH(D1283,Products!$A$2:$A$9,0))</f>
        <v>Detox</v>
      </c>
      <c r="I1283" s="11">
        <f>INDEX(Products!$D$2:$D$9,MATCH(D1283,Products!$A$2:$A$9,0))</f>
        <v>15000</v>
      </c>
      <c r="J1283" s="10">
        <f>IFERROR(INDEX(PlatformFees!$C$2:$C$5,MATCH(C1283,PlatformFees!$A$2:$A$5,0)),0)</f>
        <v>0</v>
      </c>
      <c r="K1283" s="11">
        <f t="shared" si="80"/>
        <v>30000</v>
      </c>
      <c r="L1283" s="11">
        <f t="shared" si="81"/>
        <v>0</v>
      </c>
      <c r="M1283" s="11">
        <f t="shared" si="82"/>
        <v>77400</v>
      </c>
      <c r="N1283" s="10">
        <f t="shared" si="83"/>
        <v>0.72067039106145248</v>
      </c>
    </row>
    <row r="1284" spans="1:14" x14ac:dyDescent="0.3">
      <c r="A1284" s="9" t="s">
        <v>1406</v>
      </c>
      <c r="B1284" s="9" t="s">
        <v>1394</v>
      </c>
      <c r="C1284" s="9" t="s">
        <v>39</v>
      </c>
      <c r="D1284" s="9" t="s">
        <v>30</v>
      </c>
      <c r="E1284" s="9">
        <v>2</v>
      </c>
      <c r="F1284" s="11">
        <v>73100</v>
      </c>
      <c r="G1284" s="9" t="str">
        <f>INDEX(Products!$B$2:$B$9,MATCH(D1284,Products!$A$2:$A$9,0))</f>
        <v>Trà mâm xôi vitamin</v>
      </c>
      <c r="H1284" s="9" t="str">
        <f>INDEX(Products!$C$2:$C$9,MATCH(D1284,Products!$A$2:$A$9,0))</f>
        <v>Bổ sung dưỡng chất</v>
      </c>
      <c r="I1284" s="11">
        <f>INDEX(Products!$D$2:$D$9,MATCH(D1284,Products!$A$2:$A$9,0))</f>
        <v>9800</v>
      </c>
      <c r="J1284" s="10">
        <f>IFERROR(INDEX(PlatformFees!$C$2:$C$5,MATCH(C1284,PlatformFees!$A$2:$A$5,0)),0)</f>
        <v>0</v>
      </c>
      <c r="K1284" s="11">
        <f t="shared" si="80"/>
        <v>19600</v>
      </c>
      <c r="L1284" s="11">
        <f t="shared" si="81"/>
        <v>0</v>
      </c>
      <c r="M1284" s="11">
        <f t="shared" si="82"/>
        <v>53500</v>
      </c>
      <c r="N1284" s="10">
        <f t="shared" si="83"/>
        <v>0.73187414500683989</v>
      </c>
    </row>
    <row r="1285" spans="1:14" x14ac:dyDescent="0.3">
      <c r="A1285" s="9" t="s">
        <v>1407</v>
      </c>
      <c r="B1285" s="9" t="s">
        <v>1394</v>
      </c>
      <c r="C1285" s="9" t="s">
        <v>38</v>
      </c>
      <c r="D1285" s="9" t="s">
        <v>15</v>
      </c>
      <c r="E1285" s="9">
        <v>2</v>
      </c>
      <c r="F1285" s="11">
        <v>65700</v>
      </c>
      <c r="G1285" s="9" t="str">
        <f>INDEX(Products!$B$2:$B$9,MATCH(D1285,Products!$A$2:$A$9,0))</f>
        <v>Trà lá nam sen ổi</v>
      </c>
      <c r="H1285" s="9" t="str">
        <f>INDEX(Products!$C$2:$C$9,MATCH(D1285,Products!$A$2:$A$9,0))</f>
        <v>Thanh lọc</v>
      </c>
      <c r="I1285" s="11">
        <f>INDEX(Products!$D$2:$D$9,MATCH(D1285,Products!$A$2:$A$9,0))</f>
        <v>8500</v>
      </c>
      <c r="J1285" s="10">
        <f>IFERROR(INDEX(PlatformFees!$C$2:$C$5,MATCH(C1285,PlatformFees!$A$2:$A$5,0)),0)</f>
        <v>0.16</v>
      </c>
      <c r="K1285" s="11">
        <f t="shared" si="80"/>
        <v>17000</v>
      </c>
      <c r="L1285" s="11">
        <f t="shared" si="81"/>
        <v>10512</v>
      </c>
      <c r="M1285" s="11">
        <f t="shared" si="82"/>
        <v>38188</v>
      </c>
      <c r="N1285" s="10">
        <f t="shared" si="83"/>
        <v>0.58124809741248096</v>
      </c>
    </row>
    <row r="1286" spans="1:14" x14ac:dyDescent="0.3">
      <c r="A1286" s="9" t="s">
        <v>1408</v>
      </c>
      <c r="B1286" s="9" t="s">
        <v>1394</v>
      </c>
      <c r="C1286" s="9" t="s">
        <v>38</v>
      </c>
      <c r="D1286" s="9" t="s">
        <v>25</v>
      </c>
      <c r="E1286" s="9">
        <v>1</v>
      </c>
      <c r="F1286" s="11">
        <v>32200</v>
      </c>
      <c r="G1286" s="9" t="str">
        <f>INDEX(Products!$B$2:$B$9,MATCH(D1286,Products!$A$2:$A$9,0))</f>
        <v>Trà hoa đậu biếc</v>
      </c>
      <c r="H1286" s="9" t="str">
        <f>INDEX(Products!$C$2:$C$9,MATCH(D1286,Products!$A$2:$A$9,0))</f>
        <v>An thần</v>
      </c>
      <c r="I1286" s="11">
        <f>INDEX(Products!$D$2:$D$9,MATCH(D1286,Products!$A$2:$A$9,0))</f>
        <v>8800</v>
      </c>
      <c r="J1286" s="10">
        <f>IFERROR(INDEX(PlatformFees!$C$2:$C$5,MATCH(C1286,PlatformFees!$A$2:$A$5,0)),0)</f>
        <v>0.16</v>
      </c>
      <c r="K1286" s="11">
        <f t="shared" si="80"/>
        <v>8800</v>
      </c>
      <c r="L1286" s="11">
        <f t="shared" si="81"/>
        <v>5152</v>
      </c>
      <c r="M1286" s="11">
        <f t="shared" si="82"/>
        <v>18248</v>
      </c>
      <c r="N1286" s="10">
        <f t="shared" si="83"/>
        <v>0.5667080745341615</v>
      </c>
    </row>
    <row r="1287" spans="1:14" x14ac:dyDescent="0.3">
      <c r="A1287" s="9" t="s">
        <v>1409</v>
      </c>
      <c r="B1287" s="9" t="s">
        <v>1410</v>
      </c>
      <c r="C1287" s="9" t="s">
        <v>36</v>
      </c>
      <c r="D1287" s="9" t="s">
        <v>20</v>
      </c>
      <c r="E1287" s="9">
        <v>3</v>
      </c>
      <c r="F1287" s="11">
        <v>154600</v>
      </c>
      <c r="G1287" s="9" t="str">
        <f>INDEX(Products!$B$2:$B$9,MATCH(D1287,Products!$A$2:$A$9,0))</f>
        <v>Trà cà leo gai giảm cân</v>
      </c>
      <c r="H1287" s="9" t="str">
        <f>INDEX(Products!$C$2:$C$9,MATCH(D1287,Products!$A$2:$A$9,0))</f>
        <v>Detox</v>
      </c>
      <c r="I1287" s="11">
        <f>INDEX(Products!$D$2:$D$9,MATCH(D1287,Products!$A$2:$A$9,0))</f>
        <v>15000</v>
      </c>
      <c r="J1287" s="10">
        <f>IFERROR(INDEX(PlatformFees!$C$2:$C$5,MATCH(C1287,PlatformFees!$A$2:$A$5,0)),0)</f>
        <v>0.13</v>
      </c>
      <c r="K1287" s="11">
        <f t="shared" si="80"/>
        <v>45000</v>
      </c>
      <c r="L1287" s="11">
        <f t="shared" si="81"/>
        <v>20098</v>
      </c>
      <c r="M1287" s="11">
        <f t="shared" si="82"/>
        <v>89502</v>
      </c>
      <c r="N1287" s="10">
        <f t="shared" si="83"/>
        <v>0.57892626131953429</v>
      </c>
    </row>
    <row r="1288" spans="1:14" x14ac:dyDescent="0.3">
      <c r="A1288" s="9" t="s">
        <v>1411</v>
      </c>
      <c r="B1288" s="9" t="s">
        <v>1410</v>
      </c>
      <c r="C1288" s="9" t="s">
        <v>36</v>
      </c>
      <c r="D1288" s="9" t="s">
        <v>17</v>
      </c>
      <c r="E1288" s="9">
        <v>3</v>
      </c>
      <c r="F1288" s="11">
        <v>120100</v>
      </c>
      <c r="G1288" s="9" t="str">
        <f>INDEX(Products!$B$2:$B$9,MATCH(D1288,Products!$A$2:$A$9,0))</f>
        <v>Trà diếp cá rau má</v>
      </c>
      <c r="H1288" s="9" t="str">
        <f>INDEX(Products!$C$2:$C$9,MATCH(D1288,Products!$A$2:$A$9,0))</f>
        <v>Detox</v>
      </c>
      <c r="I1288" s="11">
        <f>INDEX(Products!$D$2:$D$9,MATCH(D1288,Products!$A$2:$A$9,0))</f>
        <v>10500</v>
      </c>
      <c r="J1288" s="10">
        <f>IFERROR(INDEX(PlatformFees!$C$2:$C$5,MATCH(C1288,PlatformFees!$A$2:$A$5,0)),0)</f>
        <v>0.13</v>
      </c>
      <c r="K1288" s="11">
        <f t="shared" si="80"/>
        <v>31500</v>
      </c>
      <c r="L1288" s="11">
        <f t="shared" si="81"/>
        <v>15613</v>
      </c>
      <c r="M1288" s="11">
        <f t="shared" si="82"/>
        <v>72987</v>
      </c>
      <c r="N1288" s="10">
        <f t="shared" si="83"/>
        <v>0.60771856786011658</v>
      </c>
    </row>
    <row r="1289" spans="1:14" x14ac:dyDescent="0.3">
      <c r="A1289" s="9" t="s">
        <v>1412</v>
      </c>
      <c r="B1289" s="9" t="s">
        <v>1410</v>
      </c>
      <c r="C1289" s="9" t="s">
        <v>40</v>
      </c>
      <c r="D1289" s="9" t="s">
        <v>30</v>
      </c>
      <c r="E1289" s="9">
        <v>1</v>
      </c>
      <c r="F1289" s="11">
        <v>36300</v>
      </c>
      <c r="G1289" s="9" t="str">
        <f>INDEX(Products!$B$2:$B$9,MATCH(D1289,Products!$A$2:$A$9,0))</f>
        <v>Trà mâm xôi vitamin</v>
      </c>
      <c r="H1289" s="9" t="str">
        <f>INDEX(Products!$C$2:$C$9,MATCH(D1289,Products!$A$2:$A$9,0))</f>
        <v>Bổ sung dưỡng chất</v>
      </c>
      <c r="I1289" s="11">
        <f>INDEX(Products!$D$2:$D$9,MATCH(D1289,Products!$A$2:$A$9,0))</f>
        <v>9800</v>
      </c>
      <c r="J1289" s="10">
        <f>IFERROR(INDEX(PlatformFees!$C$2:$C$5,MATCH(C1289,PlatformFees!$A$2:$A$5,0)),0)</f>
        <v>0</v>
      </c>
      <c r="K1289" s="11">
        <f t="shared" si="80"/>
        <v>9800</v>
      </c>
      <c r="L1289" s="11">
        <f t="shared" si="81"/>
        <v>0</v>
      </c>
      <c r="M1289" s="11">
        <f t="shared" si="82"/>
        <v>26500</v>
      </c>
      <c r="N1289" s="10">
        <f t="shared" si="83"/>
        <v>0.73002754820936644</v>
      </c>
    </row>
    <row r="1290" spans="1:14" x14ac:dyDescent="0.3">
      <c r="A1290" s="9" t="s">
        <v>1413</v>
      </c>
      <c r="B1290" s="9" t="s">
        <v>1410</v>
      </c>
      <c r="C1290" s="9" t="s">
        <v>38</v>
      </c>
      <c r="D1290" s="9" t="s">
        <v>27</v>
      </c>
      <c r="E1290" s="9">
        <v>1</v>
      </c>
      <c r="F1290" s="11">
        <v>41000</v>
      </c>
      <c r="G1290" s="9" t="str">
        <f>INDEX(Products!$B$2:$B$9,MATCH(D1290,Products!$A$2:$A$9,0))</f>
        <v>Trà gừng mật ong</v>
      </c>
      <c r="H1290" s="9" t="str">
        <f>INDEX(Products!$C$2:$C$9,MATCH(D1290,Products!$A$2:$A$9,0))</f>
        <v>Giữ ấm</v>
      </c>
      <c r="I1290" s="11">
        <f>INDEX(Products!$D$2:$D$9,MATCH(D1290,Products!$A$2:$A$9,0))</f>
        <v>11000</v>
      </c>
      <c r="J1290" s="10">
        <f>IFERROR(INDEX(PlatformFees!$C$2:$C$5,MATCH(C1290,PlatformFees!$A$2:$A$5,0)),0)</f>
        <v>0.16</v>
      </c>
      <c r="K1290" s="11">
        <f t="shared" si="80"/>
        <v>11000</v>
      </c>
      <c r="L1290" s="11">
        <f t="shared" si="81"/>
        <v>6560</v>
      </c>
      <c r="M1290" s="11">
        <f t="shared" si="82"/>
        <v>23440</v>
      </c>
      <c r="N1290" s="10">
        <f t="shared" si="83"/>
        <v>0.57170731707317068</v>
      </c>
    </row>
    <row r="1291" spans="1:14" x14ac:dyDescent="0.3">
      <c r="A1291" s="9" t="s">
        <v>1414</v>
      </c>
      <c r="B1291" s="9" t="s">
        <v>1410</v>
      </c>
      <c r="C1291" s="9" t="s">
        <v>40</v>
      </c>
      <c r="D1291" s="9" t="s">
        <v>15</v>
      </c>
      <c r="E1291" s="9">
        <v>1</v>
      </c>
      <c r="F1291" s="11">
        <v>32600</v>
      </c>
      <c r="G1291" s="9" t="str">
        <f>INDEX(Products!$B$2:$B$9,MATCH(D1291,Products!$A$2:$A$9,0))</f>
        <v>Trà lá nam sen ổi</v>
      </c>
      <c r="H1291" s="9" t="str">
        <f>INDEX(Products!$C$2:$C$9,MATCH(D1291,Products!$A$2:$A$9,0))</f>
        <v>Thanh lọc</v>
      </c>
      <c r="I1291" s="11">
        <f>INDEX(Products!$D$2:$D$9,MATCH(D1291,Products!$A$2:$A$9,0))</f>
        <v>8500</v>
      </c>
      <c r="J1291" s="10">
        <f>IFERROR(INDEX(PlatformFees!$C$2:$C$5,MATCH(C1291,PlatformFees!$A$2:$A$5,0)),0)</f>
        <v>0</v>
      </c>
      <c r="K1291" s="11">
        <f t="shared" si="80"/>
        <v>8500</v>
      </c>
      <c r="L1291" s="11">
        <f t="shared" si="81"/>
        <v>0</v>
      </c>
      <c r="M1291" s="11">
        <f t="shared" si="82"/>
        <v>24100</v>
      </c>
      <c r="N1291" s="10">
        <f t="shared" si="83"/>
        <v>0.73926380368098155</v>
      </c>
    </row>
    <row r="1292" spans="1:14" x14ac:dyDescent="0.3">
      <c r="A1292" s="9" t="s">
        <v>1415</v>
      </c>
      <c r="B1292" s="9" t="s">
        <v>1410</v>
      </c>
      <c r="C1292" s="9" t="s">
        <v>38</v>
      </c>
      <c r="D1292" s="9" t="s">
        <v>12</v>
      </c>
      <c r="E1292" s="9">
        <v>2</v>
      </c>
      <c r="F1292" s="11">
        <v>68400</v>
      </c>
      <c r="G1292" s="9" t="str">
        <f>INDEX(Products!$B$2:$B$9,MATCH(D1292,Products!$A$2:$A$9,0))</f>
        <v>Trà atiso thanh lọc</v>
      </c>
      <c r="H1292" s="9" t="str">
        <f>INDEX(Products!$C$2:$C$9,MATCH(D1292,Products!$A$2:$A$9,0))</f>
        <v>Thanh lọc</v>
      </c>
      <c r="I1292" s="11">
        <f>INDEX(Products!$D$2:$D$9,MATCH(D1292,Products!$A$2:$A$9,0))</f>
        <v>9000</v>
      </c>
      <c r="J1292" s="10">
        <f>IFERROR(INDEX(PlatformFees!$C$2:$C$5,MATCH(C1292,PlatformFees!$A$2:$A$5,0)),0)</f>
        <v>0.16</v>
      </c>
      <c r="K1292" s="11">
        <f t="shared" si="80"/>
        <v>18000</v>
      </c>
      <c r="L1292" s="11">
        <f t="shared" si="81"/>
        <v>10944</v>
      </c>
      <c r="M1292" s="11">
        <f t="shared" si="82"/>
        <v>39456</v>
      </c>
      <c r="N1292" s="10">
        <f t="shared" si="83"/>
        <v>0.57684210526315793</v>
      </c>
    </row>
    <row r="1293" spans="1:14" x14ac:dyDescent="0.3">
      <c r="A1293" s="9" t="s">
        <v>1416</v>
      </c>
      <c r="B1293" s="9" t="s">
        <v>1410</v>
      </c>
      <c r="C1293" s="9" t="s">
        <v>38</v>
      </c>
      <c r="D1293" s="9" t="s">
        <v>27</v>
      </c>
      <c r="E1293" s="9">
        <v>3</v>
      </c>
      <c r="F1293" s="11">
        <v>113400</v>
      </c>
      <c r="G1293" s="9" t="str">
        <f>INDEX(Products!$B$2:$B$9,MATCH(D1293,Products!$A$2:$A$9,0))</f>
        <v>Trà gừng mật ong</v>
      </c>
      <c r="H1293" s="9" t="str">
        <f>INDEX(Products!$C$2:$C$9,MATCH(D1293,Products!$A$2:$A$9,0))</f>
        <v>Giữ ấm</v>
      </c>
      <c r="I1293" s="11">
        <f>INDEX(Products!$D$2:$D$9,MATCH(D1293,Products!$A$2:$A$9,0))</f>
        <v>11000</v>
      </c>
      <c r="J1293" s="10">
        <f>IFERROR(INDEX(PlatformFees!$C$2:$C$5,MATCH(C1293,PlatformFees!$A$2:$A$5,0)),0)</f>
        <v>0.16</v>
      </c>
      <c r="K1293" s="11">
        <f t="shared" si="80"/>
        <v>33000</v>
      </c>
      <c r="L1293" s="11">
        <f t="shared" si="81"/>
        <v>18144</v>
      </c>
      <c r="M1293" s="11">
        <f t="shared" si="82"/>
        <v>62256</v>
      </c>
      <c r="N1293" s="10">
        <f t="shared" si="83"/>
        <v>0.54899470899470904</v>
      </c>
    </row>
    <row r="1294" spans="1:14" x14ac:dyDescent="0.3">
      <c r="A1294" s="9" t="s">
        <v>1417</v>
      </c>
      <c r="B1294" s="9" t="s">
        <v>1410</v>
      </c>
      <c r="C1294" s="9" t="s">
        <v>36</v>
      </c>
      <c r="D1294" s="9" t="s">
        <v>15</v>
      </c>
      <c r="E1294" s="9">
        <v>1</v>
      </c>
      <c r="F1294" s="11">
        <v>32600</v>
      </c>
      <c r="G1294" s="9" t="str">
        <f>INDEX(Products!$B$2:$B$9,MATCH(D1294,Products!$A$2:$A$9,0))</f>
        <v>Trà lá nam sen ổi</v>
      </c>
      <c r="H1294" s="9" t="str">
        <f>INDEX(Products!$C$2:$C$9,MATCH(D1294,Products!$A$2:$A$9,0))</f>
        <v>Thanh lọc</v>
      </c>
      <c r="I1294" s="11">
        <f>INDEX(Products!$D$2:$D$9,MATCH(D1294,Products!$A$2:$A$9,0))</f>
        <v>8500</v>
      </c>
      <c r="J1294" s="10">
        <f>IFERROR(INDEX(PlatformFees!$C$2:$C$5,MATCH(C1294,PlatformFees!$A$2:$A$5,0)),0)</f>
        <v>0.13</v>
      </c>
      <c r="K1294" s="11">
        <f t="shared" si="80"/>
        <v>8500</v>
      </c>
      <c r="L1294" s="11">
        <f t="shared" si="81"/>
        <v>4238</v>
      </c>
      <c r="M1294" s="11">
        <f t="shared" si="82"/>
        <v>19862</v>
      </c>
      <c r="N1294" s="10">
        <f t="shared" si="83"/>
        <v>0.60926380368098154</v>
      </c>
    </row>
    <row r="1295" spans="1:14" x14ac:dyDescent="0.3">
      <c r="A1295" s="9" t="s">
        <v>1418</v>
      </c>
      <c r="B1295" s="9" t="s">
        <v>1410</v>
      </c>
      <c r="C1295" s="9" t="s">
        <v>36</v>
      </c>
      <c r="D1295" s="9" t="s">
        <v>20</v>
      </c>
      <c r="E1295" s="9">
        <v>1</v>
      </c>
      <c r="F1295" s="11">
        <v>54500</v>
      </c>
      <c r="G1295" s="9" t="str">
        <f>INDEX(Products!$B$2:$B$9,MATCH(D1295,Products!$A$2:$A$9,0))</f>
        <v>Trà cà leo gai giảm cân</v>
      </c>
      <c r="H1295" s="9" t="str">
        <f>INDEX(Products!$C$2:$C$9,MATCH(D1295,Products!$A$2:$A$9,0))</f>
        <v>Detox</v>
      </c>
      <c r="I1295" s="11">
        <f>INDEX(Products!$D$2:$D$9,MATCH(D1295,Products!$A$2:$A$9,0))</f>
        <v>15000</v>
      </c>
      <c r="J1295" s="10">
        <f>IFERROR(INDEX(PlatformFees!$C$2:$C$5,MATCH(C1295,PlatformFees!$A$2:$A$5,0)),0)</f>
        <v>0.13</v>
      </c>
      <c r="K1295" s="11">
        <f t="shared" si="80"/>
        <v>15000</v>
      </c>
      <c r="L1295" s="11">
        <f t="shared" si="81"/>
        <v>7085</v>
      </c>
      <c r="M1295" s="11">
        <f t="shared" si="82"/>
        <v>32415</v>
      </c>
      <c r="N1295" s="10">
        <f t="shared" si="83"/>
        <v>0.59477064220183484</v>
      </c>
    </row>
    <row r="1296" spans="1:14" x14ac:dyDescent="0.3">
      <c r="A1296" s="9" t="s">
        <v>1419</v>
      </c>
      <c r="B1296" s="9" t="s">
        <v>1410</v>
      </c>
      <c r="C1296" s="9" t="s">
        <v>38</v>
      </c>
      <c r="D1296" s="9" t="s">
        <v>22</v>
      </c>
      <c r="E1296" s="9">
        <v>1</v>
      </c>
      <c r="F1296" s="11">
        <v>38600</v>
      </c>
      <c r="G1296" s="9" t="str">
        <f>INDEX(Products!$B$2:$B$9,MATCH(D1296,Products!$A$2:$A$9,0))</f>
        <v>Trà hoa cúc an thần</v>
      </c>
      <c r="H1296" s="9" t="str">
        <f>INDEX(Products!$C$2:$C$9,MATCH(D1296,Products!$A$2:$A$9,0))</f>
        <v>An thần</v>
      </c>
      <c r="I1296" s="11">
        <f>INDEX(Products!$D$2:$D$9,MATCH(D1296,Products!$A$2:$A$9,0))</f>
        <v>9500</v>
      </c>
      <c r="J1296" s="10">
        <f>IFERROR(INDEX(PlatformFees!$C$2:$C$5,MATCH(C1296,PlatformFees!$A$2:$A$5,0)),0)</f>
        <v>0.16</v>
      </c>
      <c r="K1296" s="11">
        <f t="shared" si="80"/>
        <v>9500</v>
      </c>
      <c r="L1296" s="11">
        <f t="shared" si="81"/>
        <v>6176</v>
      </c>
      <c r="M1296" s="11">
        <f t="shared" si="82"/>
        <v>22924</v>
      </c>
      <c r="N1296" s="10">
        <f t="shared" si="83"/>
        <v>0.59388601036269428</v>
      </c>
    </row>
    <row r="1297" spans="1:14" x14ac:dyDescent="0.3">
      <c r="A1297" s="9" t="s">
        <v>1420</v>
      </c>
      <c r="B1297" s="9" t="s">
        <v>1410</v>
      </c>
      <c r="C1297" s="9" t="s">
        <v>36</v>
      </c>
      <c r="D1297" s="9" t="s">
        <v>25</v>
      </c>
      <c r="E1297" s="9">
        <v>2</v>
      </c>
      <c r="F1297" s="11">
        <v>69400</v>
      </c>
      <c r="G1297" s="9" t="str">
        <f>INDEX(Products!$B$2:$B$9,MATCH(D1297,Products!$A$2:$A$9,0))</f>
        <v>Trà hoa đậu biếc</v>
      </c>
      <c r="H1297" s="9" t="str">
        <f>INDEX(Products!$C$2:$C$9,MATCH(D1297,Products!$A$2:$A$9,0))</f>
        <v>An thần</v>
      </c>
      <c r="I1297" s="11">
        <f>INDEX(Products!$D$2:$D$9,MATCH(D1297,Products!$A$2:$A$9,0))</f>
        <v>8800</v>
      </c>
      <c r="J1297" s="10">
        <f>IFERROR(INDEX(PlatformFees!$C$2:$C$5,MATCH(C1297,PlatformFees!$A$2:$A$5,0)),0)</f>
        <v>0.13</v>
      </c>
      <c r="K1297" s="11">
        <f t="shared" si="80"/>
        <v>17600</v>
      </c>
      <c r="L1297" s="11">
        <f t="shared" si="81"/>
        <v>9022</v>
      </c>
      <c r="M1297" s="11">
        <f t="shared" si="82"/>
        <v>42778</v>
      </c>
      <c r="N1297" s="10">
        <f t="shared" si="83"/>
        <v>0.61639769452449567</v>
      </c>
    </row>
    <row r="1298" spans="1:14" x14ac:dyDescent="0.3">
      <c r="A1298" s="9" t="s">
        <v>1421</v>
      </c>
      <c r="B1298" s="9" t="s">
        <v>1410</v>
      </c>
      <c r="C1298" s="9" t="s">
        <v>36</v>
      </c>
      <c r="D1298" s="9" t="s">
        <v>30</v>
      </c>
      <c r="E1298" s="9">
        <v>1</v>
      </c>
      <c r="F1298" s="11">
        <v>35700</v>
      </c>
      <c r="G1298" s="9" t="str">
        <f>INDEX(Products!$B$2:$B$9,MATCH(D1298,Products!$A$2:$A$9,0))</f>
        <v>Trà mâm xôi vitamin</v>
      </c>
      <c r="H1298" s="9" t="str">
        <f>INDEX(Products!$C$2:$C$9,MATCH(D1298,Products!$A$2:$A$9,0))</f>
        <v>Bổ sung dưỡng chất</v>
      </c>
      <c r="I1298" s="11">
        <f>INDEX(Products!$D$2:$D$9,MATCH(D1298,Products!$A$2:$A$9,0))</f>
        <v>9800</v>
      </c>
      <c r="J1298" s="10">
        <f>IFERROR(INDEX(PlatformFees!$C$2:$C$5,MATCH(C1298,PlatformFees!$A$2:$A$5,0)),0)</f>
        <v>0.13</v>
      </c>
      <c r="K1298" s="11">
        <f t="shared" si="80"/>
        <v>9800</v>
      </c>
      <c r="L1298" s="11">
        <f t="shared" si="81"/>
        <v>4641</v>
      </c>
      <c r="M1298" s="11">
        <f t="shared" si="82"/>
        <v>21259</v>
      </c>
      <c r="N1298" s="10">
        <f t="shared" si="83"/>
        <v>0.59549019607843134</v>
      </c>
    </row>
    <row r="1299" spans="1:14" x14ac:dyDescent="0.3">
      <c r="A1299" s="9" t="s">
        <v>1422</v>
      </c>
      <c r="B1299" s="9" t="s">
        <v>1410</v>
      </c>
      <c r="C1299" s="9" t="s">
        <v>38</v>
      </c>
      <c r="D1299" s="9" t="s">
        <v>15</v>
      </c>
      <c r="E1299" s="9">
        <v>1</v>
      </c>
      <c r="F1299" s="11">
        <v>31400</v>
      </c>
      <c r="G1299" s="9" t="str">
        <f>INDEX(Products!$B$2:$B$9,MATCH(D1299,Products!$A$2:$A$9,0))</f>
        <v>Trà lá nam sen ổi</v>
      </c>
      <c r="H1299" s="9" t="str">
        <f>INDEX(Products!$C$2:$C$9,MATCH(D1299,Products!$A$2:$A$9,0))</f>
        <v>Thanh lọc</v>
      </c>
      <c r="I1299" s="11">
        <f>INDEX(Products!$D$2:$D$9,MATCH(D1299,Products!$A$2:$A$9,0))</f>
        <v>8500</v>
      </c>
      <c r="J1299" s="10">
        <f>IFERROR(INDEX(PlatformFees!$C$2:$C$5,MATCH(C1299,PlatformFees!$A$2:$A$5,0)),0)</f>
        <v>0.16</v>
      </c>
      <c r="K1299" s="11">
        <f t="shared" si="80"/>
        <v>8500</v>
      </c>
      <c r="L1299" s="11">
        <f t="shared" si="81"/>
        <v>5024</v>
      </c>
      <c r="M1299" s="11">
        <f t="shared" si="82"/>
        <v>17876</v>
      </c>
      <c r="N1299" s="10">
        <f t="shared" si="83"/>
        <v>0.56929936305732487</v>
      </c>
    </row>
    <row r="1300" spans="1:14" x14ac:dyDescent="0.3">
      <c r="A1300" s="9" t="s">
        <v>1423</v>
      </c>
      <c r="B1300" s="9" t="s">
        <v>1410</v>
      </c>
      <c r="C1300" s="9" t="s">
        <v>40</v>
      </c>
      <c r="D1300" s="9" t="s">
        <v>12</v>
      </c>
      <c r="E1300" s="9">
        <v>1</v>
      </c>
      <c r="F1300" s="11">
        <v>35400</v>
      </c>
      <c r="G1300" s="9" t="str">
        <f>INDEX(Products!$B$2:$B$9,MATCH(D1300,Products!$A$2:$A$9,0))</f>
        <v>Trà atiso thanh lọc</v>
      </c>
      <c r="H1300" s="9" t="str">
        <f>INDEX(Products!$C$2:$C$9,MATCH(D1300,Products!$A$2:$A$9,0))</f>
        <v>Thanh lọc</v>
      </c>
      <c r="I1300" s="11">
        <f>INDEX(Products!$D$2:$D$9,MATCH(D1300,Products!$A$2:$A$9,0))</f>
        <v>9000</v>
      </c>
      <c r="J1300" s="10">
        <f>IFERROR(INDEX(PlatformFees!$C$2:$C$5,MATCH(C1300,PlatformFees!$A$2:$A$5,0)),0)</f>
        <v>0</v>
      </c>
      <c r="K1300" s="11">
        <f t="shared" si="80"/>
        <v>9000</v>
      </c>
      <c r="L1300" s="11">
        <f t="shared" si="81"/>
        <v>0</v>
      </c>
      <c r="M1300" s="11">
        <f t="shared" si="82"/>
        <v>26400</v>
      </c>
      <c r="N1300" s="10">
        <f t="shared" si="83"/>
        <v>0.74576271186440679</v>
      </c>
    </row>
    <row r="1301" spans="1:14" x14ac:dyDescent="0.3">
      <c r="A1301" s="9" t="s">
        <v>1424</v>
      </c>
      <c r="B1301" s="9" t="s">
        <v>1410</v>
      </c>
      <c r="C1301" s="9" t="s">
        <v>36</v>
      </c>
      <c r="D1301" s="9" t="s">
        <v>12</v>
      </c>
      <c r="E1301" s="9">
        <v>1</v>
      </c>
      <c r="F1301" s="11">
        <v>35600</v>
      </c>
      <c r="G1301" s="9" t="str">
        <f>INDEX(Products!$B$2:$B$9,MATCH(D1301,Products!$A$2:$A$9,0))</f>
        <v>Trà atiso thanh lọc</v>
      </c>
      <c r="H1301" s="9" t="str">
        <f>INDEX(Products!$C$2:$C$9,MATCH(D1301,Products!$A$2:$A$9,0))</f>
        <v>Thanh lọc</v>
      </c>
      <c r="I1301" s="11">
        <f>INDEX(Products!$D$2:$D$9,MATCH(D1301,Products!$A$2:$A$9,0))</f>
        <v>9000</v>
      </c>
      <c r="J1301" s="10">
        <f>IFERROR(INDEX(PlatformFees!$C$2:$C$5,MATCH(C1301,PlatformFees!$A$2:$A$5,0)),0)</f>
        <v>0.13</v>
      </c>
      <c r="K1301" s="11">
        <f t="shared" si="80"/>
        <v>9000</v>
      </c>
      <c r="L1301" s="11">
        <f t="shared" si="81"/>
        <v>4628</v>
      </c>
      <c r="M1301" s="11">
        <f t="shared" si="82"/>
        <v>21972</v>
      </c>
      <c r="N1301" s="10">
        <f t="shared" si="83"/>
        <v>0.6171910112359551</v>
      </c>
    </row>
    <row r="1302" spans="1:14" x14ac:dyDescent="0.3">
      <c r="A1302" s="9" t="s">
        <v>1425</v>
      </c>
      <c r="B1302" s="9" t="s">
        <v>1410</v>
      </c>
      <c r="C1302" s="9" t="s">
        <v>36</v>
      </c>
      <c r="D1302" s="9" t="s">
        <v>20</v>
      </c>
      <c r="E1302" s="9">
        <v>2</v>
      </c>
      <c r="F1302" s="11">
        <v>110200</v>
      </c>
      <c r="G1302" s="9" t="str">
        <f>INDEX(Products!$B$2:$B$9,MATCH(D1302,Products!$A$2:$A$9,0))</f>
        <v>Trà cà leo gai giảm cân</v>
      </c>
      <c r="H1302" s="9" t="str">
        <f>INDEX(Products!$C$2:$C$9,MATCH(D1302,Products!$A$2:$A$9,0))</f>
        <v>Detox</v>
      </c>
      <c r="I1302" s="11">
        <f>INDEX(Products!$D$2:$D$9,MATCH(D1302,Products!$A$2:$A$9,0))</f>
        <v>15000</v>
      </c>
      <c r="J1302" s="10">
        <f>IFERROR(INDEX(PlatformFees!$C$2:$C$5,MATCH(C1302,PlatformFees!$A$2:$A$5,0)),0)</f>
        <v>0.13</v>
      </c>
      <c r="K1302" s="11">
        <f t="shared" si="80"/>
        <v>30000</v>
      </c>
      <c r="L1302" s="11">
        <f t="shared" si="81"/>
        <v>14326</v>
      </c>
      <c r="M1302" s="11">
        <f t="shared" si="82"/>
        <v>65874</v>
      </c>
      <c r="N1302" s="10">
        <f t="shared" si="83"/>
        <v>0.59776769509981853</v>
      </c>
    </row>
    <row r="1303" spans="1:14" x14ac:dyDescent="0.3">
      <c r="A1303" s="9" t="s">
        <v>1426</v>
      </c>
      <c r="B1303" s="9" t="s">
        <v>1410</v>
      </c>
      <c r="C1303" s="9" t="s">
        <v>39</v>
      </c>
      <c r="D1303" s="9" t="s">
        <v>25</v>
      </c>
      <c r="E1303" s="9">
        <v>3</v>
      </c>
      <c r="F1303" s="11">
        <v>96900</v>
      </c>
      <c r="G1303" s="9" t="str">
        <f>INDEX(Products!$B$2:$B$9,MATCH(D1303,Products!$A$2:$A$9,0))</f>
        <v>Trà hoa đậu biếc</v>
      </c>
      <c r="H1303" s="9" t="str">
        <f>INDEX(Products!$C$2:$C$9,MATCH(D1303,Products!$A$2:$A$9,0))</f>
        <v>An thần</v>
      </c>
      <c r="I1303" s="11">
        <f>INDEX(Products!$D$2:$D$9,MATCH(D1303,Products!$A$2:$A$9,0))</f>
        <v>8800</v>
      </c>
      <c r="J1303" s="10">
        <f>IFERROR(INDEX(PlatformFees!$C$2:$C$5,MATCH(C1303,PlatformFees!$A$2:$A$5,0)),0)</f>
        <v>0</v>
      </c>
      <c r="K1303" s="11">
        <f t="shared" si="80"/>
        <v>26400</v>
      </c>
      <c r="L1303" s="11">
        <f t="shared" si="81"/>
        <v>0</v>
      </c>
      <c r="M1303" s="11">
        <f t="shared" si="82"/>
        <v>70500</v>
      </c>
      <c r="N1303" s="10">
        <f t="shared" si="83"/>
        <v>0.72755417956656343</v>
      </c>
    </row>
    <row r="1304" spans="1:14" x14ac:dyDescent="0.3">
      <c r="A1304" s="9" t="s">
        <v>1427</v>
      </c>
      <c r="B1304" s="9" t="s">
        <v>1410</v>
      </c>
      <c r="C1304" s="9" t="s">
        <v>39</v>
      </c>
      <c r="D1304" s="9" t="s">
        <v>12</v>
      </c>
      <c r="E1304" s="9">
        <v>1</v>
      </c>
      <c r="F1304" s="11">
        <v>32300</v>
      </c>
      <c r="G1304" s="9" t="str">
        <f>INDEX(Products!$B$2:$B$9,MATCH(D1304,Products!$A$2:$A$9,0))</f>
        <v>Trà atiso thanh lọc</v>
      </c>
      <c r="H1304" s="9" t="str">
        <f>INDEX(Products!$C$2:$C$9,MATCH(D1304,Products!$A$2:$A$9,0))</f>
        <v>Thanh lọc</v>
      </c>
      <c r="I1304" s="11">
        <f>INDEX(Products!$D$2:$D$9,MATCH(D1304,Products!$A$2:$A$9,0))</f>
        <v>9000</v>
      </c>
      <c r="J1304" s="10">
        <f>IFERROR(INDEX(PlatformFees!$C$2:$C$5,MATCH(C1304,PlatformFees!$A$2:$A$5,0)),0)</f>
        <v>0</v>
      </c>
      <c r="K1304" s="11">
        <f t="shared" si="80"/>
        <v>9000</v>
      </c>
      <c r="L1304" s="11">
        <f t="shared" si="81"/>
        <v>0</v>
      </c>
      <c r="M1304" s="11">
        <f t="shared" si="82"/>
        <v>23300</v>
      </c>
      <c r="N1304" s="10">
        <f t="shared" si="83"/>
        <v>0.72136222910216719</v>
      </c>
    </row>
    <row r="1305" spans="1:14" x14ac:dyDescent="0.3">
      <c r="A1305" s="9" t="s">
        <v>1428</v>
      </c>
      <c r="B1305" s="9" t="s">
        <v>1410</v>
      </c>
      <c r="C1305" s="9" t="s">
        <v>40</v>
      </c>
      <c r="D1305" s="9" t="s">
        <v>25</v>
      </c>
      <c r="E1305" s="9">
        <v>2</v>
      </c>
      <c r="F1305" s="11">
        <v>66800</v>
      </c>
      <c r="G1305" s="9" t="str">
        <f>INDEX(Products!$B$2:$B$9,MATCH(D1305,Products!$A$2:$A$9,0))</f>
        <v>Trà hoa đậu biếc</v>
      </c>
      <c r="H1305" s="9" t="str">
        <f>INDEX(Products!$C$2:$C$9,MATCH(D1305,Products!$A$2:$A$9,0))</f>
        <v>An thần</v>
      </c>
      <c r="I1305" s="11">
        <f>INDEX(Products!$D$2:$D$9,MATCH(D1305,Products!$A$2:$A$9,0))</f>
        <v>8800</v>
      </c>
      <c r="J1305" s="10">
        <f>IFERROR(INDEX(PlatformFees!$C$2:$C$5,MATCH(C1305,PlatformFees!$A$2:$A$5,0)),0)</f>
        <v>0</v>
      </c>
      <c r="K1305" s="11">
        <f t="shared" si="80"/>
        <v>17600</v>
      </c>
      <c r="L1305" s="11">
        <f t="shared" si="81"/>
        <v>0</v>
      </c>
      <c r="M1305" s="11">
        <f t="shared" si="82"/>
        <v>49200</v>
      </c>
      <c r="N1305" s="10">
        <f t="shared" si="83"/>
        <v>0.73652694610778446</v>
      </c>
    </row>
    <row r="1306" spans="1:14" x14ac:dyDescent="0.3">
      <c r="A1306" s="9" t="s">
        <v>1429</v>
      </c>
      <c r="B1306" s="9" t="s">
        <v>1410</v>
      </c>
      <c r="C1306" s="9" t="s">
        <v>36</v>
      </c>
      <c r="D1306" s="9" t="s">
        <v>17</v>
      </c>
      <c r="E1306" s="9">
        <v>3</v>
      </c>
      <c r="F1306" s="11">
        <v>116300</v>
      </c>
      <c r="G1306" s="9" t="str">
        <f>INDEX(Products!$B$2:$B$9,MATCH(D1306,Products!$A$2:$A$9,0))</f>
        <v>Trà diếp cá rau má</v>
      </c>
      <c r="H1306" s="9" t="str">
        <f>INDEX(Products!$C$2:$C$9,MATCH(D1306,Products!$A$2:$A$9,0))</f>
        <v>Detox</v>
      </c>
      <c r="I1306" s="11">
        <f>INDEX(Products!$D$2:$D$9,MATCH(D1306,Products!$A$2:$A$9,0))</f>
        <v>10500</v>
      </c>
      <c r="J1306" s="10">
        <f>IFERROR(INDEX(PlatformFees!$C$2:$C$5,MATCH(C1306,PlatformFees!$A$2:$A$5,0)),0)</f>
        <v>0.13</v>
      </c>
      <c r="K1306" s="11">
        <f t="shared" si="80"/>
        <v>31500</v>
      </c>
      <c r="L1306" s="11">
        <f t="shared" si="81"/>
        <v>15119</v>
      </c>
      <c r="M1306" s="11">
        <f t="shared" si="82"/>
        <v>69681</v>
      </c>
      <c r="N1306" s="10">
        <f t="shared" si="83"/>
        <v>0.59914875322441963</v>
      </c>
    </row>
    <row r="1307" spans="1:14" x14ac:dyDescent="0.3">
      <c r="A1307" s="9" t="s">
        <v>1430</v>
      </c>
      <c r="B1307" s="9" t="s">
        <v>1410</v>
      </c>
      <c r="C1307" s="9" t="s">
        <v>36</v>
      </c>
      <c r="D1307" s="9" t="s">
        <v>25</v>
      </c>
      <c r="E1307" s="9">
        <v>1</v>
      </c>
      <c r="F1307" s="11">
        <v>33200</v>
      </c>
      <c r="G1307" s="9" t="str">
        <f>INDEX(Products!$B$2:$B$9,MATCH(D1307,Products!$A$2:$A$9,0))</f>
        <v>Trà hoa đậu biếc</v>
      </c>
      <c r="H1307" s="9" t="str">
        <f>INDEX(Products!$C$2:$C$9,MATCH(D1307,Products!$A$2:$A$9,0))</f>
        <v>An thần</v>
      </c>
      <c r="I1307" s="11">
        <f>INDEX(Products!$D$2:$D$9,MATCH(D1307,Products!$A$2:$A$9,0))</f>
        <v>8800</v>
      </c>
      <c r="J1307" s="10">
        <f>IFERROR(INDEX(PlatformFees!$C$2:$C$5,MATCH(C1307,PlatformFees!$A$2:$A$5,0)),0)</f>
        <v>0.13</v>
      </c>
      <c r="K1307" s="11">
        <f t="shared" si="80"/>
        <v>8800</v>
      </c>
      <c r="L1307" s="11">
        <f t="shared" si="81"/>
        <v>4316</v>
      </c>
      <c r="M1307" s="11">
        <f t="shared" si="82"/>
        <v>20084</v>
      </c>
      <c r="N1307" s="10">
        <f t="shared" si="83"/>
        <v>0.60493975903614461</v>
      </c>
    </row>
    <row r="1308" spans="1:14" x14ac:dyDescent="0.3">
      <c r="A1308" s="9" t="s">
        <v>1431</v>
      </c>
      <c r="B1308" s="9" t="s">
        <v>1410</v>
      </c>
      <c r="C1308" s="9" t="s">
        <v>38</v>
      </c>
      <c r="D1308" s="9" t="s">
        <v>25</v>
      </c>
      <c r="E1308" s="9">
        <v>1</v>
      </c>
      <c r="F1308" s="11">
        <v>32000</v>
      </c>
      <c r="G1308" s="9" t="str">
        <f>INDEX(Products!$B$2:$B$9,MATCH(D1308,Products!$A$2:$A$9,0))</f>
        <v>Trà hoa đậu biếc</v>
      </c>
      <c r="H1308" s="9" t="str">
        <f>INDEX(Products!$C$2:$C$9,MATCH(D1308,Products!$A$2:$A$9,0))</f>
        <v>An thần</v>
      </c>
      <c r="I1308" s="11">
        <f>INDEX(Products!$D$2:$D$9,MATCH(D1308,Products!$A$2:$A$9,0))</f>
        <v>8800</v>
      </c>
      <c r="J1308" s="10">
        <f>IFERROR(INDEX(PlatformFees!$C$2:$C$5,MATCH(C1308,PlatformFees!$A$2:$A$5,0)),0)</f>
        <v>0.16</v>
      </c>
      <c r="K1308" s="11">
        <f t="shared" si="80"/>
        <v>8800</v>
      </c>
      <c r="L1308" s="11">
        <f t="shared" si="81"/>
        <v>5120</v>
      </c>
      <c r="M1308" s="11">
        <f t="shared" si="82"/>
        <v>18080</v>
      </c>
      <c r="N1308" s="10">
        <f t="shared" si="83"/>
        <v>0.56499999999999995</v>
      </c>
    </row>
    <row r="1309" spans="1:14" x14ac:dyDescent="0.3">
      <c r="A1309" s="9" t="s">
        <v>1432</v>
      </c>
      <c r="B1309" s="9" t="s">
        <v>1410</v>
      </c>
      <c r="C1309" s="9" t="s">
        <v>36</v>
      </c>
      <c r="D1309" s="9" t="s">
        <v>20</v>
      </c>
      <c r="E1309" s="9">
        <v>1</v>
      </c>
      <c r="F1309" s="11">
        <v>51800</v>
      </c>
      <c r="G1309" s="9" t="str">
        <f>INDEX(Products!$B$2:$B$9,MATCH(D1309,Products!$A$2:$A$9,0))</f>
        <v>Trà cà leo gai giảm cân</v>
      </c>
      <c r="H1309" s="9" t="str">
        <f>INDEX(Products!$C$2:$C$9,MATCH(D1309,Products!$A$2:$A$9,0))</f>
        <v>Detox</v>
      </c>
      <c r="I1309" s="11">
        <f>INDEX(Products!$D$2:$D$9,MATCH(D1309,Products!$A$2:$A$9,0))</f>
        <v>15000</v>
      </c>
      <c r="J1309" s="10">
        <f>IFERROR(INDEX(PlatformFees!$C$2:$C$5,MATCH(C1309,PlatformFees!$A$2:$A$5,0)),0)</f>
        <v>0.13</v>
      </c>
      <c r="K1309" s="11">
        <f t="shared" si="80"/>
        <v>15000</v>
      </c>
      <c r="L1309" s="11">
        <f t="shared" si="81"/>
        <v>6734</v>
      </c>
      <c r="M1309" s="11">
        <f t="shared" si="82"/>
        <v>30066</v>
      </c>
      <c r="N1309" s="10">
        <f t="shared" si="83"/>
        <v>0.58042471042471044</v>
      </c>
    </row>
    <row r="1310" spans="1:14" x14ac:dyDescent="0.3">
      <c r="A1310" s="9" t="s">
        <v>1433</v>
      </c>
      <c r="B1310" s="9" t="s">
        <v>1434</v>
      </c>
      <c r="C1310" s="9" t="s">
        <v>36</v>
      </c>
      <c r="D1310" s="9" t="s">
        <v>30</v>
      </c>
      <c r="E1310" s="9">
        <v>1</v>
      </c>
      <c r="F1310" s="11">
        <v>36900</v>
      </c>
      <c r="G1310" s="9" t="str">
        <f>INDEX(Products!$B$2:$B$9,MATCH(D1310,Products!$A$2:$A$9,0))</f>
        <v>Trà mâm xôi vitamin</v>
      </c>
      <c r="H1310" s="9" t="str">
        <f>INDEX(Products!$C$2:$C$9,MATCH(D1310,Products!$A$2:$A$9,0))</f>
        <v>Bổ sung dưỡng chất</v>
      </c>
      <c r="I1310" s="11">
        <f>INDEX(Products!$D$2:$D$9,MATCH(D1310,Products!$A$2:$A$9,0))</f>
        <v>9800</v>
      </c>
      <c r="J1310" s="10">
        <f>IFERROR(INDEX(PlatformFees!$C$2:$C$5,MATCH(C1310,PlatformFees!$A$2:$A$5,0)),0)</f>
        <v>0.13</v>
      </c>
      <c r="K1310" s="11">
        <f t="shared" si="80"/>
        <v>9800</v>
      </c>
      <c r="L1310" s="11">
        <f t="shared" si="81"/>
        <v>4797</v>
      </c>
      <c r="M1310" s="11">
        <f t="shared" si="82"/>
        <v>22303</v>
      </c>
      <c r="N1310" s="10">
        <f t="shared" si="83"/>
        <v>0.60441734417344173</v>
      </c>
    </row>
    <row r="1311" spans="1:14" x14ac:dyDescent="0.3">
      <c r="A1311" s="9" t="s">
        <v>1435</v>
      </c>
      <c r="B1311" s="9" t="s">
        <v>1434</v>
      </c>
      <c r="C1311" s="9" t="s">
        <v>36</v>
      </c>
      <c r="D1311" s="9" t="s">
        <v>22</v>
      </c>
      <c r="E1311" s="9">
        <v>1</v>
      </c>
      <c r="F1311" s="11">
        <v>38100</v>
      </c>
      <c r="G1311" s="9" t="str">
        <f>INDEX(Products!$B$2:$B$9,MATCH(D1311,Products!$A$2:$A$9,0))</f>
        <v>Trà hoa cúc an thần</v>
      </c>
      <c r="H1311" s="9" t="str">
        <f>INDEX(Products!$C$2:$C$9,MATCH(D1311,Products!$A$2:$A$9,0))</f>
        <v>An thần</v>
      </c>
      <c r="I1311" s="11">
        <f>INDEX(Products!$D$2:$D$9,MATCH(D1311,Products!$A$2:$A$9,0))</f>
        <v>9500</v>
      </c>
      <c r="J1311" s="10">
        <f>IFERROR(INDEX(PlatformFees!$C$2:$C$5,MATCH(C1311,PlatformFees!$A$2:$A$5,0)),0)</f>
        <v>0.13</v>
      </c>
      <c r="K1311" s="11">
        <f t="shared" si="80"/>
        <v>9500</v>
      </c>
      <c r="L1311" s="11">
        <f t="shared" si="81"/>
        <v>4953</v>
      </c>
      <c r="M1311" s="11">
        <f t="shared" si="82"/>
        <v>23647</v>
      </c>
      <c r="N1311" s="10">
        <f t="shared" si="83"/>
        <v>0.62065616797900258</v>
      </c>
    </row>
    <row r="1312" spans="1:14" x14ac:dyDescent="0.3">
      <c r="A1312" s="9" t="s">
        <v>1436</v>
      </c>
      <c r="B1312" s="9" t="s">
        <v>1434</v>
      </c>
      <c r="C1312" s="9" t="s">
        <v>36</v>
      </c>
      <c r="D1312" s="9" t="s">
        <v>30</v>
      </c>
      <c r="E1312" s="9">
        <v>2</v>
      </c>
      <c r="F1312" s="11">
        <v>73100</v>
      </c>
      <c r="G1312" s="9" t="str">
        <f>INDEX(Products!$B$2:$B$9,MATCH(D1312,Products!$A$2:$A$9,0))</f>
        <v>Trà mâm xôi vitamin</v>
      </c>
      <c r="H1312" s="9" t="str">
        <f>INDEX(Products!$C$2:$C$9,MATCH(D1312,Products!$A$2:$A$9,0))</f>
        <v>Bổ sung dưỡng chất</v>
      </c>
      <c r="I1312" s="11">
        <f>INDEX(Products!$D$2:$D$9,MATCH(D1312,Products!$A$2:$A$9,0))</f>
        <v>9800</v>
      </c>
      <c r="J1312" s="10">
        <f>IFERROR(INDEX(PlatformFees!$C$2:$C$5,MATCH(C1312,PlatformFees!$A$2:$A$5,0)),0)</f>
        <v>0.13</v>
      </c>
      <c r="K1312" s="11">
        <f t="shared" si="80"/>
        <v>19600</v>
      </c>
      <c r="L1312" s="11">
        <f t="shared" si="81"/>
        <v>9503</v>
      </c>
      <c r="M1312" s="11">
        <f t="shared" si="82"/>
        <v>43997</v>
      </c>
      <c r="N1312" s="10">
        <f t="shared" si="83"/>
        <v>0.60187414500684</v>
      </c>
    </row>
    <row r="1313" spans="1:14" x14ac:dyDescent="0.3">
      <c r="A1313" s="9" t="s">
        <v>1437</v>
      </c>
      <c r="B1313" s="9" t="s">
        <v>1434</v>
      </c>
      <c r="C1313" s="9" t="s">
        <v>38</v>
      </c>
      <c r="D1313" s="9" t="s">
        <v>17</v>
      </c>
      <c r="E1313" s="9">
        <v>2</v>
      </c>
      <c r="F1313" s="11">
        <v>85500</v>
      </c>
      <c r="G1313" s="9" t="str">
        <f>INDEX(Products!$B$2:$B$9,MATCH(D1313,Products!$A$2:$A$9,0))</f>
        <v>Trà diếp cá rau má</v>
      </c>
      <c r="H1313" s="9" t="str">
        <f>INDEX(Products!$C$2:$C$9,MATCH(D1313,Products!$A$2:$A$9,0))</f>
        <v>Detox</v>
      </c>
      <c r="I1313" s="11">
        <f>INDEX(Products!$D$2:$D$9,MATCH(D1313,Products!$A$2:$A$9,0))</f>
        <v>10500</v>
      </c>
      <c r="J1313" s="10">
        <f>IFERROR(INDEX(PlatformFees!$C$2:$C$5,MATCH(C1313,PlatformFees!$A$2:$A$5,0)),0)</f>
        <v>0.16</v>
      </c>
      <c r="K1313" s="11">
        <f t="shared" si="80"/>
        <v>21000</v>
      </c>
      <c r="L1313" s="11">
        <f t="shared" si="81"/>
        <v>13680</v>
      </c>
      <c r="M1313" s="11">
        <f t="shared" si="82"/>
        <v>50820</v>
      </c>
      <c r="N1313" s="10">
        <f t="shared" si="83"/>
        <v>0.59438596491228068</v>
      </c>
    </row>
    <row r="1314" spans="1:14" x14ac:dyDescent="0.3">
      <c r="A1314" s="9" t="s">
        <v>1438</v>
      </c>
      <c r="B1314" s="9" t="s">
        <v>1434</v>
      </c>
      <c r="C1314" s="9" t="s">
        <v>36</v>
      </c>
      <c r="D1314" s="9" t="s">
        <v>25</v>
      </c>
      <c r="E1314" s="9">
        <v>2</v>
      </c>
      <c r="F1314" s="11">
        <v>68100</v>
      </c>
      <c r="G1314" s="9" t="str">
        <f>INDEX(Products!$B$2:$B$9,MATCH(D1314,Products!$A$2:$A$9,0))</f>
        <v>Trà hoa đậu biếc</v>
      </c>
      <c r="H1314" s="9" t="str">
        <f>INDEX(Products!$C$2:$C$9,MATCH(D1314,Products!$A$2:$A$9,0))</f>
        <v>An thần</v>
      </c>
      <c r="I1314" s="11">
        <f>INDEX(Products!$D$2:$D$9,MATCH(D1314,Products!$A$2:$A$9,0))</f>
        <v>8800</v>
      </c>
      <c r="J1314" s="10">
        <f>IFERROR(INDEX(PlatformFees!$C$2:$C$5,MATCH(C1314,PlatformFees!$A$2:$A$5,0)),0)</f>
        <v>0.13</v>
      </c>
      <c r="K1314" s="11">
        <f t="shared" si="80"/>
        <v>17600</v>
      </c>
      <c r="L1314" s="11">
        <f t="shared" si="81"/>
        <v>8853</v>
      </c>
      <c r="M1314" s="11">
        <f t="shared" si="82"/>
        <v>41647</v>
      </c>
      <c r="N1314" s="10">
        <f t="shared" si="83"/>
        <v>0.61155653450807634</v>
      </c>
    </row>
    <row r="1315" spans="1:14" x14ac:dyDescent="0.3">
      <c r="A1315" s="9" t="s">
        <v>1439</v>
      </c>
      <c r="B1315" s="9" t="s">
        <v>1434</v>
      </c>
      <c r="C1315" s="9" t="s">
        <v>36</v>
      </c>
      <c r="D1315" s="9" t="s">
        <v>17</v>
      </c>
      <c r="E1315" s="9">
        <v>2</v>
      </c>
      <c r="F1315" s="11">
        <v>86000</v>
      </c>
      <c r="G1315" s="9" t="str">
        <f>INDEX(Products!$B$2:$B$9,MATCH(D1315,Products!$A$2:$A$9,0))</f>
        <v>Trà diếp cá rau má</v>
      </c>
      <c r="H1315" s="9" t="str">
        <f>INDEX(Products!$C$2:$C$9,MATCH(D1315,Products!$A$2:$A$9,0))</f>
        <v>Detox</v>
      </c>
      <c r="I1315" s="11">
        <f>INDEX(Products!$D$2:$D$9,MATCH(D1315,Products!$A$2:$A$9,0))</f>
        <v>10500</v>
      </c>
      <c r="J1315" s="10">
        <f>IFERROR(INDEX(PlatformFees!$C$2:$C$5,MATCH(C1315,PlatformFees!$A$2:$A$5,0)),0)</f>
        <v>0.13</v>
      </c>
      <c r="K1315" s="11">
        <f t="shared" si="80"/>
        <v>21000</v>
      </c>
      <c r="L1315" s="11">
        <f t="shared" si="81"/>
        <v>11180</v>
      </c>
      <c r="M1315" s="11">
        <f t="shared" si="82"/>
        <v>53820</v>
      </c>
      <c r="N1315" s="10">
        <f t="shared" si="83"/>
        <v>0.6258139534883721</v>
      </c>
    </row>
    <row r="1316" spans="1:14" x14ac:dyDescent="0.3">
      <c r="A1316" s="9" t="s">
        <v>1440</v>
      </c>
      <c r="B1316" s="9" t="s">
        <v>1434</v>
      </c>
      <c r="C1316" s="9" t="s">
        <v>38</v>
      </c>
      <c r="D1316" s="9" t="s">
        <v>20</v>
      </c>
      <c r="E1316" s="9">
        <v>3</v>
      </c>
      <c r="F1316" s="11">
        <v>167700</v>
      </c>
      <c r="G1316" s="9" t="str">
        <f>INDEX(Products!$B$2:$B$9,MATCH(D1316,Products!$A$2:$A$9,0))</f>
        <v>Trà cà leo gai giảm cân</v>
      </c>
      <c r="H1316" s="9" t="str">
        <f>INDEX(Products!$C$2:$C$9,MATCH(D1316,Products!$A$2:$A$9,0))</f>
        <v>Detox</v>
      </c>
      <c r="I1316" s="11">
        <f>INDEX(Products!$D$2:$D$9,MATCH(D1316,Products!$A$2:$A$9,0))</f>
        <v>15000</v>
      </c>
      <c r="J1316" s="10">
        <f>IFERROR(INDEX(PlatformFees!$C$2:$C$5,MATCH(C1316,PlatformFees!$A$2:$A$5,0)),0)</f>
        <v>0.16</v>
      </c>
      <c r="K1316" s="11">
        <f t="shared" si="80"/>
        <v>45000</v>
      </c>
      <c r="L1316" s="11">
        <f t="shared" si="81"/>
        <v>26832</v>
      </c>
      <c r="M1316" s="11">
        <f t="shared" si="82"/>
        <v>95868</v>
      </c>
      <c r="N1316" s="10">
        <f t="shared" si="83"/>
        <v>0.57166368515205723</v>
      </c>
    </row>
    <row r="1317" spans="1:14" x14ac:dyDescent="0.3">
      <c r="A1317" s="9" t="s">
        <v>1441</v>
      </c>
      <c r="B1317" s="9" t="s">
        <v>1434</v>
      </c>
      <c r="C1317" s="9" t="s">
        <v>39</v>
      </c>
      <c r="D1317" s="9" t="s">
        <v>22</v>
      </c>
      <c r="E1317" s="9">
        <v>2</v>
      </c>
      <c r="F1317" s="11">
        <v>73700</v>
      </c>
      <c r="G1317" s="9" t="str">
        <f>INDEX(Products!$B$2:$B$9,MATCH(D1317,Products!$A$2:$A$9,0))</f>
        <v>Trà hoa cúc an thần</v>
      </c>
      <c r="H1317" s="9" t="str">
        <f>INDEX(Products!$C$2:$C$9,MATCH(D1317,Products!$A$2:$A$9,0))</f>
        <v>An thần</v>
      </c>
      <c r="I1317" s="11">
        <f>INDEX(Products!$D$2:$D$9,MATCH(D1317,Products!$A$2:$A$9,0))</f>
        <v>9500</v>
      </c>
      <c r="J1317" s="10">
        <f>IFERROR(INDEX(PlatformFees!$C$2:$C$5,MATCH(C1317,PlatformFees!$A$2:$A$5,0)),0)</f>
        <v>0</v>
      </c>
      <c r="K1317" s="11">
        <f t="shared" si="80"/>
        <v>19000</v>
      </c>
      <c r="L1317" s="11">
        <f t="shared" si="81"/>
        <v>0</v>
      </c>
      <c r="M1317" s="11">
        <f t="shared" si="82"/>
        <v>54700</v>
      </c>
      <c r="N1317" s="10">
        <f t="shared" si="83"/>
        <v>0.74219810040705558</v>
      </c>
    </row>
    <row r="1318" spans="1:14" x14ac:dyDescent="0.3">
      <c r="A1318" s="9" t="s">
        <v>1442</v>
      </c>
      <c r="B1318" s="9" t="s">
        <v>1434</v>
      </c>
      <c r="C1318" s="9" t="s">
        <v>39</v>
      </c>
      <c r="D1318" s="9" t="s">
        <v>30</v>
      </c>
      <c r="E1318" s="9">
        <v>1</v>
      </c>
      <c r="F1318" s="11">
        <v>35200</v>
      </c>
      <c r="G1318" s="9" t="str">
        <f>INDEX(Products!$B$2:$B$9,MATCH(D1318,Products!$A$2:$A$9,0))</f>
        <v>Trà mâm xôi vitamin</v>
      </c>
      <c r="H1318" s="9" t="str">
        <f>INDEX(Products!$C$2:$C$9,MATCH(D1318,Products!$A$2:$A$9,0))</f>
        <v>Bổ sung dưỡng chất</v>
      </c>
      <c r="I1318" s="11">
        <f>INDEX(Products!$D$2:$D$9,MATCH(D1318,Products!$A$2:$A$9,0))</f>
        <v>9800</v>
      </c>
      <c r="J1318" s="10">
        <f>IFERROR(INDEX(PlatformFees!$C$2:$C$5,MATCH(C1318,PlatformFees!$A$2:$A$5,0)),0)</f>
        <v>0</v>
      </c>
      <c r="K1318" s="11">
        <f t="shared" si="80"/>
        <v>9800</v>
      </c>
      <c r="L1318" s="11">
        <f t="shared" si="81"/>
        <v>0</v>
      </c>
      <c r="M1318" s="11">
        <f t="shared" si="82"/>
        <v>25400</v>
      </c>
      <c r="N1318" s="10">
        <f t="shared" si="83"/>
        <v>0.72159090909090906</v>
      </c>
    </row>
    <row r="1319" spans="1:14" x14ac:dyDescent="0.3">
      <c r="A1319" s="9" t="s">
        <v>1443</v>
      </c>
      <c r="B1319" s="9" t="s">
        <v>1434</v>
      </c>
      <c r="C1319" s="9" t="s">
        <v>36</v>
      </c>
      <c r="D1319" s="9" t="s">
        <v>25</v>
      </c>
      <c r="E1319" s="9">
        <v>2</v>
      </c>
      <c r="F1319" s="11">
        <v>65500</v>
      </c>
      <c r="G1319" s="9" t="str">
        <f>INDEX(Products!$B$2:$B$9,MATCH(D1319,Products!$A$2:$A$9,0))</f>
        <v>Trà hoa đậu biếc</v>
      </c>
      <c r="H1319" s="9" t="str">
        <f>INDEX(Products!$C$2:$C$9,MATCH(D1319,Products!$A$2:$A$9,0))</f>
        <v>An thần</v>
      </c>
      <c r="I1319" s="11">
        <f>INDEX(Products!$D$2:$D$9,MATCH(D1319,Products!$A$2:$A$9,0))</f>
        <v>8800</v>
      </c>
      <c r="J1319" s="10">
        <f>IFERROR(INDEX(PlatformFees!$C$2:$C$5,MATCH(C1319,PlatformFees!$A$2:$A$5,0)),0)</f>
        <v>0.13</v>
      </c>
      <c r="K1319" s="11">
        <f t="shared" si="80"/>
        <v>17600</v>
      </c>
      <c r="L1319" s="11">
        <f t="shared" si="81"/>
        <v>8515</v>
      </c>
      <c r="M1319" s="11">
        <f t="shared" si="82"/>
        <v>39385</v>
      </c>
      <c r="N1319" s="10">
        <f t="shared" si="83"/>
        <v>0.60129770992366416</v>
      </c>
    </row>
    <row r="1320" spans="1:14" x14ac:dyDescent="0.3">
      <c r="A1320" s="9" t="s">
        <v>1444</v>
      </c>
      <c r="B1320" s="9" t="s">
        <v>1434</v>
      </c>
      <c r="C1320" s="9" t="s">
        <v>39</v>
      </c>
      <c r="D1320" s="9" t="s">
        <v>30</v>
      </c>
      <c r="E1320" s="9">
        <v>1</v>
      </c>
      <c r="F1320" s="11">
        <v>34300</v>
      </c>
      <c r="G1320" s="9" t="str">
        <f>INDEX(Products!$B$2:$B$9,MATCH(D1320,Products!$A$2:$A$9,0))</f>
        <v>Trà mâm xôi vitamin</v>
      </c>
      <c r="H1320" s="9" t="str">
        <f>INDEX(Products!$C$2:$C$9,MATCH(D1320,Products!$A$2:$A$9,0))</f>
        <v>Bổ sung dưỡng chất</v>
      </c>
      <c r="I1320" s="11">
        <f>INDEX(Products!$D$2:$D$9,MATCH(D1320,Products!$A$2:$A$9,0))</f>
        <v>9800</v>
      </c>
      <c r="J1320" s="10">
        <f>IFERROR(INDEX(PlatformFees!$C$2:$C$5,MATCH(C1320,PlatformFees!$A$2:$A$5,0)),0)</f>
        <v>0</v>
      </c>
      <c r="K1320" s="11">
        <f t="shared" si="80"/>
        <v>9800</v>
      </c>
      <c r="L1320" s="11">
        <f t="shared" si="81"/>
        <v>0</v>
      </c>
      <c r="M1320" s="11">
        <f t="shared" si="82"/>
        <v>24500</v>
      </c>
      <c r="N1320" s="10">
        <f t="shared" si="83"/>
        <v>0.7142857142857143</v>
      </c>
    </row>
    <row r="1321" spans="1:14" x14ac:dyDescent="0.3">
      <c r="A1321" s="9" t="s">
        <v>1445</v>
      </c>
      <c r="B1321" s="9" t="s">
        <v>1434</v>
      </c>
      <c r="C1321" s="9" t="s">
        <v>36</v>
      </c>
      <c r="D1321" s="9" t="s">
        <v>17</v>
      </c>
      <c r="E1321" s="9">
        <v>1</v>
      </c>
      <c r="F1321" s="11">
        <v>40800</v>
      </c>
      <c r="G1321" s="9" t="str">
        <f>INDEX(Products!$B$2:$B$9,MATCH(D1321,Products!$A$2:$A$9,0))</f>
        <v>Trà diếp cá rau má</v>
      </c>
      <c r="H1321" s="9" t="str">
        <f>INDEX(Products!$C$2:$C$9,MATCH(D1321,Products!$A$2:$A$9,0))</f>
        <v>Detox</v>
      </c>
      <c r="I1321" s="11">
        <f>INDEX(Products!$D$2:$D$9,MATCH(D1321,Products!$A$2:$A$9,0))</f>
        <v>10500</v>
      </c>
      <c r="J1321" s="10">
        <f>IFERROR(INDEX(PlatformFees!$C$2:$C$5,MATCH(C1321,PlatformFees!$A$2:$A$5,0)),0)</f>
        <v>0.13</v>
      </c>
      <c r="K1321" s="11">
        <f t="shared" si="80"/>
        <v>10500</v>
      </c>
      <c r="L1321" s="11">
        <f t="shared" si="81"/>
        <v>5304</v>
      </c>
      <c r="M1321" s="11">
        <f t="shared" si="82"/>
        <v>24996</v>
      </c>
      <c r="N1321" s="10">
        <f t="shared" si="83"/>
        <v>0.61264705882352943</v>
      </c>
    </row>
    <row r="1322" spans="1:14" x14ac:dyDescent="0.3">
      <c r="A1322" s="9" t="s">
        <v>1446</v>
      </c>
      <c r="B1322" s="9" t="s">
        <v>1434</v>
      </c>
      <c r="C1322" s="9" t="s">
        <v>36</v>
      </c>
      <c r="D1322" s="9" t="s">
        <v>22</v>
      </c>
      <c r="E1322" s="9">
        <v>1</v>
      </c>
      <c r="F1322" s="11">
        <v>37800</v>
      </c>
      <c r="G1322" s="9" t="str">
        <f>INDEX(Products!$B$2:$B$9,MATCH(D1322,Products!$A$2:$A$9,0))</f>
        <v>Trà hoa cúc an thần</v>
      </c>
      <c r="H1322" s="9" t="str">
        <f>INDEX(Products!$C$2:$C$9,MATCH(D1322,Products!$A$2:$A$9,0))</f>
        <v>An thần</v>
      </c>
      <c r="I1322" s="11">
        <f>INDEX(Products!$D$2:$D$9,MATCH(D1322,Products!$A$2:$A$9,0))</f>
        <v>9500</v>
      </c>
      <c r="J1322" s="10">
        <f>IFERROR(INDEX(PlatformFees!$C$2:$C$5,MATCH(C1322,PlatformFees!$A$2:$A$5,0)),0)</f>
        <v>0.13</v>
      </c>
      <c r="K1322" s="11">
        <f t="shared" si="80"/>
        <v>9500</v>
      </c>
      <c r="L1322" s="11">
        <f t="shared" si="81"/>
        <v>4914</v>
      </c>
      <c r="M1322" s="11">
        <f t="shared" si="82"/>
        <v>23386</v>
      </c>
      <c r="N1322" s="10">
        <f t="shared" si="83"/>
        <v>0.61867724867724871</v>
      </c>
    </row>
    <row r="1323" spans="1:14" x14ac:dyDescent="0.3">
      <c r="A1323" s="9" t="s">
        <v>1447</v>
      </c>
      <c r="B1323" s="9" t="s">
        <v>1434</v>
      </c>
      <c r="C1323" s="9" t="s">
        <v>40</v>
      </c>
      <c r="D1323" s="9" t="s">
        <v>22</v>
      </c>
      <c r="E1323" s="9">
        <v>3</v>
      </c>
      <c r="F1323" s="11">
        <v>110500</v>
      </c>
      <c r="G1323" s="9" t="str">
        <f>INDEX(Products!$B$2:$B$9,MATCH(D1323,Products!$A$2:$A$9,0))</f>
        <v>Trà hoa cúc an thần</v>
      </c>
      <c r="H1323" s="9" t="str">
        <f>INDEX(Products!$C$2:$C$9,MATCH(D1323,Products!$A$2:$A$9,0))</f>
        <v>An thần</v>
      </c>
      <c r="I1323" s="11">
        <f>INDEX(Products!$D$2:$D$9,MATCH(D1323,Products!$A$2:$A$9,0))</f>
        <v>9500</v>
      </c>
      <c r="J1323" s="10">
        <f>IFERROR(INDEX(PlatformFees!$C$2:$C$5,MATCH(C1323,PlatformFees!$A$2:$A$5,0)),0)</f>
        <v>0</v>
      </c>
      <c r="K1323" s="11">
        <f t="shared" si="80"/>
        <v>28500</v>
      </c>
      <c r="L1323" s="11">
        <f t="shared" si="81"/>
        <v>0</v>
      </c>
      <c r="M1323" s="11">
        <f t="shared" si="82"/>
        <v>82000</v>
      </c>
      <c r="N1323" s="10">
        <f t="shared" si="83"/>
        <v>0.74208144796380093</v>
      </c>
    </row>
    <row r="1324" spans="1:14" x14ac:dyDescent="0.3">
      <c r="A1324" s="9" t="s">
        <v>1448</v>
      </c>
      <c r="B1324" s="9" t="s">
        <v>1434</v>
      </c>
      <c r="C1324" s="9" t="s">
        <v>39</v>
      </c>
      <c r="D1324" s="9" t="s">
        <v>12</v>
      </c>
      <c r="E1324" s="9">
        <v>2</v>
      </c>
      <c r="F1324" s="11">
        <v>71600</v>
      </c>
      <c r="G1324" s="9" t="str">
        <f>INDEX(Products!$B$2:$B$9,MATCH(D1324,Products!$A$2:$A$9,0))</f>
        <v>Trà atiso thanh lọc</v>
      </c>
      <c r="H1324" s="9" t="str">
        <f>INDEX(Products!$C$2:$C$9,MATCH(D1324,Products!$A$2:$A$9,0))</f>
        <v>Thanh lọc</v>
      </c>
      <c r="I1324" s="11">
        <f>INDEX(Products!$D$2:$D$9,MATCH(D1324,Products!$A$2:$A$9,0))</f>
        <v>9000</v>
      </c>
      <c r="J1324" s="10">
        <f>IFERROR(INDEX(PlatformFees!$C$2:$C$5,MATCH(C1324,PlatformFees!$A$2:$A$5,0)),0)</f>
        <v>0</v>
      </c>
      <c r="K1324" s="11">
        <f t="shared" si="80"/>
        <v>18000</v>
      </c>
      <c r="L1324" s="11">
        <f t="shared" si="81"/>
        <v>0</v>
      </c>
      <c r="M1324" s="11">
        <f t="shared" si="82"/>
        <v>53600</v>
      </c>
      <c r="N1324" s="10">
        <f t="shared" si="83"/>
        <v>0.74860335195530725</v>
      </c>
    </row>
    <row r="1325" spans="1:14" x14ac:dyDescent="0.3">
      <c r="A1325" s="9" t="s">
        <v>1449</v>
      </c>
      <c r="B1325" s="9" t="s">
        <v>1450</v>
      </c>
      <c r="C1325" s="9" t="s">
        <v>38</v>
      </c>
      <c r="D1325" s="9" t="s">
        <v>17</v>
      </c>
      <c r="E1325" s="9">
        <v>1</v>
      </c>
      <c r="F1325" s="11">
        <v>40700</v>
      </c>
      <c r="G1325" s="9" t="str">
        <f>INDEX(Products!$B$2:$B$9,MATCH(D1325,Products!$A$2:$A$9,0))</f>
        <v>Trà diếp cá rau má</v>
      </c>
      <c r="H1325" s="9" t="str">
        <f>INDEX(Products!$C$2:$C$9,MATCH(D1325,Products!$A$2:$A$9,0))</f>
        <v>Detox</v>
      </c>
      <c r="I1325" s="11">
        <f>INDEX(Products!$D$2:$D$9,MATCH(D1325,Products!$A$2:$A$9,0))</f>
        <v>10500</v>
      </c>
      <c r="J1325" s="10">
        <f>IFERROR(INDEX(PlatformFees!$C$2:$C$5,MATCH(C1325,PlatformFees!$A$2:$A$5,0)),0)</f>
        <v>0.16</v>
      </c>
      <c r="K1325" s="11">
        <f t="shared" si="80"/>
        <v>10500</v>
      </c>
      <c r="L1325" s="11">
        <f t="shared" si="81"/>
        <v>6512</v>
      </c>
      <c r="M1325" s="11">
        <f t="shared" si="82"/>
        <v>23688</v>
      </c>
      <c r="N1325" s="10">
        <f t="shared" si="83"/>
        <v>0.58201474201474201</v>
      </c>
    </row>
    <row r="1326" spans="1:14" x14ac:dyDescent="0.3">
      <c r="A1326" s="9" t="s">
        <v>1451</v>
      </c>
      <c r="B1326" s="9" t="s">
        <v>1450</v>
      </c>
      <c r="C1326" s="9" t="s">
        <v>36</v>
      </c>
      <c r="D1326" s="9" t="s">
        <v>20</v>
      </c>
      <c r="E1326" s="9">
        <v>3</v>
      </c>
      <c r="F1326" s="11">
        <v>168100</v>
      </c>
      <c r="G1326" s="9" t="str">
        <f>INDEX(Products!$B$2:$B$9,MATCH(D1326,Products!$A$2:$A$9,0))</f>
        <v>Trà cà leo gai giảm cân</v>
      </c>
      <c r="H1326" s="9" t="str">
        <f>INDEX(Products!$C$2:$C$9,MATCH(D1326,Products!$A$2:$A$9,0))</f>
        <v>Detox</v>
      </c>
      <c r="I1326" s="11">
        <f>INDEX(Products!$D$2:$D$9,MATCH(D1326,Products!$A$2:$A$9,0))</f>
        <v>15000</v>
      </c>
      <c r="J1326" s="10">
        <f>IFERROR(INDEX(PlatformFees!$C$2:$C$5,MATCH(C1326,PlatformFees!$A$2:$A$5,0)),0)</f>
        <v>0.13</v>
      </c>
      <c r="K1326" s="11">
        <f t="shared" si="80"/>
        <v>45000</v>
      </c>
      <c r="L1326" s="11">
        <f t="shared" si="81"/>
        <v>21853</v>
      </c>
      <c r="M1326" s="11">
        <f t="shared" si="82"/>
        <v>101247</v>
      </c>
      <c r="N1326" s="10">
        <f t="shared" si="83"/>
        <v>0.60230220107079124</v>
      </c>
    </row>
    <row r="1327" spans="1:14" x14ac:dyDescent="0.3">
      <c r="A1327" s="9" t="s">
        <v>1452</v>
      </c>
      <c r="B1327" s="9" t="s">
        <v>1450</v>
      </c>
      <c r="C1327" s="9" t="s">
        <v>39</v>
      </c>
      <c r="D1327" s="9" t="s">
        <v>12</v>
      </c>
      <c r="E1327" s="9">
        <v>1</v>
      </c>
      <c r="F1327" s="11">
        <v>34900</v>
      </c>
      <c r="G1327" s="9" t="str">
        <f>INDEX(Products!$B$2:$B$9,MATCH(D1327,Products!$A$2:$A$9,0))</f>
        <v>Trà atiso thanh lọc</v>
      </c>
      <c r="H1327" s="9" t="str">
        <f>INDEX(Products!$C$2:$C$9,MATCH(D1327,Products!$A$2:$A$9,0))</f>
        <v>Thanh lọc</v>
      </c>
      <c r="I1327" s="11">
        <f>INDEX(Products!$D$2:$D$9,MATCH(D1327,Products!$A$2:$A$9,0))</f>
        <v>9000</v>
      </c>
      <c r="J1327" s="10">
        <f>IFERROR(INDEX(PlatformFees!$C$2:$C$5,MATCH(C1327,PlatformFees!$A$2:$A$5,0)),0)</f>
        <v>0</v>
      </c>
      <c r="K1327" s="11">
        <f t="shared" si="80"/>
        <v>9000</v>
      </c>
      <c r="L1327" s="11">
        <f t="shared" si="81"/>
        <v>0</v>
      </c>
      <c r="M1327" s="11">
        <f t="shared" si="82"/>
        <v>25900</v>
      </c>
      <c r="N1327" s="10">
        <f t="shared" si="83"/>
        <v>0.74212034383954151</v>
      </c>
    </row>
    <row r="1328" spans="1:14" x14ac:dyDescent="0.3">
      <c r="A1328" s="9" t="s">
        <v>1453</v>
      </c>
      <c r="B1328" s="9" t="s">
        <v>1450</v>
      </c>
      <c r="C1328" s="9" t="s">
        <v>40</v>
      </c>
      <c r="D1328" s="9" t="s">
        <v>27</v>
      </c>
      <c r="E1328" s="9">
        <v>3</v>
      </c>
      <c r="F1328" s="11">
        <v>120100</v>
      </c>
      <c r="G1328" s="9" t="str">
        <f>INDEX(Products!$B$2:$B$9,MATCH(D1328,Products!$A$2:$A$9,0))</f>
        <v>Trà gừng mật ong</v>
      </c>
      <c r="H1328" s="9" t="str">
        <f>INDEX(Products!$C$2:$C$9,MATCH(D1328,Products!$A$2:$A$9,0))</f>
        <v>Giữ ấm</v>
      </c>
      <c r="I1328" s="11">
        <f>INDEX(Products!$D$2:$D$9,MATCH(D1328,Products!$A$2:$A$9,0))</f>
        <v>11000</v>
      </c>
      <c r="J1328" s="10">
        <f>IFERROR(INDEX(PlatformFees!$C$2:$C$5,MATCH(C1328,PlatformFees!$A$2:$A$5,0)),0)</f>
        <v>0</v>
      </c>
      <c r="K1328" s="11">
        <f t="shared" si="80"/>
        <v>33000</v>
      </c>
      <c r="L1328" s="11">
        <f t="shared" si="81"/>
        <v>0</v>
      </c>
      <c r="M1328" s="11">
        <f t="shared" si="82"/>
        <v>87100</v>
      </c>
      <c r="N1328" s="10">
        <f t="shared" si="83"/>
        <v>0.72522897585345547</v>
      </c>
    </row>
    <row r="1329" spans="1:14" x14ac:dyDescent="0.3">
      <c r="A1329" s="9" t="s">
        <v>1454</v>
      </c>
      <c r="B1329" s="9" t="s">
        <v>1450</v>
      </c>
      <c r="C1329" s="9" t="s">
        <v>36</v>
      </c>
      <c r="D1329" s="9" t="s">
        <v>25</v>
      </c>
      <c r="E1329" s="9">
        <v>3</v>
      </c>
      <c r="F1329" s="11">
        <v>97900</v>
      </c>
      <c r="G1329" s="9" t="str">
        <f>INDEX(Products!$B$2:$B$9,MATCH(D1329,Products!$A$2:$A$9,0))</f>
        <v>Trà hoa đậu biếc</v>
      </c>
      <c r="H1329" s="9" t="str">
        <f>INDEX(Products!$C$2:$C$9,MATCH(D1329,Products!$A$2:$A$9,0))</f>
        <v>An thần</v>
      </c>
      <c r="I1329" s="11">
        <f>INDEX(Products!$D$2:$D$9,MATCH(D1329,Products!$A$2:$A$9,0))</f>
        <v>8800</v>
      </c>
      <c r="J1329" s="10">
        <f>IFERROR(INDEX(PlatformFees!$C$2:$C$5,MATCH(C1329,PlatformFees!$A$2:$A$5,0)),0)</f>
        <v>0.13</v>
      </c>
      <c r="K1329" s="11">
        <f t="shared" si="80"/>
        <v>26400</v>
      </c>
      <c r="L1329" s="11">
        <f t="shared" si="81"/>
        <v>12727</v>
      </c>
      <c r="M1329" s="11">
        <f t="shared" si="82"/>
        <v>58773</v>
      </c>
      <c r="N1329" s="10">
        <f t="shared" si="83"/>
        <v>0.6003370786516854</v>
      </c>
    </row>
    <row r="1330" spans="1:14" x14ac:dyDescent="0.3">
      <c r="A1330" s="9" t="s">
        <v>1455</v>
      </c>
      <c r="B1330" s="9" t="s">
        <v>1450</v>
      </c>
      <c r="C1330" s="9" t="s">
        <v>38</v>
      </c>
      <c r="D1330" s="9" t="s">
        <v>17</v>
      </c>
      <c r="E1330" s="9">
        <v>2</v>
      </c>
      <c r="F1330" s="11">
        <v>82900</v>
      </c>
      <c r="G1330" s="9" t="str">
        <f>INDEX(Products!$B$2:$B$9,MATCH(D1330,Products!$A$2:$A$9,0))</f>
        <v>Trà diếp cá rau má</v>
      </c>
      <c r="H1330" s="9" t="str">
        <f>INDEX(Products!$C$2:$C$9,MATCH(D1330,Products!$A$2:$A$9,0))</f>
        <v>Detox</v>
      </c>
      <c r="I1330" s="11">
        <f>INDEX(Products!$D$2:$D$9,MATCH(D1330,Products!$A$2:$A$9,0))</f>
        <v>10500</v>
      </c>
      <c r="J1330" s="10">
        <f>IFERROR(INDEX(PlatformFees!$C$2:$C$5,MATCH(C1330,PlatformFees!$A$2:$A$5,0)),0)</f>
        <v>0.16</v>
      </c>
      <c r="K1330" s="11">
        <f t="shared" si="80"/>
        <v>21000</v>
      </c>
      <c r="L1330" s="11">
        <f t="shared" si="81"/>
        <v>13264</v>
      </c>
      <c r="M1330" s="11">
        <f t="shared" si="82"/>
        <v>48636</v>
      </c>
      <c r="N1330" s="10">
        <f t="shared" si="83"/>
        <v>0.58668275030156813</v>
      </c>
    </row>
    <row r="1331" spans="1:14" x14ac:dyDescent="0.3">
      <c r="A1331" s="9" t="s">
        <v>1456</v>
      </c>
      <c r="B1331" s="9" t="s">
        <v>1450</v>
      </c>
      <c r="C1331" s="9" t="s">
        <v>36</v>
      </c>
      <c r="D1331" s="9" t="s">
        <v>20</v>
      </c>
      <c r="E1331" s="9">
        <v>1</v>
      </c>
      <c r="F1331" s="11">
        <v>55200</v>
      </c>
      <c r="G1331" s="9" t="str">
        <f>INDEX(Products!$B$2:$B$9,MATCH(D1331,Products!$A$2:$A$9,0))</f>
        <v>Trà cà leo gai giảm cân</v>
      </c>
      <c r="H1331" s="9" t="str">
        <f>INDEX(Products!$C$2:$C$9,MATCH(D1331,Products!$A$2:$A$9,0))</f>
        <v>Detox</v>
      </c>
      <c r="I1331" s="11">
        <f>INDEX(Products!$D$2:$D$9,MATCH(D1331,Products!$A$2:$A$9,0))</f>
        <v>15000</v>
      </c>
      <c r="J1331" s="10">
        <f>IFERROR(INDEX(PlatformFees!$C$2:$C$5,MATCH(C1331,PlatformFees!$A$2:$A$5,0)),0)</f>
        <v>0.13</v>
      </c>
      <c r="K1331" s="11">
        <f t="shared" si="80"/>
        <v>15000</v>
      </c>
      <c r="L1331" s="11">
        <f t="shared" si="81"/>
        <v>7176</v>
      </c>
      <c r="M1331" s="11">
        <f t="shared" si="82"/>
        <v>33024</v>
      </c>
      <c r="N1331" s="10">
        <f t="shared" si="83"/>
        <v>0.5982608695652174</v>
      </c>
    </row>
    <row r="1332" spans="1:14" x14ac:dyDescent="0.3">
      <c r="A1332" s="9" t="s">
        <v>1457</v>
      </c>
      <c r="B1332" s="9" t="s">
        <v>1450</v>
      </c>
      <c r="C1332" s="9" t="s">
        <v>40</v>
      </c>
      <c r="D1332" s="9" t="s">
        <v>22</v>
      </c>
      <c r="E1332" s="9">
        <v>3</v>
      </c>
      <c r="F1332" s="11">
        <v>115700</v>
      </c>
      <c r="G1332" s="9" t="str">
        <f>INDEX(Products!$B$2:$B$9,MATCH(D1332,Products!$A$2:$A$9,0))</f>
        <v>Trà hoa cúc an thần</v>
      </c>
      <c r="H1332" s="9" t="str">
        <f>INDEX(Products!$C$2:$C$9,MATCH(D1332,Products!$A$2:$A$9,0))</f>
        <v>An thần</v>
      </c>
      <c r="I1332" s="11">
        <f>INDEX(Products!$D$2:$D$9,MATCH(D1332,Products!$A$2:$A$9,0))</f>
        <v>9500</v>
      </c>
      <c r="J1332" s="10">
        <f>IFERROR(INDEX(PlatformFees!$C$2:$C$5,MATCH(C1332,PlatformFees!$A$2:$A$5,0)),0)</f>
        <v>0</v>
      </c>
      <c r="K1332" s="11">
        <f t="shared" si="80"/>
        <v>28500</v>
      </c>
      <c r="L1332" s="11">
        <f t="shared" si="81"/>
        <v>0</v>
      </c>
      <c r="M1332" s="11">
        <f t="shared" si="82"/>
        <v>87200</v>
      </c>
      <c r="N1332" s="10">
        <f t="shared" si="83"/>
        <v>0.75367329299913566</v>
      </c>
    </row>
    <row r="1333" spans="1:14" x14ac:dyDescent="0.3">
      <c r="A1333" s="9" t="s">
        <v>1458</v>
      </c>
      <c r="B1333" s="9" t="s">
        <v>1450</v>
      </c>
      <c r="C1333" s="9" t="s">
        <v>36</v>
      </c>
      <c r="D1333" s="9" t="s">
        <v>15</v>
      </c>
      <c r="E1333" s="9">
        <v>3</v>
      </c>
      <c r="F1333" s="11">
        <v>88900</v>
      </c>
      <c r="G1333" s="9" t="str">
        <f>INDEX(Products!$B$2:$B$9,MATCH(D1333,Products!$A$2:$A$9,0))</f>
        <v>Trà lá nam sen ổi</v>
      </c>
      <c r="H1333" s="9" t="str">
        <f>INDEX(Products!$C$2:$C$9,MATCH(D1333,Products!$A$2:$A$9,0))</f>
        <v>Thanh lọc</v>
      </c>
      <c r="I1333" s="11">
        <f>INDEX(Products!$D$2:$D$9,MATCH(D1333,Products!$A$2:$A$9,0))</f>
        <v>8500</v>
      </c>
      <c r="J1333" s="10">
        <f>IFERROR(INDEX(PlatformFees!$C$2:$C$5,MATCH(C1333,PlatformFees!$A$2:$A$5,0)),0)</f>
        <v>0.13</v>
      </c>
      <c r="K1333" s="11">
        <f t="shared" si="80"/>
        <v>25500</v>
      </c>
      <c r="L1333" s="11">
        <f t="shared" si="81"/>
        <v>11557</v>
      </c>
      <c r="M1333" s="11">
        <f t="shared" si="82"/>
        <v>51843</v>
      </c>
      <c r="N1333" s="10">
        <f t="shared" si="83"/>
        <v>0.5831608548931384</v>
      </c>
    </row>
    <row r="1334" spans="1:14" x14ac:dyDescent="0.3">
      <c r="A1334" s="9" t="s">
        <v>1459</v>
      </c>
      <c r="B1334" s="9" t="s">
        <v>1450</v>
      </c>
      <c r="C1334" s="9" t="s">
        <v>36</v>
      </c>
      <c r="D1334" s="9" t="s">
        <v>25</v>
      </c>
      <c r="E1334" s="9">
        <v>2</v>
      </c>
      <c r="F1334" s="11">
        <v>64700</v>
      </c>
      <c r="G1334" s="9" t="str">
        <f>INDEX(Products!$B$2:$B$9,MATCH(D1334,Products!$A$2:$A$9,0))</f>
        <v>Trà hoa đậu biếc</v>
      </c>
      <c r="H1334" s="9" t="str">
        <f>INDEX(Products!$C$2:$C$9,MATCH(D1334,Products!$A$2:$A$9,0))</f>
        <v>An thần</v>
      </c>
      <c r="I1334" s="11">
        <f>INDEX(Products!$D$2:$D$9,MATCH(D1334,Products!$A$2:$A$9,0))</f>
        <v>8800</v>
      </c>
      <c r="J1334" s="10">
        <f>IFERROR(INDEX(PlatformFees!$C$2:$C$5,MATCH(C1334,PlatformFees!$A$2:$A$5,0)),0)</f>
        <v>0.13</v>
      </c>
      <c r="K1334" s="11">
        <f t="shared" si="80"/>
        <v>17600</v>
      </c>
      <c r="L1334" s="11">
        <f t="shared" si="81"/>
        <v>8411</v>
      </c>
      <c r="M1334" s="11">
        <f t="shared" si="82"/>
        <v>38689</v>
      </c>
      <c r="N1334" s="10">
        <f t="shared" si="83"/>
        <v>0.59797527047913446</v>
      </c>
    </row>
    <row r="1335" spans="1:14" x14ac:dyDescent="0.3">
      <c r="A1335" s="9" t="s">
        <v>1460</v>
      </c>
      <c r="B1335" s="9" t="s">
        <v>1450</v>
      </c>
      <c r="C1335" s="9" t="s">
        <v>36</v>
      </c>
      <c r="D1335" s="9" t="s">
        <v>27</v>
      </c>
      <c r="E1335" s="9">
        <v>1</v>
      </c>
      <c r="F1335" s="11">
        <v>36800</v>
      </c>
      <c r="G1335" s="9" t="str">
        <f>INDEX(Products!$B$2:$B$9,MATCH(D1335,Products!$A$2:$A$9,0))</f>
        <v>Trà gừng mật ong</v>
      </c>
      <c r="H1335" s="9" t="str">
        <f>INDEX(Products!$C$2:$C$9,MATCH(D1335,Products!$A$2:$A$9,0))</f>
        <v>Giữ ấm</v>
      </c>
      <c r="I1335" s="11">
        <f>INDEX(Products!$D$2:$D$9,MATCH(D1335,Products!$A$2:$A$9,0))</f>
        <v>11000</v>
      </c>
      <c r="J1335" s="10">
        <f>IFERROR(INDEX(PlatformFees!$C$2:$C$5,MATCH(C1335,PlatformFees!$A$2:$A$5,0)),0)</f>
        <v>0.13</v>
      </c>
      <c r="K1335" s="11">
        <f t="shared" si="80"/>
        <v>11000</v>
      </c>
      <c r="L1335" s="11">
        <f t="shared" si="81"/>
        <v>4784</v>
      </c>
      <c r="M1335" s="11">
        <f t="shared" si="82"/>
        <v>21016</v>
      </c>
      <c r="N1335" s="10">
        <f t="shared" si="83"/>
        <v>0.57108695652173913</v>
      </c>
    </row>
    <row r="1336" spans="1:14" x14ac:dyDescent="0.3">
      <c r="A1336" s="9" t="s">
        <v>1461</v>
      </c>
      <c r="B1336" s="9" t="s">
        <v>1450</v>
      </c>
      <c r="C1336" s="9" t="s">
        <v>39</v>
      </c>
      <c r="D1336" s="9" t="s">
        <v>12</v>
      </c>
      <c r="E1336" s="9">
        <v>2</v>
      </c>
      <c r="F1336" s="11">
        <v>71000</v>
      </c>
      <c r="G1336" s="9" t="str">
        <f>INDEX(Products!$B$2:$B$9,MATCH(D1336,Products!$A$2:$A$9,0))</f>
        <v>Trà atiso thanh lọc</v>
      </c>
      <c r="H1336" s="9" t="str">
        <f>INDEX(Products!$C$2:$C$9,MATCH(D1336,Products!$A$2:$A$9,0))</f>
        <v>Thanh lọc</v>
      </c>
      <c r="I1336" s="11">
        <f>INDEX(Products!$D$2:$D$9,MATCH(D1336,Products!$A$2:$A$9,0))</f>
        <v>9000</v>
      </c>
      <c r="J1336" s="10">
        <f>IFERROR(INDEX(PlatformFees!$C$2:$C$5,MATCH(C1336,PlatformFees!$A$2:$A$5,0)),0)</f>
        <v>0</v>
      </c>
      <c r="K1336" s="11">
        <f t="shared" si="80"/>
        <v>18000</v>
      </c>
      <c r="L1336" s="11">
        <f t="shared" si="81"/>
        <v>0</v>
      </c>
      <c r="M1336" s="11">
        <f t="shared" si="82"/>
        <v>53000</v>
      </c>
      <c r="N1336" s="10">
        <f t="shared" si="83"/>
        <v>0.74647887323943662</v>
      </c>
    </row>
    <row r="1337" spans="1:14" x14ac:dyDescent="0.3">
      <c r="A1337" s="9" t="s">
        <v>1462</v>
      </c>
      <c r="B1337" s="9" t="s">
        <v>1450</v>
      </c>
      <c r="C1337" s="9" t="s">
        <v>38</v>
      </c>
      <c r="D1337" s="9" t="s">
        <v>12</v>
      </c>
      <c r="E1337" s="9">
        <v>2</v>
      </c>
      <c r="F1337" s="11">
        <v>66200</v>
      </c>
      <c r="G1337" s="9" t="str">
        <f>INDEX(Products!$B$2:$B$9,MATCH(D1337,Products!$A$2:$A$9,0))</f>
        <v>Trà atiso thanh lọc</v>
      </c>
      <c r="H1337" s="9" t="str">
        <f>INDEX(Products!$C$2:$C$9,MATCH(D1337,Products!$A$2:$A$9,0))</f>
        <v>Thanh lọc</v>
      </c>
      <c r="I1337" s="11">
        <f>INDEX(Products!$D$2:$D$9,MATCH(D1337,Products!$A$2:$A$9,0))</f>
        <v>9000</v>
      </c>
      <c r="J1337" s="10">
        <f>IFERROR(INDEX(PlatformFees!$C$2:$C$5,MATCH(C1337,PlatformFees!$A$2:$A$5,0)),0)</f>
        <v>0.16</v>
      </c>
      <c r="K1337" s="11">
        <f t="shared" si="80"/>
        <v>18000</v>
      </c>
      <c r="L1337" s="11">
        <f t="shared" si="81"/>
        <v>10592</v>
      </c>
      <c r="M1337" s="11">
        <f t="shared" si="82"/>
        <v>37608</v>
      </c>
      <c r="N1337" s="10">
        <f t="shared" si="83"/>
        <v>0.56809667673716013</v>
      </c>
    </row>
    <row r="1338" spans="1:14" x14ac:dyDescent="0.3">
      <c r="A1338" s="9" t="s">
        <v>1463</v>
      </c>
      <c r="B1338" s="9" t="s">
        <v>1450</v>
      </c>
      <c r="C1338" s="9" t="s">
        <v>38</v>
      </c>
      <c r="D1338" s="9" t="s">
        <v>20</v>
      </c>
      <c r="E1338" s="9">
        <v>2</v>
      </c>
      <c r="F1338" s="11">
        <v>106500</v>
      </c>
      <c r="G1338" s="9" t="str">
        <f>INDEX(Products!$B$2:$B$9,MATCH(D1338,Products!$A$2:$A$9,0))</f>
        <v>Trà cà leo gai giảm cân</v>
      </c>
      <c r="H1338" s="9" t="str">
        <f>INDEX(Products!$C$2:$C$9,MATCH(D1338,Products!$A$2:$A$9,0))</f>
        <v>Detox</v>
      </c>
      <c r="I1338" s="11">
        <f>INDEX(Products!$D$2:$D$9,MATCH(D1338,Products!$A$2:$A$9,0))</f>
        <v>15000</v>
      </c>
      <c r="J1338" s="10">
        <f>IFERROR(INDEX(PlatformFees!$C$2:$C$5,MATCH(C1338,PlatformFees!$A$2:$A$5,0)),0)</f>
        <v>0.16</v>
      </c>
      <c r="K1338" s="11">
        <f t="shared" si="80"/>
        <v>30000</v>
      </c>
      <c r="L1338" s="11">
        <f t="shared" si="81"/>
        <v>17040</v>
      </c>
      <c r="M1338" s="11">
        <f t="shared" si="82"/>
        <v>59460</v>
      </c>
      <c r="N1338" s="10">
        <f t="shared" si="83"/>
        <v>0.55830985915492959</v>
      </c>
    </row>
    <row r="1339" spans="1:14" x14ac:dyDescent="0.3">
      <c r="A1339" s="9" t="s">
        <v>1464</v>
      </c>
      <c r="B1339" s="9" t="s">
        <v>1450</v>
      </c>
      <c r="C1339" s="9" t="s">
        <v>38</v>
      </c>
      <c r="D1339" s="9" t="s">
        <v>12</v>
      </c>
      <c r="E1339" s="9">
        <v>2</v>
      </c>
      <c r="F1339" s="11">
        <v>66500</v>
      </c>
      <c r="G1339" s="9" t="str">
        <f>INDEX(Products!$B$2:$B$9,MATCH(D1339,Products!$A$2:$A$9,0))</f>
        <v>Trà atiso thanh lọc</v>
      </c>
      <c r="H1339" s="9" t="str">
        <f>INDEX(Products!$C$2:$C$9,MATCH(D1339,Products!$A$2:$A$9,0))</f>
        <v>Thanh lọc</v>
      </c>
      <c r="I1339" s="11">
        <f>INDEX(Products!$D$2:$D$9,MATCH(D1339,Products!$A$2:$A$9,0))</f>
        <v>9000</v>
      </c>
      <c r="J1339" s="10">
        <f>IFERROR(INDEX(PlatformFees!$C$2:$C$5,MATCH(C1339,PlatformFees!$A$2:$A$5,0)),0)</f>
        <v>0.16</v>
      </c>
      <c r="K1339" s="11">
        <f t="shared" si="80"/>
        <v>18000</v>
      </c>
      <c r="L1339" s="11">
        <f t="shared" si="81"/>
        <v>10640</v>
      </c>
      <c r="M1339" s="11">
        <f t="shared" si="82"/>
        <v>37860</v>
      </c>
      <c r="N1339" s="10">
        <f t="shared" si="83"/>
        <v>0.56932330827067668</v>
      </c>
    </row>
    <row r="1340" spans="1:14" x14ac:dyDescent="0.3">
      <c r="A1340" s="9" t="s">
        <v>1465</v>
      </c>
      <c r="B1340" s="9" t="s">
        <v>1450</v>
      </c>
      <c r="C1340" s="9" t="s">
        <v>38</v>
      </c>
      <c r="D1340" s="9" t="s">
        <v>27</v>
      </c>
      <c r="E1340" s="9">
        <v>1</v>
      </c>
      <c r="F1340" s="11">
        <v>37000</v>
      </c>
      <c r="G1340" s="9" t="str">
        <f>INDEX(Products!$B$2:$B$9,MATCH(D1340,Products!$A$2:$A$9,0))</f>
        <v>Trà gừng mật ong</v>
      </c>
      <c r="H1340" s="9" t="str">
        <f>INDEX(Products!$C$2:$C$9,MATCH(D1340,Products!$A$2:$A$9,0))</f>
        <v>Giữ ấm</v>
      </c>
      <c r="I1340" s="11">
        <f>INDEX(Products!$D$2:$D$9,MATCH(D1340,Products!$A$2:$A$9,0))</f>
        <v>11000</v>
      </c>
      <c r="J1340" s="10">
        <f>IFERROR(INDEX(PlatformFees!$C$2:$C$5,MATCH(C1340,PlatformFees!$A$2:$A$5,0)),0)</f>
        <v>0.16</v>
      </c>
      <c r="K1340" s="11">
        <f t="shared" si="80"/>
        <v>11000</v>
      </c>
      <c r="L1340" s="11">
        <f t="shared" si="81"/>
        <v>5920</v>
      </c>
      <c r="M1340" s="11">
        <f t="shared" si="82"/>
        <v>20080</v>
      </c>
      <c r="N1340" s="10">
        <f t="shared" si="83"/>
        <v>0.54270270270270271</v>
      </c>
    </row>
    <row r="1341" spans="1:14" x14ac:dyDescent="0.3">
      <c r="A1341" s="9" t="s">
        <v>1466</v>
      </c>
      <c r="B1341" s="9" t="s">
        <v>1450</v>
      </c>
      <c r="C1341" s="9" t="s">
        <v>36</v>
      </c>
      <c r="D1341" s="9" t="s">
        <v>22</v>
      </c>
      <c r="E1341" s="9">
        <v>1</v>
      </c>
      <c r="F1341" s="11">
        <v>35600</v>
      </c>
      <c r="G1341" s="9" t="str">
        <f>INDEX(Products!$B$2:$B$9,MATCH(D1341,Products!$A$2:$A$9,0))</f>
        <v>Trà hoa cúc an thần</v>
      </c>
      <c r="H1341" s="9" t="str">
        <f>INDEX(Products!$C$2:$C$9,MATCH(D1341,Products!$A$2:$A$9,0))</f>
        <v>An thần</v>
      </c>
      <c r="I1341" s="11">
        <f>INDEX(Products!$D$2:$D$9,MATCH(D1341,Products!$A$2:$A$9,0))</f>
        <v>9500</v>
      </c>
      <c r="J1341" s="10">
        <f>IFERROR(INDEX(PlatformFees!$C$2:$C$5,MATCH(C1341,PlatformFees!$A$2:$A$5,0)),0)</f>
        <v>0.13</v>
      </c>
      <c r="K1341" s="11">
        <f t="shared" si="80"/>
        <v>9500</v>
      </c>
      <c r="L1341" s="11">
        <f t="shared" si="81"/>
        <v>4628</v>
      </c>
      <c r="M1341" s="11">
        <f t="shared" si="82"/>
        <v>21472</v>
      </c>
      <c r="N1341" s="10">
        <f t="shared" si="83"/>
        <v>0.60314606741573029</v>
      </c>
    </row>
    <row r="1342" spans="1:14" x14ac:dyDescent="0.3">
      <c r="A1342" s="9" t="s">
        <v>1467</v>
      </c>
      <c r="B1342" s="9" t="s">
        <v>1450</v>
      </c>
      <c r="C1342" s="9" t="s">
        <v>36</v>
      </c>
      <c r="D1342" s="9" t="s">
        <v>20</v>
      </c>
      <c r="E1342" s="9">
        <v>2</v>
      </c>
      <c r="F1342" s="11">
        <v>104800</v>
      </c>
      <c r="G1342" s="9" t="str">
        <f>INDEX(Products!$B$2:$B$9,MATCH(D1342,Products!$A$2:$A$9,0))</f>
        <v>Trà cà leo gai giảm cân</v>
      </c>
      <c r="H1342" s="9" t="str">
        <f>INDEX(Products!$C$2:$C$9,MATCH(D1342,Products!$A$2:$A$9,0))</f>
        <v>Detox</v>
      </c>
      <c r="I1342" s="11">
        <f>INDEX(Products!$D$2:$D$9,MATCH(D1342,Products!$A$2:$A$9,0))</f>
        <v>15000</v>
      </c>
      <c r="J1342" s="10">
        <f>IFERROR(INDEX(PlatformFees!$C$2:$C$5,MATCH(C1342,PlatformFees!$A$2:$A$5,0)),0)</f>
        <v>0.13</v>
      </c>
      <c r="K1342" s="11">
        <f t="shared" si="80"/>
        <v>30000</v>
      </c>
      <c r="L1342" s="11">
        <f t="shared" si="81"/>
        <v>13624</v>
      </c>
      <c r="M1342" s="11">
        <f t="shared" si="82"/>
        <v>61176</v>
      </c>
      <c r="N1342" s="10">
        <f t="shared" si="83"/>
        <v>0.58374045801526719</v>
      </c>
    </row>
    <row r="1343" spans="1:14" x14ac:dyDescent="0.3">
      <c r="A1343" s="9" t="s">
        <v>1468</v>
      </c>
      <c r="B1343" s="9" t="s">
        <v>1450</v>
      </c>
      <c r="C1343" s="9" t="s">
        <v>40</v>
      </c>
      <c r="D1343" s="9" t="s">
        <v>12</v>
      </c>
      <c r="E1343" s="9">
        <v>2</v>
      </c>
      <c r="F1343" s="11">
        <v>72100</v>
      </c>
      <c r="G1343" s="9" t="str">
        <f>INDEX(Products!$B$2:$B$9,MATCH(D1343,Products!$A$2:$A$9,0))</f>
        <v>Trà atiso thanh lọc</v>
      </c>
      <c r="H1343" s="9" t="str">
        <f>INDEX(Products!$C$2:$C$9,MATCH(D1343,Products!$A$2:$A$9,0))</f>
        <v>Thanh lọc</v>
      </c>
      <c r="I1343" s="11">
        <f>INDEX(Products!$D$2:$D$9,MATCH(D1343,Products!$A$2:$A$9,0))</f>
        <v>9000</v>
      </c>
      <c r="J1343" s="10">
        <f>IFERROR(INDEX(PlatformFees!$C$2:$C$5,MATCH(C1343,PlatformFees!$A$2:$A$5,0)),0)</f>
        <v>0</v>
      </c>
      <c r="K1343" s="11">
        <f t="shared" si="80"/>
        <v>18000</v>
      </c>
      <c r="L1343" s="11">
        <f t="shared" si="81"/>
        <v>0</v>
      </c>
      <c r="M1343" s="11">
        <f t="shared" si="82"/>
        <v>54100</v>
      </c>
      <c r="N1343" s="10">
        <f t="shared" si="83"/>
        <v>0.75034674063800277</v>
      </c>
    </row>
    <row r="1344" spans="1:14" x14ac:dyDescent="0.3">
      <c r="A1344" s="9" t="s">
        <v>1469</v>
      </c>
      <c r="B1344" s="9" t="s">
        <v>1450</v>
      </c>
      <c r="C1344" s="9" t="s">
        <v>36</v>
      </c>
      <c r="D1344" s="9" t="s">
        <v>17</v>
      </c>
      <c r="E1344" s="9">
        <v>3</v>
      </c>
      <c r="F1344" s="11">
        <v>125500</v>
      </c>
      <c r="G1344" s="9" t="str">
        <f>INDEX(Products!$B$2:$B$9,MATCH(D1344,Products!$A$2:$A$9,0))</f>
        <v>Trà diếp cá rau má</v>
      </c>
      <c r="H1344" s="9" t="str">
        <f>INDEX(Products!$C$2:$C$9,MATCH(D1344,Products!$A$2:$A$9,0))</f>
        <v>Detox</v>
      </c>
      <c r="I1344" s="11">
        <f>INDEX(Products!$D$2:$D$9,MATCH(D1344,Products!$A$2:$A$9,0))</f>
        <v>10500</v>
      </c>
      <c r="J1344" s="10">
        <f>IFERROR(INDEX(PlatformFees!$C$2:$C$5,MATCH(C1344,PlatformFees!$A$2:$A$5,0)),0)</f>
        <v>0.13</v>
      </c>
      <c r="K1344" s="11">
        <f t="shared" si="80"/>
        <v>31500</v>
      </c>
      <c r="L1344" s="11">
        <f t="shared" si="81"/>
        <v>16315</v>
      </c>
      <c r="M1344" s="11">
        <f t="shared" si="82"/>
        <v>77685</v>
      </c>
      <c r="N1344" s="10">
        <f t="shared" si="83"/>
        <v>0.61900398406374502</v>
      </c>
    </row>
    <row r="1345" spans="1:14" x14ac:dyDescent="0.3">
      <c r="A1345" s="9" t="s">
        <v>1470</v>
      </c>
      <c r="B1345" s="9" t="s">
        <v>1450</v>
      </c>
      <c r="C1345" s="9" t="s">
        <v>38</v>
      </c>
      <c r="D1345" s="9" t="s">
        <v>25</v>
      </c>
      <c r="E1345" s="9">
        <v>1</v>
      </c>
      <c r="F1345" s="11">
        <v>34900</v>
      </c>
      <c r="G1345" s="9" t="str">
        <f>INDEX(Products!$B$2:$B$9,MATCH(D1345,Products!$A$2:$A$9,0))</f>
        <v>Trà hoa đậu biếc</v>
      </c>
      <c r="H1345" s="9" t="str">
        <f>INDEX(Products!$C$2:$C$9,MATCH(D1345,Products!$A$2:$A$9,0))</f>
        <v>An thần</v>
      </c>
      <c r="I1345" s="11">
        <f>INDEX(Products!$D$2:$D$9,MATCH(D1345,Products!$A$2:$A$9,0))</f>
        <v>8800</v>
      </c>
      <c r="J1345" s="10">
        <f>IFERROR(INDEX(PlatformFees!$C$2:$C$5,MATCH(C1345,PlatformFees!$A$2:$A$5,0)),0)</f>
        <v>0.16</v>
      </c>
      <c r="K1345" s="11">
        <f t="shared" si="80"/>
        <v>8800</v>
      </c>
      <c r="L1345" s="11">
        <f t="shared" si="81"/>
        <v>5584</v>
      </c>
      <c r="M1345" s="11">
        <f t="shared" si="82"/>
        <v>20516</v>
      </c>
      <c r="N1345" s="10">
        <f t="shared" si="83"/>
        <v>0.58785100286532954</v>
      </c>
    </row>
    <row r="1346" spans="1:14" x14ac:dyDescent="0.3">
      <c r="A1346" s="9" t="s">
        <v>1471</v>
      </c>
      <c r="B1346" s="9" t="s">
        <v>1472</v>
      </c>
      <c r="C1346" s="9" t="s">
        <v>38</v>
      </c>
      <c r="D1346" s="9" t="s">
        <v>30</v>
      </c>
      <c r="E1346" s="9">
        <v>1</v>
      </c>
      <c r="F1346" s="11">
        <v>36200</v>
      </c>
      <c r="G1346" s="9" t="str">
        <f>INDEX(Products!$B$2:$B$9,MATCH(D1346,Products!$A$2:$A$9,0))</f>
        <v>Trà mâm xôi vitamin</v>
      </c>
      <c r="H1346" s="9" t="str">
        <f>INDEX(Products!$C$2:$C$9,MATCH(D1346,Products!$A$2:$A$9,0))</f>
        <v>Bổ sung dưỡng chất</v>
      </c>
      <c r="I1346" s="11">
        <f>INDEX(Products!$D$2:$D$9,MATCH(D1346,Products!$A$2:$A$9,0))</f>
        <v>9800</v>
      </c>
      <c r="J1346" s="10">
        <f>IFERROR(INDEX(PlatformFees!$C$2:$C$5,MATCH(C1346,PlatformFees!$A$2:$A$5,0)),0)</f>
        <v>0.16</v>
      </c>
      <c r="K1346" s="11">
        <f t="shared" ref="K1346:K1409" si="84">E1346*I1346</f>
        <v>9800</v>
      </c>
      <c r="L1346" s="11">
        <f t="shared" ref="L1346:L1409" si="85">F1346*J1346</f>
        <v>5792</v>
      </c>
      <c r="M1346" s="11">
        <f t="shared" ref="M1346:M1409" si="86">F1346-L1346-K1346</f>
        <v>20608</v>
      </c>
      <c r="N1346" s="10">
        <f t="shared" ref="N1346:N1409" si="87">IFERROR(M1346/F1346,0)</f>
        <v>0.5692817679558011</v>
      </c>
    </row>
    <row r="1347" spans="1:14" x14ac:dyDescent="0.3">
      <c r="A1347" s="9" t="s">
        <v>1473</v>
      </c>
      <c r="B1347" s="9" t="s">
        <v>1472</v>
      </c>
      <c r="C1347" s="9" t="s">
        <v>36</v>
      </c>
      <c r="D1347" s="9" t="s">
        <v>27</v>
      </c>
      <c r="E1347" s="9">
        <v>1</v>
      </c>
      <c r="F1347" s="11">
        <v>40100</v>
      </c>
      <c r="G1347" s="9" t="str">
        <f>INDEX(Products!$B$2:$B$9,MATCH(D1347,Products!$A$2:$A$9,0))</f>
        <v>Trà gừng mật ong</v>
      </c>
      <c r="H1347" s="9" t="str">
        <f>INDEX(Products!$C$2:$C$9,MATCH(D1347,Products!$A$2:$A$9,0))</f>
        <v>Giữ ấm</v>
      </c>
      <c r="I1347" s="11">
        <f>INDEX(Products!$D$2:$D$9,MATCH(D1347,Products!$A$2:$A$9,0))</f>
        <v>11000</v>
      </c>
      <c r="J1347" s="10">
        <f>IFERROR(INDEX(PlatformFees!$C$2:$C$5,MATCH(C1347,PlatformFees!$A$2:$A$5,0)),0)</f>
        <v>0.13</v>
      </c>
      <c r="K1347" s="11">
        <f t="shared" si="84"/>
        <v>11000</v>
      </c>
      <c r="L1347" s="11">
        <f t="shared" si="85"/>
        <v>5213</v>
      </c>
      <c r="M1347" s="11">
        <f t="shared" si="86"/>
        <v>23887</v>
      </c>
      <c r="N1347" s="10">
        <f t="shared" si="87"/>
        <v>0.59568578553615958</v>
      </c>
    </row>
    <row r="1348" spans="1:14" x14ac:dyDescent="0.3">
      <c r="A1348" s="9" t="s">
        <v>1474</v>
      </c>
      <c r="B1348" s="9" t="s">
        <v>1472</v>
      </c>
      <c r="C1348" s="9" t="s">
        <v>39</v>
      </c>
      <c r="D1348" s="9" t="s">
        <v>12</v>
      </c>
      <c r="E1348" s="9">
        <v>2</v>
      </c>
      <c r="F1348" s="11">
        <v>65400</v>
      </c>
      <c r="G1348" s="9" t="str">
        <f>INDEX(Products!$B$2:$B$9,MATCH(D1348,Products!$A$2:$A$9,0))</f>
        <v>Trà atiso thanh lọc</v>
      </c>
      <c r="H1348" s="9" t="str">
        <f>INDEX(Products!$C$2:$C$9,MATCH(D1348,Products!$A$2:$A$9,0))</f>
        <v>Thanh lọc</v>
      </c>
      <c r="I1348" s="11">
        <f>INDEX(Products!$D$2:$D$9,MATCH(D1348,Products!$A$2:$A$9,0))</f>
        <v>9000</v>
      </c>
      <c r="J1348" s="10">
        <f>IFERROR(INDEX(PlatformFees!$C$2:$C$5,MATCH(C1348,PlatformFees!$A$2:$A$5,0)),0)</f>
        <v>0</v>
      </c>
      <c r="K1348" s="11">
        <f t="shared" si="84"/>
        <v>18000</v>
      </c>
      <c r="L1348" s="11">
        <f t="shared" si="85"/>
        <v>0</v>
      </c>
      <c r="M1348" s="11">
        <f t="shared" si="86"/>
        <v>47400</v>
      </c>
      <c r="N1348" s="10">
        <f t="shared" si="87"/>
        <v>0.72477064220183485</v>
      </c>
    </row>
    <row r="1349" spans="1:14" x14ac:dyDescent="0.3">
      <c r="A1349" s="9" t="s">
        <v>1475</v>
      </c>
      <c r="B1349" s="9" t="s">
        <v>1472</v>
      </c>
      <c r="C1349" s="9" t="s">
        <v>38</v>
      </c>
      <c r="D1349" s="9" t="s">
        <v>17</v>
      </c>
      <c r="E1349" s="9">
        <v>2</v>
      </c>
      <c r="F1349" s="11">
        <v>81100</v>
      </c>
      <c r="G1349" s="9" t="str">
        <f>INDEX(Products!$B$2:$B$9,MATCH(D1349,Products!$A$2:$A$9,0))</f>
        <v>Trà diếp cá rau má</v>
      </c>
      <c r="H1349" s="9" t="str">
        <f>INDEX(Products!$C$2:$C$9,MATCH(D1349,Products!$A$2:$A$9,0))</f>
        <v>Detox</v>
      </c>
      <c r="I1349" s="11">
        <f>INDEX(Products!$D$2:$D$9,MATCH(D1349,Products!$A$2:$A$9,0))</f>
        <v>10500</v>
      </c>
      <c r="J1349" s="10">
        <f>IFERROR(INDEX(PlatformFees!$C$2:$C$5,MATCH(C1349,PlatformFees!$A$2:$A$5,0)),0)</f>
        <v>0.16</v>
      </c>
      <c r="K1349" s="11">
        <f t="shared" si="84"/>
        <v>21000</v>
      </c>
      <c r="L1349" s="11">
        <f t="shared" si="85"/>
        <v>12976</v>
      </c>
      <c r="M1349" s="11">
        <f t="shared" si="86"/>
        <v>47124</v>
      </c>
      <c r="N1349" s="10">
        <f t="shared" si="87"/>
        <v>0.58106041923551166</v>
      </c>
    </row>
    <row r="1350" spans="1:14" x14ac:dyDescent="0.3">
      <c r="A1350" s="9" t="s">
        <v>1476</v>
      </c>
      <c r="B1350" s="9" t="s">
        <v>1472</v>
      </c>
      <c r="C1350" s="9" t="s">
        <v>36</v>
      </c>
      <c r="D1350" s="9" t="s">
        <v>17</v>
      </c>
      <c r="E1350" s="9">
        <v>1</v>
      </c>
      <c r="F1350" s="11">
        <v>39100</v>
      </c>
      <c r="G1350" s="9" t="str">
        <f>INDEX(Products!$B$2:$B$9,MATCH(D1350,Products!$A$2:$A$9,0))</f>
        <v>Trà diếp cá rau má</v>
      </c>
      <c r="H1350" s="9" t="str">
        <f>INDEX(Products!$C$2:$C$9,MATCH(D1350,Products!$A$2:$A$9,0))</f>
        <v>Detox</v>
      </c>
      <c r="I1350" s="11">
        <f>INDEX(Products!$D$2:$D$9,MATCH(D1350,Products!$A$2:$A$9,0))</f>
        <v>10500</v>
      </c>
      <c r="J1350" s="10">
        <f>IFERROR(INDEX(PlatformFees!$C$2:$C$5,MATCH(C1350,PlatformFees!$A$2:$A$5,0)),0)</f>
        <v>0.13</v>
      </c>
      <c r="K1350" s="11">
        <f t="shared" si="84"/>
        <v>10500</v>
      </c>
      <c r="L1350" s="11">
        <f t="shared" si="85"/>
        <v>5083</v>
      </c>
      <c r="M1350" s="11">
        <f t="shared" si="86"/>
        <v>23517</v>
      </c>
      <c r="N1350" s="10">
        <f t="shared" si="87"/>
        <v>0.60145780051150899</v>
      </c>
    </row>
    <row r="1351" spans="1:14" x14ac:dyDescent="0.3">
      <c r="A1351" s="9" t="s">
        <v>1477</v>
      </c>
      <c r="B1351" s="9" t="s">
        <v>1472</v>
      </c>
      <c r="C1351" s="9" t="s">
        <v>39</v>
      </c>
      <c r="D1351" s="9" t="s">
        <v>25</v>
      </c>
      <c r="E1351" s="9">
        <v>1</v>
      </c>
      <c r="F1351" s="11">
        <v>33100</v>
      </c>
      <c r="G1351" s="9" t="str">
        <f>INDEX(Products!$B$2:$B$9,MATCH(D1351,Products!$A$2:$A$9,0))</f>
        <v>Trà hoa đậu biếc</v>
      </c>
      <c r="H1351" s="9" t="str">
        <f>INDEX(Products!$C$2:$C$9,MATCH(D1351,Products!$A$2:$A$9,0))</f>
        <v>An thần</v>
      </c>
      <c r="I1351" s="11">
        <f>INDEX(Products!$D$2:$D$9,MATCH(D1351,Products!$A$2:$A$9,0))</f>
        <v>8800</v>
      </c>
      <c r="J1351" s="10">
        <f>IFERROR(INDEX(PlatformFees!$C$2:$C$5,MATCH(C1351,PlatformFees!$A$2:$A$5,0)),0)</f>
        <v>0</v>
      </c>
      <c r="K1351" s="11">
        <f t="shared" si="84"/>
        <v>8800</v>
      </c>
      <c r="L1351" s="11">
        <f t="shared" si="85"/>
        <v>0</v>
      </c>
      <c r="M1351" s="11">
        <f t="shared" si="86"/>
        <v>24300</v>
      </c>
      <c r="N1351" s="10">
        <f t="shared" si="87"/>
        <v>0.73413897280966767</v>
      </c>
    </row>
    <row r="1352" spans="1:14" x14ac:dyDescent="0.3">
      <c r="A1352" s="9" t="s">
        <v>1478</v>
      </c>
      <c r="B1352" s="9" t="s">
        <v>1472</v>
      </c>
      <c r="C1352" s="9" t="s">
        <v>38</v>
      </c>
      <c r="D1352" s="9" t="s">
        <v>30</v>
      </c>
      <c r="E1352" s="9">
        <v>3</v>
      </c>
      <c r="F1352" s="11">
        <v>102800</v>
      </c>
      <c r="G1352" s="9" t="str">
        <f>INDEX(Products!$B$2:$B$9,MATCH(D1352,Products!$A$2:$A$9,0))</f>
        <v>Trà mâm xôi vitamin</v>
      </c>
      <c r="H1352" s="9" t="str">
        <f>INDEX(Products!$C$2:$C$9,MATCH(D1352,Products!$A$2:$A$9,0))</f>
        <v>Bổ sung dưỡng chất</v>
      </c>
      <c r="I1352" s="11">
        <f>INDEX(Products!$D$2:$D$9,MATCH(D1352,Products!$A$2:$A$9,0))</f>
        <v>9800</v>
      </c>
      <c r="J1352" s="10">
        <f>IFERROR(INDEX(PlatformFees!$C$2:$C$5,MATCH(C1352,PlatformFees!$A$2:$A$5,0)),0)</f>
        <v>0.16</v>
      </c>
      <c r="K1352" s="11">
        <f t="shared" si="84"/>
        <v>29400</v>
      </c>
      <c r="L1352" s="11">
        <f t="shared" si="85"/>
        <v>16448</v>
      </c>
      <c r="M1352" s="11">
        <f t="shared" si="86"/>
        <v>56952</v>
      </c>
      <c r="N1352" s="10">
        <f t="shared" si="87"/>
        <v>0.5540077821011673</v>
      </c>
    </row>
    <row r="1353" spans="1:14" x14ac:dyDescent="0.3">
      <c r="A1353" s="9" t="s">
        <v>1479</v>
      </c>
      <c r="B1353" s="9" t="s">
        <v>1472</v>
      </c>
      <c r="C1353" s="9" t="s">
        <v>38</v>
      </c>
      <c r="D1353" s="9" t="s">
        <v>17</v>
      </c>
      <c r="E1353" s="9">
        <v>2</v>
      </c>
      <c r="F1353" s="11">
        <v>82600</v>
      </c>
      <c r="G1353" s="9" t="str">
        <f>INDEX(Products!$B$2:$B$9,MATCH(D1353,Products!$A$2:$A$9,0))</f>
        <v>Trà diếp cá rau má</v>
      </c>
      <c r="H1353" s="9" t="str">
        <f>INDEX(Products!$C$2:$C$9,MATCH(D1353,Products!$A$2:$A$9,0))</f>
        <v>Detox</v>
      </c>
      <c r="I1353" s="11">
        <f>INDEX(Products!$D$2:$D$9,MATCH(D1353,Products!$A$2:$A$9,0))</f>
        <v>10500</v>
      </c>
      <c r="J1353" s="10">
        <f>IFERROR(INDEX(PlatformFees!$C$2:$C$5,MATCH(C1353,PlatformFees!$A$2:$A$5,0)),0)</f>
        <v>0.16</v>
      </c>
      <c r="K1353" s="11">
        <f t="shared" si="84"/>
        <v>21000</v>
      </c>
      <c r="L1353" s="11">
        <f t="shared" si="85"/>
        <v>13216</v>
      </c>
      <c r="M1353" s="11">
        <f t="shared" si="86"/>
        <v>48384</v>
      </c>
      <c r="N1353" s="10">
        <f t="shared" si="87"/>
        <v>0.58576271186440676</v>
      </c>
    </row>
    <row r="1354" spans="1:14" x14ac:dyDescent="0.3">
      <c r="A1354" s="9" t="s">
        <v>1480</v>
      </c>
      <c r="B1354" s="9" t="s">
        <v>1472</v>
      </c>
      <c r="C1354" s="9" t="s">
        <v>38</v>
      </c>
      <c r="D1354" s="9" t="s">
        <v>30</v>
      </c>
      <c r="E1354" s="9">
        <v>2</v>
      </c>
      <c r="F1354" s="11">
        <v>70700</v>
      </c>
      <c r="G1354" s="9" t="str">
        <f>INDEX(Products!$B$2:$B$9,MATCH(D1354,Products!$A$2:$A$9,0))</f>
        <v>Trà mâm xôi vitamin</v>
      </c>
      <c r="H1354" s="9" t="str">
        <f>INDEX(Products!$C$2:$C$9,MATCH(D1354,Products!$A$2:$A$9,0))</f>
        <v>Bổ sung dưỡng chất</v>
      </c>
      <c r="I1354" s="11">
        <f>INDEX(Products!$D$2:$D$9,MATCH(D1354,Products!$A$2:$A$9,0))</f>
        <v>9800</v>
      </c>
      <c r="J1354" s="10">
        <f>IFERROR(INDEX(PlatformFees!$C$2:$C$5,MATCH(C1354,PlatformFees!$A$2:$A$5,0)),0)</f>
        <v>0.16</v>
      </c>
      <c r="K1354" s="11">
        <f t="shared" si="84"/>
        <v>19600</v>
      </c>
      <c r="L1354" s="11">
        <f t="shared" si="85"/>
        <v>11312</v>
      </c>
      <c r="M1354" s="11">
        <f t="shared" si="86"/>
        <v>39788</v>
      </c>
      <c r="N1354" s="10">
        <f t="shared" si="87"/>
        <v>0.56277227722772272</v>
      </c>
    </row>
    <row r="1355" spans="1:14" x14ac:dyDescent="0.3">
      <c r="A1355" s="9" t="s">
        <v>1481</v>
      </c>
      <c r="B1355" s="9" t="s">
        <v>1472</v>
      </c>
      <c r="C1355" s="9" t="s">
        <v>38</v>
      </c>
      <c r="D1355" s="9" t="s">
        <v>22</v>
      </c>
      <c r="E1355" s="9">
        <v>2</v>
      </c>
      <c r="F1355" s="11">
        <v>76700</v>
      </c>
      <c r="G1355" s="9" t="str">
        <f>INDEX(Products!$B$2:$B$9,MATCH(D1355,Products!$A$2:$A$9,0))</f>
        <v>Trà hoa cúc an thần</v>
      </c>
      <c r="H1355" s="9" t="str">
        <f>INDEX(Products!$C$2:$C$9,MATCH(D1355,Products!$A$2:$A$9,0))</f>
        <v>An thần</v>
      </c>
      <c r="I1355" s="11">
        <f>INDEX(Products!$D$2:$D$9,MATCH(D1355,Products!$A$2:$A$9,0))</f>
        <v>9500</v>
      </c>
      <c r="J1355" s="10">
        <f>IFERROR(INDEX(PlatformFees!$C$2:$C$5,MATCH(C1355,PlatformFees!$A$2:$A$5,0)),0)</f>
        <v>0.16</v>
      </c>
      <c r="K1355" s="11">
        <f t="shared" si="84"/>
        <v>19000</v>
      </c>
      <c r="L1355" s="11">
        <f t="shared" si="85"/>
        <v>12272</v>
      </c>
      <c r="M1355" s="11">
        <f t="shared" si="86"/>
        <v>45428</v>
      </c>
      <c r="N1355" s="10">
        <f t="shared" si="87"/>
        <v>0.5922816166883963</v>
      </c>
    </row>
    <row r="1356" spans="1:14" x14ac:dyDescent="0.3">
      <c r="A1356" s="9" t="s">
        <v>1482</v>
      </c>
      <c r="B1356" s="9" t="s">
        <v>1472</v>
      </c>
      <c r="C1356" s="9" t="s">
        <v>39</v>
      </c>
      <c r="D1356" s="9" t="s">
        <v>15</v>
      </c>
      <c r="E1356" s="9">
        <v>1</v>
      </c>
      <c r="F1356" s="11">
        <v>32900</v>
      </c>
      <c r="G1356" s="9" t="str">
        <f>INDEX(Products!$B$2:$B$9,MATCH(D1356,Products!$A$2:$A$9,0))</f>
        <v>Trà lá nam sen ổi</v>
      </c>
      <c r="H1356" s="9" t="str">
        <f>INDEX(Products!$C$2:$C$9,MATCH(D1356,Products!$A$2:$A$9,0))</f>
        <v>Thanh lọc</v>
      </c>
      <c r="I1356" s="11">
        <f>INDEX(Products!$D$2:$D$9,MATCH(D1356,Products!$A$2:$A$9,0))</f>
        <v>8500</v>
      </c>
      <c r="J1356" s="10">
        <f>IFERROR(INDEX(PlatformFees!$C$2:$C$5,MATCH(C1356,PlatformFees!$A$2:$A$5,0)),0)</f>
        <v>0</v>
      </c>
      <c r="K1356" s="11">
        <f t="shared" si="84"/>
        <v>8500</v>
      </c>
      <c r="L1356" s="11">
        <f t="shared" si="85"/>
        <v>0</v>
      </c>
      <c r="M1356" s="11">
        <f t="shared" si="86"/>
        <v>24400</v>
      </c>
      <c r="N1356" s="10">
        <f t="shared" si="87"/>
        <v>0.74164133738601823</v>
      </c>
    </row>
    <row r="1357" spans="1:14" x14ac:dyDescent="0.3">
      <c r="A1357" s="9" t="s">
        <v>1483</v>
      </c>
      <c r="B1357" s="9" t="s">
        <v>1472</v>
      </c>
      <c r="C1357" s="9" t="s">
        <v>36</v>
      </c>
      <c r="D1357" s="9" t="s">
        <v>12</v>
      </c>
      <c r="E1357" s="9">
        <v>3</v>
      </c>
      <c r="F1357" s="11">
        <v>105800</v>
      </c>
      <c r="G1357" s="9" t="str">
        <f>INDEX(Products!$B$2:$B$9,MATCH(D1357,Products!$A$2:$A$9,0))</f>
        <v>Trà atiso thanh lọc</v>
      </c>
      <c r="H1357" s="9" t="str">
        <f>INDEX(Products!$C$2:$C$9,MATCH(D1357,Products!$A$2:$A$9,0))</f>
        <v>Thanh lọc</v>
      </c>
      <c r="I1357" s="11">
        <f>INDEX(Products!$D$2:$D$9,MATCH(D1357,Products!$A$2:$A$9,0))</f>
        <v>9000</v>
      </c>
      <c r="J1357" s="10">
        <f>IFERROR(INDEX(PlatformFees!$C$2:$C$5,MATCH(C1357,PlatformFees!$A$2:$A$5,0)),0)</f>
        <v>0.13</v>
      </c>
      <c r="K1357" s="11">
        <f t="shared" si="84"/>
        <v>27000</v>
      </c>
      <c r="L1357" s="11">
        <f t="shared" si="85"/>
        <v>13754</v>
      </c>
      <c r="M1357" s="11">
        <f t="shared" si="86"/>
        <v>65046</v>
      </c>
      <c r="N1357" s="10">
        <f t="shared" si="87"/>
        <v>0.6148015122873346</v>
      </c>
    </row>
    <row r="1358" spans="1:14" x14ac:dyDescent="0.3">
      <c r="A1358" s="9" t="s">
        <v>1484</v>
      </c>
      <c r="B1358" s="9" t="s">
        <v>1472</v>
      </c>
      <c r="C1358" s="9" t="s">
        <v>39</v>
      </c>
      <c r="D1358" s="9" t="s">
        <v>15</v>
      </c>
      <c r="E1358" s="9">
        <v>2</v>
      </c>
      <c r="F1358" s="11">
        <v>65900</v>
      </c>
      <c r="G1358" s="9" t="str">
        <f>INDEX(Products!$B$2:$B$9,MATCH(D1358,Products!$A$2:$A$9,0))</f>
        <v>Trà lá nam sen ổi</v>
      </c>
      <c r="H1358" s="9" t="str">
        <f>INDEX(Products!$C$2:$C$9,MATCH(D1358,Products!$A$2:$A$9,0))</f>
        <v>Thanh lọc</v>
      </c>
      <c r="I1358" s="11">
        <f>INDEX(Products!$D$2:$D$9,MATCH(D1358,Products!$A$2:$A$9,0))</f>
        <v>8500</v>
      </c>
      <c r="J1358" s="10">
        <f>IFERROR(INDEX(PlatformFees!$C$2:$C$5,MATCH(C1358,PlatformFees!$A$2:$A$5,0)),0)</f>
        <v>0</v>
      </c>
      <c r="K1358" s="11">
        <f t="shared" si="84"/>
        <v>17000</v>
      </c>
      <c r="L1358" s="11">
        <f t="shared" si="85"/>
        <v>0</v>
      </c>
      <c r="M1358" s="11">
        <f t="shared" si="86"/>
        <v>48900</v>
      </c>
      <c r="N1358" s="10">
        <f t="shared" si="87"/>
        <v>0.74203338391502272</v>
      </c>
    </row>
    <row r="1359" spans="1:14" x14ac:dyDescent="0.3">
      <c r="A1359" s="9" t="s">
        <v>1485</v>
      </c>
      <c r="B1359" s="9" t="s">
        <v>1472</v>
      </c>
      <c r="C1359" s="9" t="s">
        <v>36</v>
      </c>
      <c r="D1359" s="9" t="s">
        <v>17</v>
      </c>
      <c r="E1359" s="9">
        <v>2</v>
      </c>
      <c r="F1359" s="11">
        <v>84700</v>
      </c>
      <c r="G1359" s="9" t="str">
        <f>INDEX(Products!$B$2:$B$9,MATCH(D1359,Products!$A$2:$A$9,0))</f>
        <v>Trà diếp cá rau má</v>
      </c>
      <c r="H1359" s="9" t="str">
        <f>INDEX(Products!$C$2:$C$9,MATCH(D1359,Products!$A$2:$A$9,0))</f>
        <v>Detox</v>
      </c>
      <c r="I1359" s="11">
        <f>INDEX(Products!$D$2:$D$9,MATCH(D1359,Products!$A$2:$A$9,0))</f>
        <v>10500</v>
      </c>
      <c r="J1359" s="10">
        <f>IFERROR(INDEX(PlatformFees!$C$2:$C$5,MATCH(C1359,PlatformFees!$A$2:$A$5,0)),0)</f>
        <v>0.13</v>
      </c>
      <c r="K1359" s="11">
        <f t="shared" si="84"/>
        <v>21000</v>
      </c>
      <c r="L1359" s="11">
        <f t="shared" si="85"/>
        <v>11011</v>
      </c>
      <c r="M1359" s="11">
        <f t="shared" si="86"/>
        <v>52689</v>
      </c>
      <c r="N1359" s="10">
        <f t="shared" si="87"/>
        <v>0.62206611570247938</v>
      </c>
    </row>
    <row r="1360" spans="1:14" x14ac:dyDescent="0.3">
      <c r="A1360" s="9" t="s">
        <v>1486</v>
      </c>
      <c r="B1360" s="9" t="s">
        <v>1472</v>
      </c>
      <c r="C1360" s="9" t="s">
        <v>36</v>
      </c>
      <c r="D1360" s="9" t="s">
        <v>22</v>
      </c>
      <c r="E1360" s="9">
        <v>3</v>
      </c>
      <c r="F1360" s="11">
        <v>108400</v>
      </c>
      <c r="G1360" s="9" t="str">
        <f>INDEX(Products!$B$2:$B$9,MATCH(D1360,Products!$A$2:$A$9,0))</f>
        <v>Trà hoa cúc an thần</v>
      </c>
      <c r="H1360" s="9" t="str">
        <f>INDEX(Products!$C$2:$C$9,MATCH(D1360,Products!$A$2:$A$9,0))</f>
        <v>An thần</v>
      </c>
      <c r="I1360" s="11">
        <f>INDEX(Products!$D$2:$D$9,MATCH(D1360,Products!$A$2:$A$9,0))</f>
        <v>9500</v>
      </c>
      <c r="J1360" s="10">
        <f>IFERROR(INDEX(PlatformFees!$C$2:$C$5,MATCH(C1360,PlatformFees!$A$2:$A$5,0)),0)</f>
        <v>0.13</v>
      </c>
      <c r="K1360" s="11">
        <f t="shared" si="84"/>
        <v>28500</v>
      </c>
      <c r="L1360" s="11">
        <f t="shared" si="85"/>
        <v>14092</v>
      </c>
      <c r="M1360" s="11">
        <f t="shared" si="86"/>
        <v>65808</v>
      </c>
      <c r="N1360" s="10">
        <f t="shared" si="87"/>
        <v>0.60708487084870844</v>
      </c>
    </row>
    <row r="1361" spans="1:14" x14ac:dyDescent="0.3">
      <c r="A1361" s="9" t="s">
        <v>1487</v>
      </c>
      <c r="B1361" s="9" t="s">
        <v>1472</v>
      </c>
      <c r="C1361" s="9" t="s">
        <v>39</v>
      </c>
      <c r="D1361" s="9" t="s">
        <v>17</v>
      </c>
      <c r="E1361" s="9">
        <v>2</v>
      </c>
      <c r="F1361" s="11">
        <v>82400</v>
      </c>
      <c r="G1361" s="9" t="str">
        <f>INDEX(Products!$B$2:$B$9,MATCH(D1361,Products!$A$2:$A$9,0))</f>
        <v>Trà diếp cá rau má</v>
      </c>
      <c r="H1361" s="9" t="str">
        <f>INDEX(Products!$C$2:$C$9,MATCH(D1361,Products!$A$2:$A$9,0))</f>
        <v>Detox</v>
      </c>
      <c r="I1361" s="11">
        <f>INDEX(Products!$D$2:$D$9,MATCH(D1361,Products!$A$2:$A$9,0))</f>
        <v>10500</v>
      </c>
      <c r="J1361" s="10">
        <f>IFERROR(INDEX(PlatformFees!$C$2:$C$5,MATCH(C1361,PlatformFees!$A$2:$A$5,0)),0)</f>
        <v>0</v>
      </c>
      <c r="K1361" s="11">
        <f t="shared" si="84"/>
        <v>21000</v>
      </c>
      <c r="L1361" s="11">
        <f t="shared" si="85"/>
        <v>0</v>
      </c>
      <c r="M1361" s="11">
        <f t="shared" si="86"/>
        <v>61400</v>
      </c>
      <c r="N1361" s="10">
        <f t="shared" si="87"/>
        <v>0.74514563106796117</v>
      </c>
    </row>
    <row r="1362" spans="1:14" x14ac:dyDescent="0.3">
      <c r="A1362" s="9" t="s">
        <v>1488</v>
      </c>
      <c r="B1362" s="9" t="s">
        <v>1472</v>
      </c>
      <c r="C1362" s="9" t="s">
        <v>39</v>
      </c>
      <c r="D1362" s="9" t="s">
        <v>12</v>
      </c>
      <c r="E1362" s="9">
        <v>1</v>
      </c>
      <c r="F1362" s="11">
        <v>33500</v>
      </c>
      <c r="G1362" s="9" t="str">
        <f>INDEX(Products!$B$2:$B$9,MATCH(D1362,Products!$A$2:$A$9,0))</f>
        <v>Trà atiso thanh lọc</v>
      </c>
      <c r="H1362" s="9" t="str">
        <f>INDEX(Products!$C$2:$C$9,MATCH(D1362,Products!$A$2:$A$9,0))</f>
        <v>Thanh lọc</v>
      </c>
      <c r="I1362" s="11">
        <f>INDEX(Products!$D$2:$D$9,MATCH(D1362,Products!$A$2:$A$9,0))</f>
        <v>9000</v>
      </c>
      <c r="J1362" s="10">
        <f>IFERROR(INDEX(PlatformFees!$C$2:$C$5,MATCH(C1362,PlatformFees!$A$2:$A$5,0)),0)</f>
        <v>0</v>
      </c>
      <c r="K1362" s="11">
        <f t="shared" si="84"/>
        <v>9000</v>
      </c>
      <c r="L1362" s="11">
        <f t="shared" si="85"/>
        <v>0</v>
      </c>
      <c r="M1362" s="11">
        <f t="shared" si="86"/>
        <v>24500</v>
      </c>
      <c r="N1362" s="10">
        <f t="shared" si="87"/>
        <v>0.73134328358208955</v>
      </c>
    </row>
    <row r="1363" spans="1:14" x14ac:dyDescent="0.3">
      <c r="A1363" s="9" t="s">
        <v>1489</v>
      </c>
      <c r="B1363" s="9" t="s">
        <v>1472</v>
      </c>
      <c r="C1363" s="9" t="s">
        <v>39</v>
      </c>
      <c r="D1363" s="9" t="s">
        <v>25</v>
      </c>
      <c r="E1363" s="9">
        <v>1</v>
      </c>
      <c r="F1363" s="11">
        <v>34400</v>
      </c>
      <c r="G1363" s="9" t="str">
        <f>INDEX(Products!$B$2:$B$9,MATCH(D1363,Products!$A$2:$A$9,0))</f>
        <v>Trà hoa đậu biếc</v>
      </c>
      <c r="H1363" s="9" t="str">
        <f>INDEX(Products!$C$2:$C$9,MATCH(D1363,Products!$A$2:$A$9,0))</f>
        <v>An thần</v>
      </c>
      <c r="I1363" s="11">
        <f>INDEX(Products!$D$2:$D$9,MATCH(D1363,Products!$A$2:$A$9,0))</f>
        <v>8800</v>
      </c>
      <c r="J1363" s="10">
        <f>IFERROR(INDEX(PlatformFees!$C$2:$C$5,MATCH(C1363,PlatformFees!$A$2:$A$5,0)),0)</f>
        <v>0</v>
      </c>
      <c r="K1363" s="11">
        <f t="shared" si="84"/>
        <v>8800</v>
      </c>
      <c r="L1363" s="11">
        <f t="shared" si="85"/>
        <v>0</v>
      </c>
      <c r="M1363" s="11">
        <f t="shared" si="86"/>
        <v>25600</v>
      </c>
      <c r="N1363" s="10">
        <f t="shared" si="87"/>
        <v>0.7441860465116279</v>
      </c>
    </row>
    <row r="1364" spans="1:14" x14ac:dyDescent="0.3">
      <c r="A1364" s="9" t="s">
        <v>1490</v>
      </c>
      <c r="B1364" s="9" t="s">
        <v>1472</v>
      </c>
      <c r="C1364" s="9" t="s">
        <v>36</v>
      </c>
      <c r="D1364" s="9" t="s">
        <v>27</v>
      </c>
      <c r="E1364" s="9">
        <v>3</v>
      </c>
      <c r="F1364" s="11">
        <v>116700</v>
      </c>
      <c r="G1364" s="9" t="str">
        <f>INDEX(Products!$B$2:$B$9,MATCH(D1364,Products!$A$2:$A$9,0))</f>
        <v>Trà gừng mật ong</v>
      </c>
      <c r="H1364" s="9" t="str">
        <f>INDEX(Products!$C$2:$C$9,MATCH(D1364,Products!$A$2:$A$9,0))</f>
        <v>Giữ ấm</v>
      </c>
      <c r="I1364" s="11">
        <f>INDEX(Products!$D$2:$D$9,MATCH(D1364,Products!$A$2:$A$9,0))</f>
        <v>11000</v>
      </c>
      <c r="J1364" s="10">
        <f>IFERROR(INDEX(PlatformFees!$C$2:$C$5,MATCH(C1364,PlatformFees!$A$2:$A$5,0)),0)</f>
        <v>0.13</v>
      </c>
      <c r="K1364" s="11">
        <f t="shared" si="84"/>
        <v>33000</v>
      </c>
      <c r="L1364" s="11">
        <f t="shared" si="85"/>
        <v>15171</v>
      </c>
      <c r="M1364" s="11">
        <f t="shared" si="86"/>
        <v>68529</v>
      </c>
      <c r="N1364" s="10">
        <f t="shared" si="87"/>
        <v>0.58722365038560409</v>
      </c>
    </row>
    <row r="1365" spans="1:14" x14ac:dyDescent="0.3">
      <c r="A1365" s="9" t="s">
        <v>1491</v>
      </c>
      <c r="B1365" s="9" t="s">
        <v>1472</v>
      </c>
      <c r="C1365" s="9" t="s">
        <v>38</v>
      </c>
      <c r="D1365" s="9" t="s">
        <v>12</v>
      </c>
      <c r="E1365" s="9">
        <v>1</v>
      </c>
      <c r="F1365" s="11">
        <v>34100</v>
      </c>
      <c r="G1365" s="9" t="str">
        <f>INDEX(Products!$B$2:$B$9,MATCH(D1365,Products!$A$2:$A$9,0))</f>
        <v>Trà atiso thanh lọc</v>
      </c>
      <c r="H1365" s="9" t="str">
        <f>INDEX(Products!$C$2:$C$9,MATCH(D1365,Products!$A$2:$A$9,0))</f>
        <v>Thanh lọc</v>
      </c>
      <c r="I1365" s="11">
        <f>INDEX(Products!$D$2:$D$9,MATCH(D1365,Products!$A$2:$A$9,0))</f>
        <v>9000</v>
      </c>
      <c r="J1365" s="10">
        <f>IFERROR(INDEX(PlatformFees!$C$2:$C$5,MATCH(C1365,PlatformFees!$A$2:$A$5,0)),0)</f>
        <v>0.16</v>
      </c>
      <c r="K1365" s="11">
        <f t="shared" si="84"/>
        <v>9000</v>
      </c>
      <c r="L1365" s="11">
        <f t="shared" si="85"/>
        <v>5456</v>
      </c>
      <c r="M1365" s="11">
        <f t="shared" si="86"/>
        <v>19644</v>
      </c>
      <c r="N1365" s="10">
        <f t="shared" si="87"/>
        <v>0.57607038123167154</v>
      </c>
    </row>
    <row r="1366" spans="1:14" x14ac:dyDescent="0.3">
      <c r="A1366" s="9" t="s">
        <v>1492</v>
      </c>
      <c r="B1366" s="9" t="s">
        <v>1472</v>
      </c>
      <c r="C1366" s="9" t="s">
        <v>38</v>
      </c>
      <c r="D1366" s="9" t="s">
        <v>27</v>
      </c>
      <c r="E1366" s="9">
        <v>2</v>
      </c>
      <c r="F1366" s="11">
        <v>81500</v>
      </c>
      <c r="G1366" s="9" t="str">
        <f>INDEX(Products!$B$2:$B$9,MATCH(D1366,Products!$A$2:$A$9,0))</f>
        <v>Trà gừng mật ong</v>
      </c>
      <c r="H1366" s="9" t="str">
        <f>INDEX(Products!$C$2:$C$9,MATCH(D1366,Products!$A$2:$A$9,0))</f>
        <v>Giữ ấm</v>
      </c>
      <c r="I1366" s="11">
        <f>INDEX(Products!$D$2:$D$9,MATCH(D1366,Products!$A$2:$A$9,0))</f>
        <v>11000</v>
      </c>
      <c r="J1366" s="10">
        <f>IFERROR(INDEX(PlatformFees!$C$2:$C$5,MATCH(C1366,PlatformFees!$A$2:$A$5,0)),0)</f>
        <v>0.16</v>
      </c>
      <c r="K1366" s="11">
        <f t="shared" si="84"/>
        <v>22000</v>
      </c>
      <c r="L1366" s="11">
        <f t="shared" si="85"/>
        <v>13040</v>
      </c>
      <c r="M1366" s="11">
        <f t="shared" si="86"/>
        <v>46460</v>
      </c>
      <c r="N1366" s="10">
        <f t="shared" si="87"/>
        <v>0.57006134969325151</v>
      </c>
    </row>
    <row r="1367" spans="1:14" x14ac:dyDescent="0.3">
      <c r="A1367" s="9" t="s">
        <v>1493</v>
      </c>
      <c r="B1367" s="9" t="s">
        <v>1494</v>
      </c>
      <c r="C1367" s="9" t="s">
        <v>39</v>
      </c>
      <c r="D1367" s="9" t="s">
        <v>20</v>
      </c>
      <c r="E1367" s="9">
        <v>3</v>
      </c>
      <c r="F1367" s="11">
        <v>152800</v>
      </c>
      <c r="G1367" s="9" t="str">
        <f>INDEX(Products!$B$2:$B$9,MATCH(D1367,Products!$A$2:$A$9,0))</f>
        <v>Trà cà leo gai giảm cân</v>
      </c>
      <c r="H1367" s="9" t="str">
        <f>INDEX(Products!$C$2:$C$9,MATCH(D1367,Products!$A$2:$A$9,0))</f>
        <v>Detox</v>
      </c>
      <c r="I1367" s="11">
        <f>INDEX(Products!$D$2:$D$9,MATCH(D1367,Products!$A$2:$A$9,0))</f>
        <v>15000</v>
      </c>
      <c r="J1367" s="10">
        <f>IFERROR(INDEX(PlatformFees!$C$2:$C$5,MATCH(C1367,PlatformFees!$A$2:$A$5,0)),0)</f>
        <v>0</v>
      </c>
      <c r="K1367" s="11">
        <f t="shared" si="84"/>
        <v>45000</v>
      </c>
      <c r="L1367" s="11">
        <f t="shared" si="85"/>
        <v>0</v>
      </c>
      <c r="M1367" s="11">
        <f t="shared" si="86"/>
        <v>107800</v>
      </c>
      <c r="N1367" s="10">
        <f t="shared" si="87"/>
        <v>0.70549738219895286</v>
      </c>
    </row>
    <row r="1368" spans="1:14" x14ac:dyDescent="0.3">
      <c r="A1368" s="9" t="s">
        <v>1495</v>
      </c>
      <c r="B1368" s="9" t="s">
        <v>1494</v>
      </c>
      <c r="C1368" s="9" t="s">
        <v>38</v>
      </c>
      <c r="D1368" s="9" t="s">
        <v>20</v>
      </c>
      <c r="E1368" s="9">
        <v>3</v>
      </c>
      <c r="F1368" s="11">
        <v>157500</v>
      </c>
      <c r="G1368" s="9" t="str">
        <f>INDEX(Products!$B$2:$B$9,MATCH(D1368,Products!$A$2:$A$9,0))</f>
        <v>Trà cà leo gai giảm cân</v>
      </c>
      <c r="H1368" s="9" t="str">
        <f>INDEX(Products!$C$2:$C$9,MATCH(D1368,Products!$A$2:$A$9,0))</f>
        <v>Detox</v>
      </c>
      <c r="I1368" s="11">
        <f>INDEX(Products!$D$2:$D$9,MATCH(D1368,Products!$A$2:$A$9,0))</f>
        <v>15000</v>
      </c>
      <c r="J1368" s="10">
        <f>IFERROR(INDEX(PlatformFees!$C$2:$C$5,MATCH(C1368,PlatformFees!$A$2:$A$5,0)),0)</f>
        <v>0.16</v>
      </c>
      <c r="K1368" s="11">
        <f t="shared" si="84"/>
        <v>45000</v>
      </c>
      <c r="L1368" s="11">
        <f t="shared" si="85"/>
        <v>25200</v>
      </c>
      <c r="M1368" s="11">
        <f t="shared" si="86"/>
        <v>87300</v>
      </c>
      <c r="N1368" s="10">
        <f t="shared" si="87"/>
        <v>0.55428571428571427</v>
      </c>
    </row>
    <row r="1369" spans="1:14" x14ac:dyDescent="0.3">
      <c r="A1369" s="9" t="s">
        <v>1496</v>
      </c>
      <c r="B1369" s="9" t="s">
        <v>1494</v>
      </c>
      <c r="C1369" s="9" t="s">
        <v>38</v>
      </c>
      <c r="D1369" s="9" t="s">
        <v>17</v>
      </c>
      <c r="E1369" s="9">
        <v>3</v>
      </c>
      <c r="F1369" s="11">
        <v>120500</v>
      </c>
      <c r="G1369" s="9" t="str">
        <f>INDEX(Products!$B$2:$B$9,MATCH(D1369,Products!$A$2:$A$9,0))</f>
        <v>Trà diếp cá rau má</v>
      </c>
      <c r="H1369" s="9" t="str">
        <f>INDEX(Products!$C$2:$C$9,MATCH(D1369,Products!$A$2:$A$9,0))</f>
        <v>Detox</v>
      </c>
      <c r="I1369" s="11">
        <f>INDEX(Products!$D$2:$D$9,MATCH(D1369,Products!$A$2:$A$9,0))</f>
        <v>10500</v>
      </c>
      <c r="J1369" s="10">
        <f>IFERROR(INDEX(PlatformFees!$C$2:$C$5,MATCH(C1369,PlatformFees!$A$2:$A$5,0)),0)</f>
        <v>0.16</v>
      </c>
      <c r="K1369" s="11">
        <f t="shared" si="84"/>
        <v>31500</v>
      </c>
      <c r="L1369" s="11">
        <f t="shared" si="85"/>
        <v>19280</v>
      </c>
      <c r="M1369" s="11">
        <f t="shared" si="86"/>
        <v>69720</v>
      </c>
      <c r="N1369" s="10">
        <f t="shared" si="87"/>
        <v>0.57858921161825727</v>
      </c>
    </row>
    <row r="1370" spans="1:14" x14ac:dyDescent="0.3">
      <c r="A1370" s="9" t="s">
        <v>1497</v>
      </c>
      <c r="B1370" s="9" t="s">
        <v>1494</v>
      </c>
      <c r="C1370" s="9" t="s">
        <v>40</v>
      </c>
      <c r="D1370" s="9" t="s">
        <v>27</v>
      </c>
      <c r="E1370" s="9">
        <v>1</v>
      </c>
      <c r="F1370" s="11">
        <v>41100</v>
      </c>
      <c r="G1370" s="9" t="str">
        <f>INDEX(Products!$B$2:$B$9,MATCH(D1370,Products!$A$2:$A$9,0))</f>
        <v>Trà gừng mật ong</v>
      </c>
      <c r="H1370" s="9" t="str">
        <f>INDEX(Products!$C$2:$C$9,MATCH(D1370,Products!$A$2:$A$9,0))</f>
        <v>Giữ ấm</v>
      </c>
      <c r="I1370" s="11">
        <f>INDEX(Products!$D$2:$D$9,MATCH(D1370,Products!$A$2:$A$9,0))</f>
        <v>11000</v>
      </c>
      <c r="J1370" s="10">
        <f>IFERROR(INDEX(PlatformFees!$C$2:$C$5,MATCH(C1370,PlatformFees!$A$2:$A$5,0)),0)</f>
        <v>0</v>
      </c>
      <c r="K1370" s="11">
        <f t="shared" si="84"/>
        <v>11000</v>
      </c>
      <c r="L1370" s="11">
        <f t="shared" si="85"/>
        <v>0</v>
      </c>
      <c r="M1370" s="11">
        <f t="shared" si="86"/>
        <v>30100</v>
      </c>
      <c r="N1370" s="10">
        <f t="shared" si="87"/>
        <v>0.73236009732360097</v>
      </c>
    </row>
    <row r="1371" spans="1:14" x14ac:dyDescent="0.3">
      <c r="A1371" s="9" t="s">
        <v>1498</v>
      </c>
      <c r="B1371" s="9" t="s">
        <v>1494</v>
      </c>
      <c r="C1371" s="9" t="s">
        <v>36</v>
      </c>
      <c r="D1371" s="9" t="s">
        <v>12</v>
      </c>
      <c r="E1371" s="9">
        <v>2</v>
      </c>
      <c r="F1371" s="11">
        <v>69200</v>
      </c>
      <c r="G1371" s="9" t="str">
        <f>INDEX(Products!$B$2:$B$9,MATCH(D1371,Products!$A$2:$A$9,0))</f>
        <v>Trà atiso thanh lọc</v>
      </c>
      <c r="H1371" s="9" t="str">
        <f>INDEX(Products!$C$2:$C$9,MATCH(D1371,Products!$A$2:$A$9,0))</f>
        <v>Thanh lọc</v>
      </c>
      <c r="I1371" s="11">
        <f>INDEX(Products!$D$2:$D$9,MATCH(D1371,Products!$A$2:$A$9,0))</f>
        <v>9000</v>
      </c>
      <c r="J1371" s="10">
        <f>IFERROR(INDEX(PlatformFees!$C$2:$C$5,MATCH(C1371,PlatformFees!$A$2:$A$5,0)),0)</f>
        <v>0.13</v>
      </c>
      <c r="K1371" s="11">
        <f t="shared" si="84"/>
        <v>18000</v>
      </c>
      <c r="L1371" s="11">
        <f t="shared" si="85"/>
        <v>8996</v>
      </c>
      <c r="M1371" s="11">
        <f t="shared" si="86"/>
        <v>42204</v>
      </c>
      <c r="N1371" s="10">
        <f t="shared" si="87"/>
        <v>0.60988439306358377</v>
      </c>
    </row>
    <row r="1372" spans="1:14" x14ac:dyDescent="0.3">
      <c r="A1372" s="9" t="s">
        <v>1499</v>
      </c>
      <c r="B1372" s="9" t="s">
        <v>1494</v>
      </c>
      <c r="C1372" s="9" t="s">
        <v>39</v>
      </c>
      <c r="D1372" s="9" t="s">
        <v>22</v>
      </c>
      <c r="E1372" s="9">
        <v>2</v>
      </c>
      <c r="F1372" s="11">
        <v>71500</v>
      </c>
      <c r="G1372" s="9" t="str">
        <f>INDEX(Products!$B$2:$B$9,MATCH(D1372,Products!$A$2:$A$9,0))</f>
        <v>Trà hoa cúc an thần</v>
      </c>
      <c r="H1372" s="9" t="str">
        <f>INDEX(Products!$C$2:$C$9,MATCH(D1372,Products!$A$2:$A$9,0))</f>
        <v>An thần</v>
      </c>
      <c r="I1372" s="11">
        <f>INDEX(Products!$D$2:$D$9,MATCH(D1372,Products!$A$2:$A$9,0))</f>
        <v>9500</v>
      </c>
      <c r="J1372" s="10">
        <f>IFERROR(INDEX(PlatformFees!$C$2:$C$5,MATCH(C1372,PlatformFees!$A$2:$A$5,0)),0)</f>
        <v>0</v>
      </c>
      <c r="K1372" s="11">
        <f t="shared" si="84"/>
        <v>19000</v>
      </c>
      <c r="L1372" s="11">
        <f t="shared" si="85"/>
        <v>0</v>
      </c>
      <c r="M1372" s="11">
        <f t="shared" si="86"/>
        <v>52500</v>
      </c>
      <c r="N1372" s="10">
        <f t="shared" si="87"/>
        <v>0.73426573426573427</v>
      </c>
    </row>
    <row r="1373" spans="1:14" x14ac:dyDescent="0.3">
      <c r="A1373" s="9" t="s">
        <v>1500</v>
      </c>
      <c r="B1373" s="9" t="s">
        <v>1494</v>
      </c>
      <c r="C1373" s="9" t="s">
        <v>36</v>
      </c>
      <c r="D1373" s="9" t="s">
        <v>25</v>
      </c>
      <c r="E1373" s="9">
        <v>1</v>
      </c>
      <c r="F1373" s="11">
        <v>33900</v>
      </c>
      <c r="G1373" s="9" t="str">
        <f>INDEX(Products!$B$2:$B$9,MATCH(D1373,Products!$A$2:$A$9,0))</f>
        <v>Trà hoa đậu biếc</v>
      </c>
      <c r="H1373" s="9" t="str">
        <f>INDEX(Products!$C$2:$C$9,MATCH(D1373,Products!$A$2:$A$9,0))</f>
        <v>An thần</v>
      </c>
      <c r="I1373" s="11">
        <f>INDEX(Products!$D$2:$D$9,MATCH(D1373,Products!$A$2:$A$9,0))</f>
        <v>8800</v>
      </c>
      <c r="J1373" s="10">
        <f>IFERROR(INDEX(PlatformFees!$C$2:$C$5,MATCH(C1373,PlatformFees!$A$2:$A$5,0)),0)</f>
        <v>0.13</v>
      </c>
      <c r="K1373" s="11">
        <f t="shared" si="84"/>
        <v>8800</v>
      </c>
      <c r="L1373" s="11">
        <f t="shared" si="85"/>
        <v>4407</v>
      </c>
      <c r="M1373" s="11">
        <f t="shared" si="86"/>
        <v>20693</v>
      </c>
      <c r="N1373" s="10">
        <f t="shared" si="87"/>
        <v>0.61041297935103245</v>
      </c>
    </row>
    <row r="1374" spans="1:14" x14ac:dyDescent="0.3">
      <c r="A1374" s="9" t="s">
        <v>1501</v>
      </c>
      <c r="B1374" s="9" t="s">
        <v>1494</v>
      </c>
      <c r="C1374" s="9" t="s">
        <v>36</v>
      </c>
      <c r="D1374" s="9" t="s">
        <v>12</v>
      </c>
      <c r="E1374" s="9">
        <v>2</v>
      </c>
      <c r="F1374" s="11">
        <v>65100</v>
      </c>
      <c r="G1374" s="9" t="str">
        <f>INDEX(Products!$B$2:$B$9,MATCH(D1374,Products!$A$2:$A$9,0))</f>
        <v>Trà atiso thanh lọc</v>
      </c>
      <c r="H1374" s="9" t="str">
        <f>INDEX(Products!$C$2:$C$9,MATCH(D1374,Products!$A$2:$A$9,0))</f>
        <v>Thanh lọc</v>
      </c>
      <c r="I1374" s="11">
        <f>INDEX(Products!$D$2:$D$9,MATCH(D1374,Products!$A$2:$A$9,0))</f>
        <v>9000</v>
      </c>
      <c r="J1374" s="10">
        <f>IFERROR(INDEX(PlatformFees!$C$2:$C$5,MATCH(C1374,PlatformFees!$A$2:$A$5,0)),0)</f>
        <v>0.13</v>
      </c>
      <c r="K1374" s="11">
        <f t="shared" si="84"/>
        <v>18000</v>
      </c>
      <c r="L1374" s="11">
        <f t="shared" si="85"/>
        <v>8463</v>
      </c>
      <c r="M1374" s="11">
        <f t="shared" si="86"/>
        <v>38637</v>
      </c>
      <c r="N1374" s="10">
        <f t="shared" si="87"/>
        <v>0.59350230414746541</v>
      </c>
    </row>
    <row r="1375" spans="1:14" x14ac:dyDescent="0.3">
      <c r="A1375" s="9" t="s">
        <v>1502</v>
      </c>
      <c r="B1375" s="9" t="s">
        <v>1494</v>
      </c>
      <c r="C1375" s="9" t="s">
        <v>39</v>
      </c>
      <c r="D1375" s="9" t="s">
        <v>20</v>
      </c>
      <c r="E1375" s="9">
        <v>1</v>
      </c>
      <c r="F1375" s="11">
        <v>51900</v>
      </c>
      <c r="G1375" s="9" t="str">
        <f>INDEX(Products!$B$2:$B$9,MATCH(D1375,Products!$A$2:$A$9,0))</f>
        <v>Trà cà leo gai giảm cân</v>
      </c>
      <c r="H1375" s="9" t="str">
        <f>INDEX(Products!$C$2:$C$9,MATCH(D1375,Products!$A$2:$A$9,0))</f>
        <v>Detox</v>
      </c>
      <c r="I1375" s="11">
        <f>INDEX(Products!$D$2:$D$9,MATCH(D1375,Products!$A$2:$A$9,0))</f>
        <v>15000</v>
      </c>
      <c r="J1375" s="10">
        <f>IFERROR(INDEX(PlatformFees!$C$2:$C$5,MATCH(C1375,PlatformFees!$A$2:$A$5,0)),0)</f>
        <v>0</v>
      </c>
      <c r="K1375" s="11">
        <f t="shared" si="84"/>
        <v>15000</v>
      </c>
      <c r="L1375" s="11">
        <f t="shared" si="85"/>
        <v>0</v>
      </c>
      <c r="M1375" s="11">
        <f t="shared" si="86"/>
        <v>36900</v>
      </c>
      <c r="N1375" s="10">
        <f t="shared" si="87"/>
        <v>0.71098265895953761</v>
      </c>
    </row>
    <row r="1376" spans="1:14" x14ac:dyDescent="0.3">
      <c r="A1376" s="9" t="s">
        <v>1503</v>
      </c>
      <c r="B1376" s="9" t="s">
        <v>1494</v>
      </c>
      <c r="C1376" s="9" t="s">
        <v>36</v>
      </c>
      <c r="D1376" s="9" t="s">
        <v>15</v>
      </c>
      <c r="E1376" s="9">
        <v>1</v>
      </c>
      <c r="F1376" s="11">
        <v>32200</v>
      </c>
      <c r="G1376" s="9" t="str">
        <f>INDEX(Products!$B$2:$B$9,MATCH(D1376,Products!$A$2:$A$9,0))</f>
        <v>Trà lá nam sen ổi</v>
      </c>
      <c r="H1376" s="9" t="str">
        <f>INDEX(Products!$C$2:$C$9,MATCH(D1376,Products!$A$2:$A$9,0))</f>
        <v>Thanh lọc</v>
      </c>
      <c r="I1376" s="11">
        <f>INDEX(Products!$D$2:$D$9,MATCH(D1376,Products!$A$2:$A$9,0))</f>
        <v>8500</v>
      </c>
      <c r="J1376" s="10">
        <f>IFERROR(INDEX(PlatformFees!$C$2:$C$5,MATCH(C1376,PlatformFees!$A$2:$A$5,0)),0)</f>
        <v>0.13</v>
      </c>
      <c r="K1376" s="11">
        <f t="shared" si="84"/>
        <v>8500</v>
      </c>
      <c r="L1376" s="11">
        <f t="shared" si="85"/>
        <v>4186</v>
      </c>
      <c r="M1376" s="11">
        <f t="shared" si="86"/>
        <v>19514</v>
      </c>
      <c r="N1376" s="10">
        <f t="shared" si="87"/>
        <v>0.60602484472049689</v>
      </c>
    </row>
    <row r="1377" spans="1:14" x14ac:dyDescent="0.3">
      <c r="A1377" s="9" t="s">
        <v>1504</v>
      </c>
      <c r="B1377" s="9" t="s">
        <v>1494</v>
      </c>
      <c r="C1377" s="9" t="s">
        <v>40</v>
      </c>
      <c r="D1377" s="9" t="s">
        <v>22</v>
      </c>
      <c r="E1377" s="9">
        <v>1</v>
      </c>
      <c r="F1377" s="11">
        <v>38300</v>
      </c>
      <c r="G1377" s="9" t="str">
        <f>INDEX(Products!$B$2:$B$9,MATCH(D1377,Products!$A$2:$A$9,0))</f>
        <v>Trà hoa cúc an thần</v>
      </c>
      <c r="H1377" s="9" t="str">
        <f>INDEX(Products!$C$2:$C$9,MATCH(D1377,Products!$A$2:$A$9,0))</f>
        <v>An thần</v>
      </c>
      <c r="I1377" s="11">
        <f>INDEX(Products!$D$2:$D$9,MATCH(D1377,Products!$A$2:$A$9,0))</f>
        <v>9500</v>
      </c>
      <c r="J1377" s="10">
        <f>IFERROR(INDEX(PlatformFees!$C$2:$C$5,MATCH(C1377,PlatformFees!$A$2:$A$5,0)),0)</f>
        <v>0</v>
      </c>
      <c r="K1377" s="11">
        <f t="shared" si="84"/>
        <v>9500</v>
      </c>
      <c r="L1377" s="11">
        <f t="shared" si="85"/>
        <v>0</v>
      </c>
      <c r="M1377" s="11">
        <f t="shared" si="86"/>
        <v>28800</v>
      </c>
      <c r="N1377" s="10">
        <f t="shared" si="87"/>
        <v>0.75195822454308092</v>
      </c>
    </row>
    <row r="1378" spans="1:14" x14ac:dyDescent="0.3">
      <c r="A1378" s="9" t="s">
        <v>1505</v>
      </c>
      <c r="B1378" s="9" t="s">
        <v>1494</v>
      </c>
      <c r="C1378" s="9" t="s">
        <v>40</v>
      </c>
      <c r="D1378" s="9" t="s">
        <v>15</v>
      </c>
      <c r="E1378" s="9">
        <v>1</v>
      </c>
      <c r="F1378" s="11">
        <v>32700</v>
      </c>
      <c r="G1378" s="9" t="str">
        <f>INDEX(Products!$B$2:$B$9,MATCH(D1378,Products!$A$2:$A$9,0))</f>
        <v>Trà lá nam sen ổi</v>
      </c>
      <c r="H1378" s="9" t="str">
        <f>INDEX(Products!$C$2:$C$9,MATCH(D1378,Products!$A$2:$A$9,0))</f>
        <v>Thanh lọc</v>
      </c>
      <c r="I1378" s="11">
        <f>INDEX(Products!$D$2:$D$9,MATCH(D1378,Products!$A$2:$A$9,0))</f>
        <v>8500</v>
      </c>
      <c r="J1378" s="10">
        <f>IFERROR(INDEX(PlatformFees!$C$2:$C$5,MATCH(C1378,PlatformFees!$A$2:$A$5,0)),0)</f>
        <v>0</v>
      </c>
      <c r="K1378" s="11">
        <f t="shared" si="84"/>
        <v>8500</v>
      </c>
      <c r="L1378" s="11">
        <f t="shared" si="85"/>
        <v>0</v>
      </c>
      <c r="M1378" s="11">
        <f t="shared" si="86"/>
        <v>24200</v>
      </c>
      <c r="N1378" s="10">
        <f t="shared" si="87"/>
        <v>0.74006116207951067</v>
      </c>
    </row>
    <row r="1379" spans="1:14" x14ac:dyDescent="0.3">
      <c r="A1379" s="9" t="s">
        <v>1506</v>
      </c>
      <c r="B1379" s="9" t="s">
        <v>1494</v>
      </c>
      <c r="C1379" s="9" t="s">
        <v>39</v>
      </c>
      <c r="D1379" s="9" t="s">
        <v>22</v>
      </c>
      <c r="E1379" s="9">
        <v>1</v>
      </c>
      <c r="F1379" s="11">
        <v>35600</v>
      </c>
      <c r="G1379" s="9" t="str">
        <f>INDEX(Products!$B$2:$B$9,MATCH(D1379,Products!$A$2:$A$9,0))</f>
        <v>Trà hoa cúc an thần</v>
      </c>
      <c r="H1379" s="9" t="str">
        <f>INDEX(Products!$C$2:$C$9,MATCH(D1379,Products!$A$2:$A$9,0))</f>
        <v>An thần</v>
      </c>
      <c r="I1379" s="11">
        <f>INDEX(Products!$D$2:$D$9,MATCH(D1379,Products!$A$2:$A$9,0))</f>
        <v>9500</v>
      </c>
      <c r="J1379" s="10">
        <f>IFERROR(INDEX(PlatformFees!$C$2:$C$5,MATCH(C1379,PlatformFees!$A$2:$A$5,0)),0)</f>
        <v>0</v>
      </c>
      <c r="K1379" s="11">
        <f t="shared" si="84"/>
        <v>9500</v>
      </c>
      <c r="L1379" s="11">
        <f t="shared" si="85"/>
        <v>0</v>
      </c>
      <c r="M1379" s="11">
        <f t="shared" si="86"/>
        <v>26100</v>
      </c>
      <c r="N1379" s="10">
        <f t="shared" si="87"/>
        <v>0.7331460674157303</v>
      </c>
    </row>
    <row r="1380" spans="1:14" x14ac:dyDescent="0.3">
      <c r="A1380" s="9" t="s">
        <v>1507</v>
      </c>
      <c r="B1380" s="9" t="s">
        <v>1494</v>
      </c>
      <c r="C1380" s="9" t="s">
        <v>39</v>
      </c>
      <c r="D1380" s="9" t="s">
        <v>27</v>
      </c>
      <c r="E1380" s="9">
        <v>2</v>
      </c>
      <c r="F1380" s="11">
        <v>79600</v>
      </c>
      <c r="G1380" s="9" t="str">
        <f>INDEX(Products!$B$2:$B$9,MATCH(D1380,Products!$A$2:$A$9,0))</f>
        <v>Trà gừng mật ong</v>
      </c>
      <c r="H1380" s="9" t="str">
        <f>INDEX(Products!$C$2:$C$9,MATCH(D1380,Products!$A$2:$A$9,0))</f>
        <v>Giữ ấm</v>
      </c>
      <c r="I1380" s="11">
        <f>INDEX(Products!$D$2:$D$9,MATCH(D1380,Products!$A$2:$A$9,0))</f>
        <v>11000</v>
      </c>
      <c r="J1380" s="10">
        <f>IFERROR(INDEX(PlatformFees!$C$2:$C$5,MATCH(C1380,PlatformFees!$A$2:$A$5,0)),0)</f>
        <v>0</v>
      </c>
      <c r="K1380" s="11">
        <f t="shared" si="84"/>
        <v>22000</v>
      </c>
      <c r="L1380" s="11">
        <f t="shared" si="85"/>
        <v>0</v>
      </c>
      <c r="M1380" s="11">
        <f t="shared" si="86"/>
        <v>57600</v>
      </c>
      <c r="N1380" s="10">
        <f t="shared" si="87"/>
        <v>0.72361809045226133</v>
      </c>
    </row>
    <row r="1381" spans="1:14" x14ac:dyDescent="0.3">
      <c r="A1381" s="9" t="s">
        <v>1508</v>
      </c>
      <c r="B1381" s="9" t="s">
        <v>1494</v>
      </c>
      <c r="C1381" s="9" t="s">
        <v>36</v>
      </c>
      <c r="D1381" s="9" t="s">
        <v>25</v>
      </c>
      <c r="E1381" s="9">
        <v>2</v>
      </c>
      <c r="F1381" s="11">
        <v>65500</v>
      </c>
      <c r="G1381" s="9" t="str">
        <f>INDEX(Products!$B$2:$B$9,MATCH(D1381,Products!$A$2:$A$9,0))</f>
        <v>Trà hoa đậu biếc</v>
      </c>
      <c r="H1381" s="9" t="str">
        <f>INDEX(Products!$C$2:$C$9,MATCH(D1381,Products!$A$2:$A$9,0))</f>
        <v>An thần</v>
      </c>
      <c r="I1381" s="11">
        <f>INDEX(Products!$D$2:$D$9,MATCH(D1381,Products!$A$2:$A$9,0))</f>
        <v>8800</v>
      </c>
      <c r="J1381" s="10">
        <f>IFERROR(INDEX(PlatformFees!$C$2:$C$5,MATCH(C1381,PlatformFees!$A$2:$A$5,0)),0)</f>
        <v>0.13</v>
      </c>
      <c r="K1381" s="11">
        <f t="shared" si="84"/>
        <v>17600</v>
      </c>
      <c r="L1381" s="11">
        <f t="shared" si="85"/>
        <v>8515</v>
      </c>
      <c r="M1381" s="11">
        <f t="shared" si="86"/>
        <v>39385</v>
      </c>
      <c r="N1381" s="10">
        <f t="shared" si="87"/>
        <v>0.60129770992366416</v>
      </c>
    </row>
    <row r="1382" spans="1:14" x14ac:dyDescent="0.3">
      <c r="A1382" s="9" t="s">
        <v>1509</v>
      </c>
      <c r="B1382" s="9" t="s">
        <v>1494</v>
      </c>
      <c r="C1382" s="9" t="s">
        <v>39</v>
      </c>
      <c r="D1382" s="9" t="s">
        <v>12</v>
      </c>
      <c r="E1382" s="9">
        <v>1</v>
      </c>
      <c r="F1382" s="11">
        <v>35800</v>
      </c>
      <c r="G1382" s="9" t="str">
        <f>INDEX(Products!$B$2:$B$9,MATCH(D1382,Products!$A$2:$A$9,0))</f>
        <v>Trà atiso thanh lọc</v>
      </c>
      <c r="H1382" s="9" t="str">
        <f>INDEX(Products!$C$2:$C$9,MATCH(D1382,Products!$A$2:$A$9,0))</f>
        <v>Thanh lọc</v>
      </c>
      <c r="I1382" s="11">
        <f>INDEX(Products!$D$2:$D$9,MATCH(D1382,Products!$A$2:$A$9,0))</f>
        <v>9000</v>
      </c>
      <c r="J1382" s="10">
        <f>IFERROR(INDEX(PlatformFees!$C$2:$C$5,MATCH(C1382,PlatformFees!$A$2:$A$5,0)),0)</f>
        <v>0</v>
      </c>
      <c r="K1382" s="11">
        <f t="shared" si="84"/>
        <v>9000</v>
      </c>
      <c r="L1382" s="11">
        <f t="shared" si="85"/>
        <v>0</v>
      </c>
      <c r="M1382" s="11">
        <f t="shared" si="86"/>
        <v>26800</v>
      </c>
      <c r="N1382" s="10">
        <f t="shared" si="87"/>
        <v>0.74860335195530725</v>
      </c>
    </row>
    <row r="1383" spans="1:14" x14ac:dyDescent="0.3">
      <c r="A1383" s="9" t="s">
        <v>1510</v>
      </c>
      <c r="B1383" s="9" t="s">
        <v>1494</v>
      </c>
      <c r="C1383" s="9" t="s">
        <v>38</v>
      </c>
      <c r="D1383" s="9" t="s">
        <v>20</v>
      </c>
      <c r="E1383" s="9">
        <v>1</v>
      </c>
      <c r="F1383" s="11">
        <v>52600</v>
      </c>
      <c r="G1383" s="9" t="str">
        <f>INDEX(Products!$B$2:$B$9,MATCH(D1383,Products!$A$2:$A$9,0))</f>
        <v>Trà cà leo gai giảm cân</v>
      </c>
      <c r="H1383" s="9" t="str">
        <f>INDEX(Products!$C$2:$C$9,MATCH(D1383,Products!$A$2:$A$9,0))</f>
        <v>Detox</v>
      </c>
      <c r="I1383" s="11">
        <f>INDEX(Products!$D$2:$D$9,MATCH(D1383,Products!$A$2:$A$9,0))</f>
        <v>15000</v>
      </c>
      <c r="J1383" s="10">
        <f>IFERROR(INDEX(PlatformFees!$C$2:$C$5,MATCH(C1383,PlatformFees!$A$2:$A$5,0)),0)</f>
        <v>0.16</v>
      </c>
      <c r="K1383" s="11">
        <f t="shared" si="84"/>
        <v>15000</v>
      </c>
      <c r="L1383" s="11">
        <f t="shared" si="85"/>
        <v>8416</v>
      </c>
      <c r="M1383" s="11">
        <f t="shared" si="86"/>
        <v>29184</v>
      </c>
      <c r="N1383" s="10">
        <f t="shared" si="87"/>
        <v>0.55482889733840302</v>
      </c>
    </row>
    <row r="1384" spans="1:14" x14ac:dyDescent="0.3">
      <c r="A1384" s="9" t="s">
        <v>1511</v>
      </c>
      <c r="B1384" s="9" t="s">
        <v>1512</v>
      </c>
      <c r="C1384" s="9" t="s">
        <v>36</v>
      </c>
      <c r="D1384" s="9" t="s">
        <v>25</v>
      </c>
      <c r="E1384" s="9">
        <v>3</v>
      </c>
      <c r="F1384" s="11">
        <v>97300</v>
      </c>
      <c r="G1384" s="9" t="str">
        <f>INDEX(Products!$B$2:$B$9,MATCH(D1384,Products!$A$2:$A$9,0))</f>
        <v>Trà hoa đậu biếc</v>
      </c>
      <c r="H1384" s="9" t="str">
        <f>INDEX(Products!$C$2:$C$9,MATCH(D1384,Products!$A$2:$A$9,0))</f>
        <v>An thần</v>
      </c>
      <c r="I1384" s="11">
        <f>INDEX(Products!$D$2:$D$9,MATCH(D1384,Products!$A$2:$A$9,0))</f>
        <v>8800</v>
      </c>
      <c r="J1384" s="10">
        <f>IFERROR(INDEX(PlatformFees!$C$2:$C$5,MATCH(C1384,PlatformFees!$A$2:$A$5,0)),0)</f>
        <v>0.13</v>
      </c>
      <c r="K1384" s="11">
        <f t="shared" si="84"/>
        <v>26400</v>
      </c>
      <c r="L1384" s="11">
        <f t="shared" si="85"/>
        <v>12649</v>
      </c>
      <c r="M1384" s="11">
        <f t="shared" si="86"/>
        <v>58251</v>
      </c>
      <c r="N1384" s="10">
        <f t="shared" si="87"/>
        <v>0.59867420349434741</v>
      </c>
    </row>
    <row r="1385" spans="1:14" x14ac:dyDescent="0.3">
      <c r="A1385" s="9" t="s">
        <v>1513</v>
      </c>
      <c r="B1385" s="9" t="s">
        <v>1512</v>
      </c>
      <c r="C1385" s="9" t="s">
        <v>38</v>
      </c>
      <c r="D1385" s="9" t="s">
        <v>17</v>
      </c>
      <c r="E1385" s="9">
        <v>1</v>
      </c>
      <c r="F1385" s="11">
        <v>40100</v>
      </c>
      <c r="G1385" s="9" t="str">
        <f>INDEX(Products!$B$2:$B$9,MATCH(D1385,Products!$A$2:$A$9,0))</f>
        <v>Trà diếp cá rau má</v>
      </c>
      <c r="H1385" s="9" t="str">
        <f>INDEX(Products!$C$2:$C$9,MATCH(D1385,Products!$A$2:$A$9,0))</f>
        <v>Detox</v>
      </c>
      <c r="I1385" s="11">
        <f>INDEX(Products!$D$2:$D$9,MATCH(D1385,Products!$A$2:$A$9,0))</f>
        <v>10500</v>
      </c>
      <c r="J1385" s="10">
        <f>IFERROR(INDEX(PlatformFees!$C$2:$C$5,MATCH(C1385,PlatformFees!$A$2:$A$5,0)),0)</f>
        <v>0.16</v>
      </c>
      <c r="K1385" s="11">
        <f t="shared" si="84"/>
        <v>10500</v>
      </c>
      <c r="L1385" s="11">
        <f t="shared" si="85"/>
        <v>6416</v>
      </c>
      <c r="M1385" s="11">
        <f t="shared" si="86"/>
        <v>23184</v>
      </c>
      <c r="N1385" s="10">
        <f t="shared" si="87"/>
        <v>0.57815461346633412</v>
      </c>
    </row>
    <row r="1386" spans="1:14" x14ac:dyDescent="0.3">
      <c r="A1386" s="9" t="s">
        <v>1514</v>
      </c>
      <c r="B1386" s="9" t="s">
        <v>1512</v>
      </c>
      <c r="C1386" s="9" t="s">
        <v>36</v>
      </c>
      <c r="D1386" s="9" t="s">
        <v>17</v>
      </c>
      <c r="E1386" s="9">
        <v>1</v>
      </c>
      <c r="F1386" s="11">
        <v>42200</v>
      </c>
      <c r="G1386" s="9" t="str">
        <f>INDEX(Products!$B$2:$B$9,MATCH(D1386,Products!$A$2:$A$9,0))</f>
        <v>Trà diếp cá rau má</v>
      </c>
      <c r="H1386" s="9" t="str">
        <f>INDEX(Products!$C$2:$C$9,MATCH(D1386,Products!$A$2:$A$9,0))</f>
        <v>Detox</v>
      </c>
      <c r="I1386" s="11">
        <f>INDEX(Products!$D$2:$D$9,MATCH(D1386,Products!$A$2:$A$9,0))</f>
        <v>10500</v>
      </c>
      <c r="J1386" s="10">
        <f>IFERROR(INDEX(PlatformFees!$C$2:$C$5,MATCH(C1386,PlatformFees!$A$2:$A$5,0)),0)</f>
        <v>0.13</v>
      </c>
      <c r="K1386" s="11">
        <f t="shared" si="84"/>
        <v>10500</v>
      </c>
      <c r="L1386" s="11">
        <f t="shared" si="85"/>
        <v>5486</v>
      </c>
      <c r="M1386" s="11">
        <f t="shared" si="86"/>
        <v>26214</v>
      </c>
      <c r="N1386" s="10">
        <f t="shared" si="87"/>
        <v>0.62118483412322278</v>
      </c>
    </row>
    <row r="1387" spans="1:14" x14ac:dyDescent="0.3">
      <c r="A1387" s="9" t="s">
        <v>1515</v>
      </c>
      <c r="B1387" s="9" t="s">
        <v>1512</v>
      </c>
      <c r="C1387" s="9" t="s">
        <v>38</v>
      </c>
      <c r="D1387" s="9" t="s">
        <v>17</v>
      </c>
      <c r="E1387" s="9">
        <v>1</v>
      </c>
      <c r="F1387" s="11">
        <v>39900</v>
      </c>
      <c r="G1387" s="9" t="str">
        <f>INDEX(Products!$B$2:$B$9,MATCH(D1387,Products!$A$2:$A$9,0))</f>
        <v>Trà diếp cá rau má</v>
      </c>
      <c r="H1387" s="9" t="str">
        <f>INDEX(Products!$C$2:$C$9,MATCH(D1387,Products!$A$2:$A$9,0))</f>
        <v>Detox</v>
      </c>
      <c r="I1387" s="11">
        <f>INDEX(Products!$D$2:$D$9,MATCH(D1387,Products!$A$2:$A$9,0))</f>
        <v>10500</v>
      </c>
      <c r="J1387" s="10">
        <f>IFERROR(INDEX(PlatformFees!$C$2:$C$5,MATCH(C1387,PlatformFees!$A$2:$A$5,0)),0)</f>
        <v>0.16</v>
      </c>
      <c r="K1387" s="11">
        <f t="shared" si="84"/>
        <v>10500</v>
      </c>
      <c r="L1387" s="11">
        <f t="shared" si="85"/>
        <v>6384</v>
      </c>
      <c r="M1387" s="11">
        <f t="shared" si="86"/>
        <v>23016</v>
      </c>
      <c r="N1387" s="10">
        <f t="shared" si="87"/>
        <v>0.57684210526315793</v>
      </c>
    </row>
    <row r="1388" spans="1:14" x14ac:dyDescent="0.3">
      <c r="A1388" s="9" t="s">
        <v>1516</v>
      </c>
      <c r="B1388" s="9" t="s">
        <v>1512</v>
      </c>
      <c r="C1388" s="9" t="s">
        <v>36</v>
      </c>
      <c r="D1388" s="9" t="s">
        <v>22</v>
      </c>
      <c r="E1388" s="9">
        <v>2</v>
      </c>
      <c r="F1388" s="11">
        <v>70800</v>
      </c>
      <c r="G1388" s="9" t="str">
        <f>INDEX(Products!$B$2:$B$9,MATCH(D1388,Products!$A$2:$A$9,0))</f>
        <v>Trà hoa cúc an thần</v>
      </c>
      <c r="H1388" s="9" t="str">
        <f>INDEX(Products!$C$2:$C$9,MATCH(D1388,Products!$A$2:$A$9,0))</f>
        <v>An thần</v>
      </c>
      <c r="I1388" s="11">
        <f>INDEX(Products!$D$2:$D$9,MATCH(D1388,Products!$A$2:$A$9,0))</f>
        <v>9500</v>
      </c>
      <c r="J1388" s="10">
        <f>IFERROR(INDEX(PlatformFees!$C$2:$C$5,MATCH(C1388,PlatformFees!$A$2:$A$5,0)),0)</f>
        <v>0.13</v>
      </c>
      <c r="K1388" s="11">
        <f t="shared" si="84"/>
        <v>19000</v>
      </c>
      <c r="L1388" s="11">
        <f t="shared" si="85"/>
        <v>9204</v>
      </c>
      <c r="M1388" s="11">
        <f t="shared" si="86"/>
        <v>42596</v>
      </c>
      <c r="N1388" s="10">
        <f t="shared" si="87"/>
        <v>0.60163841807909602</v>
      </c>
    </row>
    <row r="1389" spans="1:14" x14ac:dyDescent="0.3">
      <c r="A1389" s="9" t="s">
        <v>1517</v>
      </c>
      <c r="B1389" s="9" t="s">
        <v>1512</v>
      </c>
      <c r="C1389" s="9" t="s">
        <v>38</v>
      </c>
      <c r="D1389" s="9" t="s">
        <v>20</v>
      </c>
      <c r="E1389" s="9">
        <v>1</v>
      </c>
      <c r="F1389" s="11">
        <v>51500</v>
      </c>
      <c r="G1389" s="9" t="str">
        <f>INDEX(Products!$B$2:$B$9,MATCH(D1389,Products!$A$2:$A$9,0))</f>
        <v>Trà cà leo gai giảm cân</v>
      </c>
      <c r="H1389" s="9" t="str">
        <f>INDEX(Products!$C$2:$C$9,MATCH(D1389,Products!$A$2:$A$9,0))</f>
        <v>Detox</v>
      </c>
      <c r="I1389" s="11">
        <f>INDEX(Products!$D$2:$D$9,MATCH(D1389,Products!$A$2:$A$9,0))</f>
        <v>15000</v>
      </c>
      <c r="J1389" s="10">
        <f>IFERROR(INDEX(PlatformFees!$C$2:$C$5,MATCH(C1389,PlatformFees!$A$2:$A$5,0)),0)</f>
        <v>0.16</v>
      </c>
      <c r="K1389" s="11">
        <f t="shared" si="84"/>
        <v>15000</v>
      </c>
      <c r="L1389" s="11">
        <f t="shared" si="85"/>
        <v>8240</v>
      </c>
      <c r="M1389" s="11">
        <f t="shared" si="86"/>
        <v>28260</v>
      </c>
      <c r="N1389" s="10">
        <f t="shared" si="87"/>
        <v>0.54873786407766989</v>
      </c>
    </row>
    <row r="1390" spans="1:14" x14ac:dyDescent="0.3">
      <c r="A1390" s="9" t="s">
        <v>1518</v>
      </c>
      <c r="B1390" s="9" t="s">
        <v>1512</v>
      </c>
      <c r="C1390" s="9" t="s">
        <v>39</v>
      </c>
      <c r="D1390" s="9" t="s">
        <v>15</v>
      </c>
      <c r="E1390" s="9">
        <v>1</v>
      </c>
      <c r="F1390" s="11">
        <v>30000</v>
      </c>
      <c r="G1390" s="9" t="str">
        <f>INDEX(Products!$B$2:$B$9,MATCH(D1390,Products!$A$2:$A$9,0))</f>
        <v>Trà lá nam sen ổi</v>
      </c>
      <c r="H1390" s="9" t="str">
        <f>INDEX(Products!$C$2:$C$9,MATCH(D1390,Products!$A$2:$A$9,0))</f>
        <v>Thanh lọc</v>
      </c>
      <c r="I1390" s="11">
        <f>INDEX(Products!$D$2:$D$9,MATCH(D1390,Products!$A$2:$A$9,0))</f>
        <v>8500</v>
      </c>
      <c r="J1390" s="10">
        <f>IFERROR(INDEX(PlatformFees!$C$2:$C$5,MATCH(C1390,PlatformFees!$A$2:$A$5,0)),0)</f>
        <v>0</v>
      </c>
      <c r="K1390" s="11">
        <f t="shared" si="84"/>
        <v>8500</v>
      </c>
      <c r="L1390" s="11">
        <f t="shared" si="85"/>
        <v>0</v>
      </c>
      <c r="M1390" s="11">
        <f t="shared" si="86"/>
        <v>21500</v>
      </c>
      <c r="N1390" s="10">
        <f t="shared" si="87"/>
        <v>0.71666666666666667</v>
      </c>
    </row>
    <row r="1391" spans="1:14" x14ac:dyDescent="0.3">
      <c r="A1391" s="9" t="s">
        <v>1519</v>
      </c>
      <c r="B1391" s="9" t="s">
        <v>1512</v>
      </c>
      <c r="C1391" s="9" t="s">
        <v>36</v>
      </c>
      <c r="D1391" s="9" t="s">
        <v>27</v>
      </c>
      <c r="E1391" s="9">
        <v>2</v>
      </c>
      <c r="F1391" s="11">
        <v>77500</v>
      </c>
      <c r="G1391" s="9" t="str">
        <f>INDEX(Products!$B$2:$B$9,MATCH(D1391,Products!$A$2:$A$9,0))</f>
        <v>Trà gừng mật ong</v>
      </c>
      <c r="H1391" s="9" t="str">
        <f>INDEX(Products!$C$2:$C$9,MATCH(D1391,Products!$A$2:$A$9,0))</f>
        <v>Giữ ấm</v>
      </c>
      <c r="I1391" s="11">
        <f>INDEX(Products!$D$2:$D$9,MATCH(D1391,Products!$A$2:$A$9,0))</f>
        <v>11000</v>
      </c>
      <c r="J1391" s="10">
        <f>IFERROR(INDEX(PlatformFees!$C$2:$C$5,MATCH(C1391,PlatformFees!$A$2:$A$5,0)),0)</f>
        <v>0.13</v>
      </c>
      <c r="K1391" s="11">
        <f t="shared" si="84"/>
        <v>22000</v>
      </c>
      <c r="L1391" s="11">
        <f t="shared" si="85"/>
        <v>10075</v>
      </c>
      <c r="M1391" s="11">
        <f t="shared" si="86"/>
        <v>45425</v>
      </c>
      <c r="N1391" s="10">
        <f t="shared" si="87"/>
        <v>0.58612903225806456</v>
      </c>
    </row>
    <row r="1392" spans="1:14" x14ac:dyDescent="0.3">
      <c r="A1392" s="9" t="s">
        <v>1520</v>
      </c>
      <c r="B1392" s="9" t="s">
        <v>1512</v>
      </c>
      <c r="C1392" s="9" t="s">
        <v>36</v>
      </c>
      <c r="D1392" s="9" t="s">
        <v>20</v>
      </c>
      <c r="E1392" s="9">
        <v>3</v>
      </c>
      <c r="F1392" s="11">
        <v>152700</v>
      </c>
      <c r="G1392" s="9" t="str">
        <f>INDEX(Products!$B$2:$B$9,MATCH(D1392,Products!$A$2:$A$9,0))</f>
        <v>Trà cà leo gai giảm cân</v>
      </c>
      <c r="H1392" s="9" t="str">
        <f>INDEX(Products!$C$2:$C$9,MATCH(D1392,Products!$A$2:$A$9,0))</f>
        <v>Detox</v>
      </c>
      <c r="I1392" s="11">
        <f>INDEX(Products!$D$2:$D$9,MATCH(D1392,Products!$A$2:$A$9,0))</f>
        <v>15000</v>
      </c>
      <c r="J1392" s="10">
        <f>IFERROR(INDEX(PlatformFees!$C$2:$C$5,MATCH(C1392,PlatformFees!$A$2:$A$5,0)),0)</f>
        <v>0.13</v>
      </c>
      <c r="K1392" s="11">
        <f t="shared" si="84"/>
        <v>45000</v>
      </c>
      <c r="L1392" s="11">
        <f t="shared" si="85"/>
        <v>19851</v>
      </c>
      <c r="M1392" s="11">
        <f t="shared" si="86"/>
        <v>87849</v>
      </c>
      <c r="N1392" s="10">
        <f t="shared" si="87"/>
        <v>0.57530451866404719</v>
      </c>
    </row>
    <row r="1393" spans="1:14" x14ac:dyDescent="0.3">
      <c r="A1393" s="9" t="s">
        <v>1521</v>
      </c>
      <c r="B1393" s="9" t="s">
        <v>1512</v>
      </c>
      <c r="C1393" s="9" t="s">
        <v>36</v>
      </c>
      <c r="D1393" s="9" t="s">
        <v>12</v>
      </c>
      <c r="E1393" s="9">
        <v>2</v>
      </c>
      <c r="F1393" s="11">
        <v>65800</v>
      </c>
      <c r="G1393" s="9" t="str">
        <f>INDEX(Products!$B$2:$B$9,MATCH(D1393,Products!$A$2:$A$9,0))</f>
        <v>Trà atiso thanh lọc</v>
      </c>
      <c r="H1393" s="9" t="str">
        <f>INDEX(Products!$C$2:$C$9,MATCH(D1393,Products!$A$2:$A$9,0))</f>
        <v>Thanh lọc</v>
      </c>
      <c r="I1393" s="11">
        <f>INDEX(Products!$D$2:$D$9,MATCH(D1393,Products!$A$2:$A$9,0))</f>
        <v>9000</v>
      </c>
      <c r="J1393" s="10">
        <f>IFERROR(INDEX(PlatformFees!$C$2:$C$5,MATCH(C1393,PlatformFees!$A$2:$A$5,0)),0)</f>
        <v>0.13</v>
      </c>
      <c r="K1393" s="11">
        <f t="shared" si="84"/>
        <v>18000</v>
      </c>
      <c r="L1393" s="11">
        <f t="shared" si="85"/>
        <v>8554</v>
      </c>
      <c r="M1393" s="11">
        <f t="shared" si="86"/>
        <v>39246</v>
      </c>
      <c r="N1393" s="10">
        <f t="shared" si="87"/>
        <v>0.5964437689969605</v>
      </c>
    </row>
    <row r="1394" spans="1:14" x14ac:dyDescent="0.3">
      <c r="A1394" s="9" t="s">
        <v>1522</v>
      </c>
      <c r="B1394" s="9" t="s">
        <v>1523</v>
      </c>
      <c r="C1394" s="9" t="s">
        <v>39</v>
      </c>
      <c r="D1394" s="9" t="s">
        <v>25</v>
      </c>
      <c r="E1394" s="9">
        <v>3</v>
      </c>
      <c r="F1394" s="11">
        <v>101700</v>
      </c>
      <c r="G1394" s="9" t="str">
        <f>INDEX(Products!$B$2:$B$9,MATCH(D1394,Products!$A$2:$A$9,0))</f>
        <v>Trà hoa đậu biếc</v>
      </c>
      <c r="H1394" s="9" t="str">
        <f>INDEX(Products!$C$2:$C$9,MATCH(D1394,Products!$A$2:$A$9,0))</f>
        <v>An thần</v>
      </c>
      <c r="I1394" s="11">
        <f>INDEX(Products!$D$2:$D$9,MATCH(D1394,Products!$A$2:$A$9,0))</f>
        <v>8800</v>
      </c>
      <c r="J1394" s="10">
        <f>IFERROR(INDEX(PlatformFees!$C$2:$C$5,MATCH(C1394,PlatformFees!$A$2:$A$5,0)),0)</f>
        <v>0</v>
      </c>
      <c r="K1394" s="11">
        <f t="shared" si="84"/>
        <v>26400</v>
      </c>
      <c r="L1394" s="11">
        <f t="shared" si="85"/>
        <v>0</v>
      </c>
      <c r="M1394" s="11">
        <f t="shared" si="86"/>
        <v>75300</v>
      </c>
      <c r="N1394" s="10">
        <f t="shared" si="87"/>
        <v>0.74041297935103245</v>
      </c>
    </row>
    <row r="1395" spans="1:14" x14ac:dyDescent="0.3">
      <c r="A1395" s="9" t="s">
        <v>1524</v>
      </c>
      <c r="B1395" s="9" t="s">
        <v>1523</v>
      </c>
      <c r="C1395" s="9" t="s">
        <v>38</v>
      </c>
      <c r="D1395" s="9" t="s">
        <v>17</v>
      </c>
      <c r="E1395" s="9">
        <v>1</v>
      </c>
      <c r="F1395" s="11">
        <v>41900</v>
      </c>
      <c r="G1395" s="9" t="str">
        <f>INDEX(Products!$B$2:$B$9,MATCH(D1395,Products!$A$2:$A$9,0))</f>
        <v>Trà diếp cá rau má</v>
      </c>
      <c r="H1395" s="9" t="str">
        <f>INDEX(Products!$C$2:$C$9,MATCH(D1395,Products!$A$2:$A$9,0))</f>
        <v>Detox</v>
      </c>
      <c r="I1395" s="11">
        <f>INDEX(Products!$D$2:$D$9,MATCH(D1395,Products!$A$2:$A$9,0))</f>
        <v>10500</v>
      </c>
      <c r="J1395" s="10">
        <f>IFERROR(INDEX(PlatformFees!$C$2:$C$5,MATCH(C1395,PlatformFees!$A$2:$A$5,0)),0)</f>
        <v>0.16</v>
      </c>
      <c r="K1395" s="11">
        <f t="shared" si="84"/>
        <v>10500</v>
      </c>
      <c r="L1395" s="11">
        <f t="shared" si="85"/>
        <v>6704</v>
      </c>
      <c r="M1395" s="11">
        <f t="shared" si="86"/>
        <v>24696</v>
      </c>
      <c r="N1395" s="10">
        <f t="shared" si="87"/>
        <v>0.5894033412887828</v>
      </c>
    </row>
    <row r="1396" spans="1:14" x14ac:dyDescent="0.3">
      <c r="A1396" s="9" t="s">
        <v>1525</v>
      </c>
      <c r="B1396" s="9" t="s">
        <v>1523</v>
      </c>
      <c r="C1396" s="9" t="s">
        <v>38</v>
      </c>
      <c r="D1396" s="9" t="s">
        <v>20</v>
      </c>
      <c r="E1396" s="9">
        <v>2</v>
      </c>
      <c r="F1396" s="11">
        <v>108100</v>
      </c>
      <c r="G1396" s="9" t="str">
        <f>INDEX(Products!$B$2:$B$9,MATCH(D1396,Products!$A$2:$A$9,0))</f>
        <v>Trà cà leo gai giảm cân</v>
      </c>
      <c r="H1396" s="9" t="str">
        <f>INDEX(Products!$C$2:$C$9,MATCH(D1396,Products!$A$2:$A$9,0))</f>
        <v>Detox</v>
      </c>
      <c r="I1396" s="11">
        <f>INDEX(Products!$D$2:$D$9,MATCH(D1396,Products!$A$2:$A$9,0))</f>
        <v>15000</v>
      </c>
      <c r="J1396" s="10">
        <f>IFERROR(INDEX(PlatformFees!$C$2:$C$5,MATCH(C1396,PlatformFees!$A$2:$A$5,0)),0)</f>
        <v>0.16</v>
      </c>
      <c r="K1396" s="11">
        <f t="shared" si="84"/>
        <v>30000</v>
      </c>
      <c r="L1396" s="11">
        <f t="shared" si="85"/>
        <v>17296</v>
      </c>
      <c r="M1396" s="11">
        <f t="shared" si="86"/>
        <v>60804</v>
      </c>
      <c r="N1396" s="10">
        <f t="shared" si="87"/>
        <v>0.56247918593894541</v>
      </c>
    </row>
    <row r="1397" spans="1:14" x14ac:dyDescent="0.3">
      <c r="A1397" s="9" t="s">
        <v>1526</v>
      </c>
      <c r="B1397" s="9" t="s">
        <v>1523</v>
      </c>
      <c r="C1397" s="9" t="s">
        <v>36</v>
      </c>
      <c r="D1397" s="9" t="s">
        <v>27</v>
      </c>
      <c r="E1397" s="9">
        <v>3</v>
      </c>
      <c r="F1397" s="11">
        <v>116600</v>
      </c>
      <c r="G1397" s="9" t="str">
        <f>INDEX(Products!$B$2:$B$9,MATCH(D1397,Products!$A$2:$A$9,0))</f>
        <v>Trà gừng mật ong</v>
      </c>
      <c r="H1397" s="9" t="str">
        <f>INDEX(Products!$C$2:$C$9,MATCH(D1397,Products!$A$2:$A$9,0))</f>
        <v>Giữ ấm</v>
      </c>
      <c r="I1397" s="11">
        <f>INDEX(Products!$D$2:$D$9,MATCH(D1397,Products!$A$2:$A$9,0))</f>
        <v>11000</v>
      </c>
      <c r="J1397" s="10">
        <f>IFERROR(INDEX(PlatformFees!$C$2:$C$5,MATCH(C1397,PlatformFees!$A$2:$A$5,0)),0)</f>
        <v>0.13</v>
      </c>
      <c r="K1397" s="11">
        <f t="shared" si="84"/>
        <v>33000</v>
      </c>
      <c r="L1397" s="11">
        <f t="shared" si="85"/>
        <v>15158</v>
      </c>
      <c r="M1397" s="11">
        <f t="shared" si="86"/>
        <v>68442</v>
      </c>
      <c r="N1397" s="10">
        <f t="shared" si="87"/>
        <v>0.58698113207547165</v>
      </c>
    </row>
    <row r="1398" spans="1:14" x14ac:dyDescent="0.3">
      <c r="A1398" s="9" t="s">
        <v>1527</v>
      </c>
      <c r="B1398" s="9" t="s">
        <v>1523</v>
      </c>
      <c r="C1398" s="9" t="s">
        <v>38</v>
      </c>
      <c r="D1398" s="9" t="s">
        <v>22</v>
      </c>
      <c r="E1398" s="9">
        <v>3</v>
      </c>
      <c r="F1398" s="11">
        <v>114500</v>
      </c>
      <c r="G1398" s="9" t="str">
        <f>INDEX(Products!$B$2:$B$9,MATCH(D1398,Products!$A$2:$A$9,0))</f>
        <v>Trà hoa cúc an thần</v>
      </c>
      <c r="H1398" s="9" t="str">
        <f>INDEX(Products!$C$2:$C$9,MATCH(D1398,Products!$A$2:$A$9,0))</f>
        <v>An thần</v>
      </c>
      <c r="I1398" s="11">
        <f>INDEX(Products!$D$2:$D$9,MATCH(D1398,Products!$A$2:$A$9,0))</f>
        <v>9500</v>
      </c>
      <c r="J1398" s="10">
        <f>IFERROR(INDEX(PlatformFees!$C$2:$C$5,MATCH(C1398,PlatformFees!$A$2:$A$5,0)),0)</f>
        <v>0.16</v>
      </c>
      <c r="K1398" s="11">
        <f t="shared" si="84"/>
        <v>28500</v>
      </c>
      <c r="L1398" s="11">
        <f t="shared" si="85"/>
        <v>18320</v>
      </c>
      <c r="M1398" s="11">
        <f t="shared" si="86"/>
        <v>67680</v>
      </c>
      <c r="N1398" s="10">
        <f t="shared" si="87"/>
        <v>0.59109170305676861</v>
      </c>
    </row>
    <row r="1399" spans="1:14" x14ac:dyDescent="0.3">
      <c r="A1399" s="9" t="s">
        <v>1528</v>
      </c>
      <c r="B1399" s="9" t="s">
        <v>1523</v>
      </c>
      <c r="C1399" s="9" t="s">
        <v>38</v>
      </c>
      <c r="D1399" s="9" t="s">
        <v>30</v>
      </c>
      <c r="E1399" s="9">
        <v>1</v>
      </c>
      <c r="F1399" s="11">
        <v>36500</v>
      </c>
      <c r="G1399" s="9" t="str">
        <f>INDEX(Products!$B$2:$B$9,MATCH(D1399,Products!$A$2:$A$9,0))</f>
        <v>Trà mâm xôi vitamin</v>
      </c>
      <c r="H1399" s="9" t="str">
        <f>INDEX(Products!$C$2:$C$9,MATCH(D1399,Products!$A$2:$A$9,0))</f>
        <v>Bổ sung dưỡng chất</v>
      </c>
      <c r="I1399" s="11">
        <f>INDEX(Products!$D$2:$D$9,MATCH(D1399,Products!$A$2:$A$9,0))</f>
        <v>9800</v>
      </c>
      <c r="J1399" s="10">
        <f>IFERROR(INDEX(PlatformFees!$C$2:$C$5,MATCH(C1399,PlatformFees!$A$2:$A$5,0)),0)</f>
        <v>0.16</v>
      </c>
      <c r="K1399" s="11">
        <f t="shared" si="84"/>
        <v>9800</v>
      </c>
      <c r="L1399" s="11">
        <f t="shared" si="85"/>
        <v>5840</v>
      </c>
      <c r="M1399" s="11">
        <f t="shared" si="86"/>
        <v>20860</v>
      </c>
      <c r="N1399" s="10">
        <f t="shared" si="87"/>
        <v>0.57150684931506845</v>
      </c>
    </row>
    <row r="1400" spans="1:14" x14ac:dyDescent="0.3">
      <c r="A1400" s="9" t="s">
        <v>1529</v>
      </c>
      <c r="B1400" s="9" t="s">
        <v>1523</v>
      </c>
      <c r="C1400" s="9" t="s">
        <v>38</v>
      </c>
      <c r="D1400" s="9" t="s">
        <v>30</v>
      </c>
      <c r="E1400" s="9">
        <v>2</v>
      </c>
      <c r="F1400" s="11">
        <v>67700</v>
      </c>
      <c r="G1400" s="9" t="str">
        <f>INDEX(Products!$B$2:$B$9,MATCH(D1400,Products!$A$2:$A$9,0))</f>
        <v>Trà mâm xôi vitamin</v>
      </c>
      <c r="H1400" s="9" t="str">
        <f>INDEX(Products!$C$2:$C$9,MATCH(D1400,Products!$A$2:$A$9,0))</f>
        <v>Bổ sung dưỡng chất</v>
      </c>
      <c r="I1400" s="11">
        <f>INDEX(Products!$D$2:$D$9,MATCH(D1400,Products!$A$2:$A$9,0))</f>
        <v>9800</v>
      </c>
      <c r="J1400" s="10">
        <f>IFERROR(INDEX(PlatformFees!$C$2:$C$5,MATCH(C1400,PlatformFees!$A$2:$A$5,0)),0)</f>
        <v>0.16</v>
      </c>
      <c r="K1400" s="11">
        <f t="shared" si="84"/>
        <v>19600</v>
      </c>
      <c r="L1400" s="11">
        <f t="shared" si="85"/>
        <v>10832</v>
      </c>
      <c r="M1400" s="11">
        <f t="shared" si="86"/>
        <v>37268</v>
      </c>
      <c r="N1400" s="10">
        <f t="shared" si="87"/>
        <v>0.55048744460856724</v>
      </c>
    </row>
    <row r="1401" spans="1:14" x14ac:dyDescent="0.3">
      <c r="A1401" s="9" t="s">
        <v>1530</v>
      </c>
      <c r="B1401" s="9" t="s">
        <v>1523</v>
      </c>
      <c r="C1401" s="9" t="s">
        <v>40</v>
      </c>
      <c r="D1401" s="9" t="s">
        <v>17</v>
      </c>
      <c r="E1401" s="9">
        <v>1</v>
      </c>
      <c r="F1401" s="11">
        <v>40700</v>
      </c>
      <c r="G1401" s="9" t="str">
        <f>INDEX(Products!$B$2:$B$9,MATCH(D1401,Products!$A$2:$A$9,0))</f>
        <v>Trà diếp cá rau má</v>
      </c>
      <c r="H1401" s="9" t="str">
        <f>INDEX(Products!$C$2:$C$9,MATCH(D1401,Products!$A$2:$A$9,0))</f>
        <v>Detox</v>
      </c>
      <c r="I1401" s="11">
        <f>INDEX(Products!$D$2:$D$9,MATCH(D1401,Products!$A$2:$A$9,0))</f>
        <v>10500</v>
      </c>
      <c r="J1401" s="10">
        <f>IFERROR(INDEX(PlatformFees!$C$2:$C$5,MATCH(C1401,PlatformFees!$A$2:$A$5,0)),0)</f>
        <v>0</v>
      </c>
      <c r="K1401" s="11">
        <f t="shared" si="84"/>
        <v>10500</v>
      </c>
      <c r="L1401" s="11">
        <f t="shared" si="85"/>
        <v>0</v>
      </c>
      <c r="M1401" s="11">
        <f t="shared" si="86"/>
        <v>30200</v>
      </c>
      <c r="N1401" s="10">
        <f t="shared" si="87"/>
        <v>0.74201474201474205</v>
      </c>
    </row>
    <row r="1402" spans="1:14" x14ac:dyDescent="0.3">
      <c r="A1402" s="9" t="s">
        <v>1531</v>
      </c>
      <c r="B1402" s="9" t="s">
        <v>1523</v>
      </c>
      <c r="C1402" s="9" t="s">
        <v>36</v>
      </c>
      <c r="D1402" s="9" t="s">
        <v>20</v>
      </c>
      <c r="E1402" s="9">
        <v>1</v>
      </c>
      <c r="F1402" s="11">
        <v>53500</v>
      </c>
      <c r="G1402" s="9" t="str">
        <f>INDEX(Products!$B$2:$B$9,MATCH(D1402,Products!$A$2:$A$9,0))</f>
        <v>Trà cà leo gai giảm cân</v>
      </c>
      <c r="H1402" s="9" t="str">
        <f>INDEX(Products!$C$2:$C$9,MATCH(D1402,Products!$A$2:$A$9,0))</f>
        <v>Detox</v>
      </c>
      <c r="I1402" s="11">
        <f>INDEX(Products!$D$2:$D$9,MATCH(D1402,Products!$A$2:$A$9,0))</f>
        <v>15000</v>
      </c>
      <c r="J1402" s="10">
        <f>IFERROR(INDEX(PlatformFees!$C$2:$C$5,MATCH(C1402,PlatformFees!$A$2:$A$5,0)),0)</f>
        <v>0.13</v>
      </c>
      <c r="K1402" s="11">
        <f t="shared" si="84"/>
        <v>15000</v>
      </c>
      <c r="L1402" s="11">
        <f t="shared" si="85"/>
        <v>6955</v>
      </c>
      <c r="M1402" s="11">
        <f t="shared" si="86"/>
        <v>31545</v>
      </c>
      <c r="N1402" s="10">
        <f t="shared" si="87"/>
        <v>0.58962616822429903</v>
      </c>
    </row>
    <row r="1403" spans="1:14" x14ac:dyDescent="0.3">
      <c r="A1403" s="9" t="s">
        <v>1532</v>
      </c>
      <c r="B1403" s="9" t="s">
        <v>1523</v>
      </c>
      <c r="C1403" s="9" t="s">
        <v>39</v>
      </c>
      <c r="D1403" s="9" t="s">
        <v>15</v>
      </c>
      <c r="E1403" s="9">
        <v>1</v>
      </c>
      <c r="F1403" s="11">
        <v>31600</v>
      </c>
      <c r="G1403" s="9" t="str">
        <f>INDEX(Products!$B$2:$B$9,MATCH(D1403,Products!$A$2:$A$9,0))</f>
        <v>Trà lá nam sen ổi</v>
      </c>
      <c r="H1403" s="9" t="str">
        <f>INDEX(Products!$C$2:$C$9,MATCH(D1403,Products!$A$2:$A$9,0))</f>
        <v>Thanh lọc</v>
      </c>
      <c r="I1403" s="11">
        <f>INDEX(Products!$D$2:$D$9,MATCH(D1403,Products!$A$2:$A$9,0))</f>
        <v>8500</v>
      </c>
      <c r="J1403" s="10">
        <f>IFERROR(INDEX(PlatformFees!$C$2:$C$5,MATCH(C1403,PlatformFees!$A$2:$A$5,0)),0)</f>
        <v>0</v>
      </c>
      <c r="K1403" s="11">
        <f t="shared" si="84"/>
        <v>8500</v>
      </c>
      <c r="L1403" s="11">
        <f t="shared" si="85"/>
        <v>0</v>
      </c>
      <c r="M1403" s="11">
        <f t="shared" si="86"/>
        <v>23100</v>
      </c>
      <c r="N1403" s="10">
        <f t="shared" si="87"/>
        <v>0.73101265822784811</v>
      </c>
    </row>
    <row r="1404" spans="1:14" x14ac:dyDescent="0.3">
      <c r="A1404" s="9" t="s">
        <v>1533</v>
      </c>
      <c r="B1404" s="9" t="s">
        <v>1523</v>
      </c>
      <c r="C1404" s="9" t="s">
        <v>36</v>
      </c>
      <c r="D1404" s="9" t="s">
        <v>15</v>
      </c>
      <c r="E1404" s="9">
        <v>3</v>
      </c>
      <c r="F1404" s="11">
        <v>96700</v>
      </c>
      <c r="G1404" s="9" t="str">
        <f>INDEX(Products!$B$2:$B$9,MATCH(D1404,Products!$A$2:$A$9,0))</f>
        <v>Trà lá nam sen ổi</v>
      </c>
      <c r="H1404" s="9" t="str">
        <f>INDEX(Products!$C$2:$C$9,MATCH(D1404,Products!$A$2:$A$9,0))</f>
        <v>Thanh lọc</v>
      </c>
      <c r="I1404" s="11">
        <f>INDEX(Products!$D$2:$D$9,MATCH(D1404,Products!$A$2:$A$9,0))</f>
        <v>8500</v>
      </c>
      <c r="J1404" s="10">
        <f>IFERROR(INDEX(PlatformFees!$C$2:$C$5,MATCH(C1404,PlatformFees!$A$2:$A$5,0)),0)</f>
        <v>0.13</v>
      </c>
      <c r="K1404" s="11">
        <f t="shared" si="84"/>
        <v>25500</v>
      </c>
      <c r="L1404" s="11">
        <f t="shared" si="85"/>
        <v>12571</v>
      </c>
      <c r="M1404" s="11">
        <f t="shared" si="86"/>
        <v>58629</v>
      </c>
      <c r="N1404" s="10">
        <f t="shared" si="87"/>
        <v>0.60629782833505685</v>
      </c>
    </row>
    <row r="1405" spans="1:14" x14ac:dyDescent="0.3">
      <c r="A1405" s="9" t="s">
        <v>1534</v>
      </c>
      <c r="B1405" s="9" t="s">
        <v>1523</v>
      </c>
      <c r="C1405" s="9" t="s">
        <v>36</v>
      </c>
      <c r="D1405" s="9" t="s">
        <v>22</v>
      </c>
      <c r="E1405" s="9">
        <v>1</v>
      </c>
      <c r="F1405" s="11">
        <v>37200</v>
      </c>
      <c r="G1405" s="9" t="str">
        <f>INDEX(Products!$B$2:$B$9,MATCH(D1405,Products!$A$2:$A$9,0))</f>
        <v>Trà hoa cúc an thần</v>
      </c>
      <c r="H1405" s="9" t="str">
        <f>INDEX(Products!$C$2:$C$9,MATCH(D1405,Products!$A$2:$A$9,0))</f>
        <v>An thần</v>
      </c>
      <c r="I1405" s="11">
        <f>INDEX(Products!$D$2:$D$9,MATCH(D1405,Products!$A$2:$A$9,0))</f>
        <v>9500</v>
      </c>
      <c r="J1405" s="10">
        <f>IFERROR(INDEX(PlatformFees!$C$2:$C$5,MATCH(C1405,PlatformFees!$A$2:$A$5,0)),0)</f>
        <v>0.13</v>
      </c>
      <c r="K1405" s="11">
        <f t="shared" si="84"/>
        <v>9500</v>
      </c>
      <c r="L1405" s="11">
        <f t="shared" si="85"/>
        <v>4836</v>
      </c>
      <c r="M1405" s="11">
        <f t="shared" si="86"/>
        <v>22864</v>
      </c>
      <c r="N1405" s="10">
        <f t="shared" si="87"/>
        <v>0.61462365591397849</v>
      </c>
    </row>
    <row r="1406" spans="1:14" x14ac:dyDescent="0.3">
      <c r="A1406" s="9" t="s">
        <v>1535</v>
      </c>
      <c r="B1406" s="9" t="s">
        <v>1523</v>
      </c>
      <c r="C1406" s="9" t="s">
        <v>36</v>
      </c>
      <c r="D1406" s="9" t="s">
        <v>20</v>
      </c>
      <c r="E1406" s="9">
        <v>2</v>
      </c>
      <c r="F1406" s="11">
        <v>104100</v>
      </c>
      <c r="G1406" s="9" t="str">
        <f>INDEX(Products!$B$2:$B$9,MATCH(D1406,Products!$A$2:$A$9,0))</f>
        <v>Trà cà leo gai giảm cân</v>
      </c>
      <c r="H1406" s="9" t="str">
        <f>INDEX(Products!$C$2:$C$9,MATCH(D1406,Products!$A$2:$A$9,0))</f>
        <v>Detox</v>
      </c>
      <c r="I1406" s="11">
        <f>INDEX(Products!$D$2:$D$9,MATCH(D1406,Products!$A$2:$A$9,0))</f>
        <v>15000</v>
      </c>
      <c r="J1406" s="10">
        <f>IFERROR(INDEX(PlatformFees!$C$2:$C$5,MATCH(C1406,PlatformFees!$A$2:$A$5,0)),0)</f>
        <v>0.13</v>
      </c>
      <c r="K1406" s="11">
        <f t="shared" si="84"/>
        <v>30000</v>
      </c>
      <c r="L1406" s="11">
        <f t="shared" si="85"/>
        <v>13533</v>
      </c>
      <c r="M1406" s="11">
        <f t="shared" si="86"/>
        <v>60567</v>
      </c>
      <c r="N1406" s="10">
        <f t="shared" si="87"/>
        <v>0.58181556195965423</v>
      </c>
    </row>
    <row r="1407" spans="1:14" x14ac:dyDescent="0.3">
      <c r="A1407" s="9" t="s">
        <v>1536</v>
      </c>
      <c r="B1407" s="9" t="s">
        <v>1523</v>
      </c>
      <c r="C1407" s="9" t="s">
        <v>36</v>
      </c>
      <c r="D1407" s="9" t="s">
        <v>20</v>
      </c>
      <c r="E1407" s="9">
        <v>1</v>
      </c>
      <c r="F1407" s="11">
        <v>52700</v>
      </c>
      <c r="G1407" s="9" t="str">
        <f>INDEX(Products!$B$2:$B$9,MATCH(D1407,Products!$A$2:$A$9,0))</f>
        <v>Trà cà leo gai giảm cân</v>
      </c>
      <c r="H1407" s="9" t="str">
        <f>INDEX(Products!$C$2:$C$9,MATCH(D1407,Products!$A$2:$A$9,0))</f>
        <v>Detox</v>
      </c>
      <c r="I1407" s="11">
        <f>INDEX(Products!$D$2:$D$9,MATCH(D1407,Products!$A$2:$A$9,0))</f>
        <v>15000</v>
      </c>
      <c r="J1407" s="10">
        <f>IFERROR(INDEX(PlatformFees!$C$2:$C$5,MATCH(C1407,PlatformFees!$A$2:$A$5,0)),0)</f>
        <v>0.13</v>
      </c>
      <c r="K1407" s="11">
        <f t="shared" si="84"/>
        <v>15000</v>
      </c>
      <c r="L1407" s="11">
        <f t="shared" si="85"/>
        <v>6851</v>
      </c>
      <c r="M1407" s="11">
        <f t="shared" si="86"/>
        <v>30849</v>
      </c>
      <c r="N1407" s="10">
        <f t="shared" si="87"/>
        <v>0.58537001897533203</v>
      </c>
    </row>
    <row r="1408" spans="1:14" x14ac:dyDescent="0.3">
      <c r="A1408" s="9" t="s">
        <v>1537</v>
      </c>
      <c r="B1408" s="9" t="s">
        <v>1523</v>
      </c>
      <c r="C1408" s="9" t="s">
        <v>39</v>
      </c>
      <c r="D1408" s="9" t="s">
        <v>25</v>
      </c>
      <c r="E1408" s="9">
        <v>2</v>
      </c>
      <c r="F1408" s="11">
        <v>66800</v>
      </c>
      <c r="G1408" s="9" t="str">
        <f>INDEX(Products!$B$2:$B$9,MATCH(D1408,Products!$A$2:$A$9,0))</f>
        <v>Trà hoa đậu biếc</v>
      </c>
      <c r="H1408" s="9" t="str">
        <f>INDEX(Products!$C$2:$C$9,MATCH(D1408,Products!$A$2:$A$9,0))</f>
        <v>An thần</v>
      </c>
      <c r="I1408" s="11">
        <f>INDEX(Products!$D$2:$D$9,MATCH(D1408,Products!$A$2:$A$9,0))</f>
        <v>8800</v>
      </c>
      <c r="J1408" s="10">
        <f>IFERROR(INDEX(PlatformFees!$C$2:$C$5,MATCH(C1408,PlatformFees!$A$2:$A$5,0)),0)</f>
        <v>0</v>
      </c>
      <c r="K1408" s="11">
        <f t="shared" si="84"/>
        <v>17600</v>
      </c>
      <c r="L1408" s="11">
        <f t="shared" si="85"/>
        <v>0</v>
      </c>
      <c r="M1408" s="11">
        <f t="shared" si="86"/>
        <v>49200</v>
      </c>
      <c r="N1408" s="10">
        <f t="shared" si="87"/>
        <v>0.73652694610778446</v>
      </c>
    </row>
    <row r="1409" spans="1:14" x14ac:dyDescent="0.3">
      <c r="A1409" s="9" t="s">
        <v>1538</v>
      </c>
      <c r="B1409" s="9" t="s">
        <v>1523</v>
      </c>
      <c r="C1409" s="9" t="s">
        <v>36</v>
      </c>
      <c r="D1409" s="9" t="s">
        <v>22</v>
      </c>
      <c r="E1409" s="9">
        <v>1</v>
      </c>
      <c r="F1409" s="11">
        <v>37700</v>
      </c>
      <c r="G1409" s="9" t="str">
        <f>INDEX(Products!$B$2:$B$9,MATCH(D1409,Products!$A$2:$A$9,0))</f>
        <v>Trà hoa cúc an thần</v>
      </c>
      <c r="H1409" s="9" t="str">
        <f>INDEX(Products!$C$2:$C$9,MATCH(D1409,Products!$A$2:$A$9,0))</f>
        <v>An thần</v>
      </c>
      <c r="I1409" s="11">
        <f>INDEX(Products!$D$2:$D$9,MATCH(D1409,Products!$A$2:$A$9,0))</f>
        <v>9500</v>
      </c>
      <c r="J1409" s="10">
        <f>IFERROR(INDEX(PlatformFees!$C$2:$C$5,MATCH(C1409,PlatformFees!$A$2:$A$5,0)),0)</f>
        <v>0.13</v>
      </c>
      <c r="K1409" s="11">
        <f t="shared" si="84"/>
        <v>9500</v>
      </c>
      <c r="L1409" s="11">
        <f t="shared" si="85"/>
        <v>4901</v>
      </c>
      <c r="M1409" s="11">
        <f t="shared" si="86"/>
        <v>23299</v>
      </c>
      <c r="N1409" s="10">
        <f t="shared" si="87"/>
        <v>0.61801061007957558</v>
      </c>
    </row>
    <row r="1410" spans="1:14" x14ac:dyDescent="0.3">
      <c r="A1410" s="9" t="s">
        <v>1539</v>
      </c>
      <c r="B1410" s="9" t="s">
        <v>1523</v>
      </c>
      <c r="C1410" s="9" t="s">
        <v>36</v>
      </c>
      <c r="D1410" s="9" t="s">
        <v>30</v>
      </c>
      <c r="E1410" s="9">
        <v>2</v>
      </c>
      <c r="F1410" s="11">
        <v>72900</v>
      </c>
      <c r="G1410" s="9" t="str">
        <f>INDEX(Products!$B$2:$B$9,MATCH(D1410,Products!$A$2:$A$9,0))</f>
        <v>Trà mâm xôi vitamin</v>
      </c>
      <c r="H1410" s="9" t="str">
        <f>INDEX(Products!$C$2:$C$9,MATCH(D1410,Products!$A$2:$A$9,0))</f>
        <v>Bổ sung dưỡng chất</v>
      </c>
      <c r="I1410" s="11">
        <f>INDEX(Products!$D$2:$D$9,MATCH(D1410,Products!$A$2:$A$9,0))</f>
        <v>9800</v>
      </c>
      <c r="J1410" s="10">
        <f>IFERROR(INDEX(PlatformFees!$C$2:$C$5,MATCH(C1410,PlatformFees!$A$2:$A$5,0)),0)</f>
        <v>0.13</v>
      </c>
      <c r="K1410" s="11">
        <f t="shared" ref="K1410:K1473" si="88">E1410*I1410</f>
        <v>19600</v>
      </c>
      <c r="L1410" s="11">
        <f t="shared" ref="L1410:L1473" si="89">F1410*J1410</f>
        <v>9477</v>
      </c>
      <c r="M1410" s="11">
        <f t="shared" ref="M1410:M1473" si="90">F1410-L1410-K1410</f>
        <v>43823</v>
      </c>
      <c r="N1410" s="10">
        <f t="shared" ref="N1410:N1473" si="91">IFERROR(M1410/F1410,0)</f>
        <v>0.6011385459533608</v>
      </c>
    </row>
    <row r="1411" spans="1:14" x14ac:dyDescent="0.3">
      <c r="A1411" s="9" t="s">
        <v>1540</v>
      </c>
      <c r="B1411" s="9" t="s">
        <v>1523</v>
      </c>
      <c r="C1411" s="9" t="s">
        <v>36</v>
      </c>
      <c r="D1411" s="9" t="s">
        <v>20</v>
      </c>
      <c r="E1411" s="9">
        <v>1</v>
      </c>
      <c r="F1411" s="11">
        <v>54000</v>
      </c>
      <c r="G1411" s="9" t="str">
        <f>INDEX(Products!$B$2:$B$9,MATCH(D1411,Products!$A$2:$A$9,0))</f>
        <v>Trà cà leo gai giảm cân</v>
      </c>
      <c r="H1411" s="9" t="str">
        <f>INDEX(Products!$C$2:$C$9,MATCH(D1411,Products!$A$2:$A$9,0))</f>
        <v>Detox</v>
      </c>
      <c r="I1411" s="11">
        <f>INDEX(Products!$D$2:$D$9,MATCH(D1411,Products!$A$2:$A$9,0))</f>
        <v>15000</v>
      </c>
      <c r="J1411" s="10">
        <f>IFERROR(INDEX(PlatformFees!$C$2:$C$5,MATCH(C1411,PlatformFees!$A$2:$A$5,0)),0)</f>
        <v>0.13</v>
      </c>
      <c r="K1411" s="11">
        <f t="shared" si="88"/>
        <v>15000</v>
      </c>
      <c r="L1411" s="11">
        <f t="shared" si="89"/>
        <v>7020</v>
      </c>
      <c r="M1411" s="11">
        <f t="shared" si="90"/>
        <v>31980</v>
      </c>
      <c r="N1411" s="10">
        <f t="shared" si="91"/>
        <v>0.59222222222222221</v>
      </c>
    </row>
    <row r="1412" spans="1:14" x14ac:dyDescent="0.3">
      <c r="A1412" s="9" t="s">
        <v>1541</v>
      </c>
      <c r="B1412" s="9" t="s">
        <v>1523</v>
      </c>
      <c r="C1412" s="9" t="s">
        <v>39</v>
      </c>
      <c r="D1412" s="9" t="s">
        <v>15</v>
      </c>
      <c r="E1412" s="9">
        <v>2</v>
      </c>
      <c r="F1412" s="11">
        <v>59400</v>
      </c>
      <c r="G1412" s="9" t="str">
        <f>INDEX(Products!$B$2:$B$9,MATCH(D1412,Products!$A$2:$A$9,0))</f>
        <v>Trà lá nam sen ổi</v>
      </c>
      <c r="H1412" s="9" t="str">
        <f>INDEX(Products!$C$2:$C$9,MATCH(D1412,Products!$A$2:$A$9,0))</f>
        <v>Thanh lọc</v>
      </c>
      <c r="I1412" s="11">
        <f>INDEX(Products!$D$2:$D$9,MATCH(D1412,Products!$A$2:$A$9,0))</f>
        <v>8500</v>
      </c>
      <c r="J1412" s="10">
        <f>IFERROR(INDEX(PlatformFees!$C$2:$C$5,MATCH(C1412,PlatformFees!$A$2:$A$5,0)),0)</f>
        <v>0</v>
      </c>
      <c r="K1412" s="11">
        <f t="shared" si="88"/>
        <v>17000</v>
      </c>
      <c r="L1412" s="11">
        <f t="shared" si="89"/>
        <v>0</v>
      </c>
      <c r="M1412" s="11">
        <f t="shared" si="90"/>
        <v>42400</v>
      </c>
      <c r="N1412" s="10">
        <f t="shared" si="91"/>
        <v>0.71380471380471378</v>
      </c>
    </row>
    <row r="1413" spans="1:14" x14ac:dyDescent="0.3">
      <c r="A1413" s="9" t="s">
        <v>1542</v>
      </c>
      <c r="B1413" s="9" t="s">
        <v>1543</v>
      </c>
      <c r="C1413" s="9" t="s">
        <v>38</v>
      </c>
      <c r="D1413" s="9" t="s">
        <v>20</v>
      </c>
      <c r="E1413" s="9">
        <v>2</v>
      </c>
      <c r="F1413" s="11">
        <v>105200</v>
      </c>
      <c r="G1413" s="9" t="str">
        <f>INDEX(Products!$B$2:$B$9,MATCH(D1413,Products!$A$2:$A$9,0))</f>
        <v>Trà cà leo gai giảm cân</v>
      </c>
      <c r="H1413" s="9" t="str">
        <f>INDEX(Products!$C$2:$C$9,MATCH(D1413,Products!$A$2:$A$9,0))</f>
        <v>Detox</v>
      </c>
      <c r="I1413" s="11">
        <f>INDEX(Products!$D$2:$D$9,MATCH(D1413,Products!$A$2:$A$9,0))</f>
        <v>15000</v>
      </c>
      <c r="J1413" s="10">
        <f>IFERROR(INDEX(PlatformFees!$C$2:$C$5,MATCH(C1413,PlatformFees!$A$2:$A$5,0)),0)</f>
        <v>0.16</v>
      </c>
      <c r="K1413" s="11">
        <f t="shared" si="88"/>
        <v>30000</v>
      </c>
      <c r="L1413" s="11">
        <f t="shared" si="89"/>
        <v>16832</v>
      </c>
      <c r="M1413" s="11">
        <f t="shared" si="90"/>
        <v>58368</v>
      </c>
      <c r="N1413" s="10">
        <f t="shared" si="91"/>
        <v>0.55482889733840302</v>
      </c>
    </row>
    <row r="1414" spans="1:14" x14ac:dyDescent="0.3">
      <c r="A1414" s="9" t="s">
        <v>1544</v>
      </c>
      <c r="B1414" s="9" t="s">
        <v>1543</v>
      </c>
      <c r="C1414" s="9" t="s">
        <v>38</v>
      </c>
      <c r="D1414" s="9" t="s">
        <v>12</v>
      </c>
      <c r="E1414" s="9">
        <v>1</v>
      </c>
      <c r="F1414" s="11">
        <v>35300</v>
      </c>
      <c r="G1414" s="9" t="str">
        <f>INDEX(Products!$B$2:$B$9,MATCH(D1414,Products!$A$2:$A$9,0))</f>
        <v>Trà atiso thanh lọc</v>
      </c>
      <c r="H1414" s="9" t="str">
        <f>INDEX(Products!$C$2:$C$9,MATCH(D1414,Products!$A$2:$A$9,0))</f>
        <v>Thanh lọc</v>
      </c>
      <c r="I1414" s="11">
        <f>INDEX(Products!$D$2:$D$9,MATCH(D1414,Products!$A$2:$A$9,0))</f>
        <v>9000</v>
      </c>
      <c r="J1414" s="10">
        <f>IFERROR(INDEX(PlatformFees!$C$2:$C$5,MATCH(C1414,PlatformFees!$A$2:$A$5,0)),0)</f>
        <v>0.16</v>
      </c>
      <c r="K1414" s="11">
        <f t="shared" si="88"/>
        <v>9000</v>
      </c>
      <c r="L1414" s="11">
        <f t="shared" si="89"/>
        <v>5648</v>
      </c>
      <c r="M1414" s="11">
        <f t="shared" si="90"/>
        <v>20652</v>
      </c>
      <c r="N1414" s="10">
        <f t="shared" si="91"/>
        <v>0.58504249291784705</v>
      </c>
    </row>
    <row r="1415" spans="1:14" x14ac:dyDescent="0.3">
      <c r="A1415" s="9" t="s">
        <v>1545</v>
      </c>
      <c r="B1415" s="9" t="s">
        <v>1543</v>
      </c>
      <c r="C1415" s="9" t="s">
        <v>39</v>
      </c>
      <c r="D1415" s="9" t="s">
        <v>30</v>
      </c>
      <c r="E1415" s="9">
        <v>3</v>
      </c>
      <c r="F1415" s="11">
        <v>109000</v>
      </c>
      <c r="G1415" s="9" t="str">
        <f>INDEX(Products!$B$2:$B$9,MATCH(D1415,Products!$A$2:$A$9,0))</f>
        <v>Trà mâm xôi vitamin</v>
      </c>
      <c r="H1415" s="9" t="str">
        <f>INDEX(Products!$C$2:$C$9,MATCH(D1415,Products!$A$2:$A$9,0))</f>
        <v>Bổ sung dưỡng chất</v>
      </c>
      <c r="I1415" s="11">
        <f>INDEX(Products!$D$2:$D$9,MATCH(D1415,Products!$A$2:$A$9,0))</f>
        <v>9800</v>
      </c>
      <c r="J1415" s="10">
        <f>IFERROR(INDEX(PlatformFees!$C$2:$C$5,MATCH(C1415,PlatformFees!$A$2:$A$5,0)),0)</f>
        <v>0</v>
      </c>
      <c r="K1415" s="11">
        <f t="shared" si="88"/>
        <v>29400</v>
      </c>
      <c r="L1415" s="11">
        <f t="shared" si="89"/>
        <v>0</v>
      </c>
      <c r="M1415" s="11">
        <f t="shared" si="90"/>
        <v>79600</v>
      </c>
      <c r="N1415" s="10">
        <f t="shared" si="91"/>
        <v>0.73027522935779821</v>
      </c>
    </row>
    <row r="1416" spans="1:14" x14ac:dyDescent="0.3">
      <c r="A1416" s="9" t="s">
        <v>1546</v>
      </c>
      <c r="B1416" s="9" t="s">
        <v>1543</v>
      </c>
      <c r="C1416" s="9" t="s">
        <v>39</v>
      </c>
      <c r="D1416" s="9" t="s">
        <v>25</v>
      </c>
      <c r="E1416" s="9">
        <v>2</v>
      </c>
      <c r="F1416" s="11">
        <v>66500</v>
      </c>
      <c r="G1416" s="9" t="str">
        <f>INDEX(Products!$B$2:$B$9,MATCH(D1416,Products!$A$2:$A$9,0))</f>
        <v>Trà hoa đậu biếc</v>
      </c>
      <c r="H1416" s="9" t="str">
        <f>INDEX(Products!$C$2:$C$9,MATCH(D1416,Products!$A$2:$A$9,0))</f>
        <v>An thần</v>
      </c>
      <c r="I1416" s="11">
        <f>INDEX(Products!$D$2:$D$9,MATCH(D1416,Products!$A$2:$A$9,0))</f>
        <v>8800</v>
      </c>
      <c r="J1416" s="10">
        <f>IFERROR(INDEX(PlatformFees!$C$2:$C$5,MATCH(C1416,PlatformFees!$A$2:$A$5,0)),0)</f>
        <v>0</v>
      </c>
      <c r="K1416" s="11">
        <f t="shared" si="88"/>
        <v>17600</v>
      </c>
      <c r="L1416" s="11">
        <f t="shared" si="89"/>
        <v>0</v>
      </c>
      <c r="M1416" s="11">
        <f t="shared" si="90"/>
        <v>48900</v>
      </c>
      <c r="N1416" s="10">
        <f t="shared" si="91"/>
        <v>0.73533834586466162</v>
      </c>
    </row>
    <row r="1417" spans="1:14" x14ac:dyDescent="0.3">
      <c r="A1417" s="9" t="s">
        <v>1547</v>
      </c>
      <c r="B1417" s="9" t="s">
        <v>1543</v>
      </c>
      <c r="C1417" s="9" t="s">
        <v>36</v>
      </c>
      <c r="D1417" s="9" t="s">
        <v>20</v>
      </c>
      <c r="E1417" s="9">
        <v>1</v>
      </c>
      <c r="F1417" s="11">
        <v>51800</v>
      </c>
      <c r="G1417" s="9" t="str">
        <f>INDEX(Products!$B$2:$B$9,MATCH(D1417,Products!$A$2:$A$9,0))</f>
        <v>Trà cà leo gai giảm cân</v>
      </c>
      <c r="H1417" s="9" t="str">
        <f>INDEX(Products!$C$2:$C$9,MATCH(D1417,Products!$A$2:$A$9,0))</f>
        <v>Detox</v>
      </c>
      <c r="I1417" s="11">
        <f>INDEX(Products!$D$2:$D$9,MATCH(D1417,Products!$A$2:$A$9,0))</f>
        <v>15000</v>
      </c>
      <c r="J1417" s="10">
        <f>IFERROR(INDEX(PlatformFees!$C$2:$C$5,MATCH(C1417,PlatformFees!$A$2:$A$5,0)),0)</f>
        <v>0.13</v>
      </c>
      <c r="K1417" s="11">
        <f t="shared" si="88"/>
        <v>15000</v>
      </c>
      <c r="L1417" s="11">
        <f t="shared" si="89"/>
        <v>6734</v>
      </c>
      <c r="M1417" s="11">
        <f t="shared" si="90"/>
        <v>30066</v>
      </c>
      <c r="N1417" s="10">
        <f t="shared" si="91"/>
        <v>0.58042471042471044</v>
      </c>
    </row>
    <row r="1418" spans="1:14" x14ac:dyDescent="0.3">
      <c r="A1418" s="9" t="s">
        <v>1548</v>
      </c>
      <c r="B1418" s="9" t="s">
        <v>1543</v>
      </c>
      <c r="C1418" s="9" t="s">
        <v>39</v>
      </c>
      <c r="D1418" s="9" t="s">
        <v>17</v>
      </c>
      <c r="E1418" s="9">
        <v>3</v>
      </c>
      <c r="F1418" s="11">
        <v>120100</v>
      </c>
      <c r="G1418" s="9" t="str">
        <f>INDEX(Products!$B$2:$B$9,MATCH(D1418,Products!$A$2:$A$9,0))</f>
        <v>Trà diếp cá rau má</v>
      </c>
      <c r="H1418" s="9" t="str">
        <f>INDEX(Products!$C$2:$C$9,MATCH(D1418,Products!$A$2:$A$9,0))</f>
        <v>Detox</v>
      </c>
      <c r="I1418" s="11">
        <f>INDEX(Products!$D$2:$D$9,MATCH(D1418,Products!$A$2:$A$9,0))</f>
        <v>10500</v>
      </c>
      <c r="J1418" s="10">
        <f>IFERROR(INDEX(PlatformFees!$C$2:$C$5,MATCH(C1418,PlatformFees!$A$2:$A$5,0)),0)</f>
        <v>0</v>
      </c>
      <c r="K1418" s="11">
        <f t="shared" si="88"/>
        <v>31500</v>
      </c>
      <c r="L1418" s="11">
        <f t="shared" si="89"/>
        <v>0</v>
      </c>
      <c r="M1418" s="11">
        <f t="shared" si="90"/>
        <v>88600</v>
      </c>
      <c r="N1418" s="10">
        <f t="shared" si="91"/>
        <v>0.73771856786011658</v>
      </c>
    </row>
    <row r="1419" spans="1:14" x14ac:dyDescent="0.3">
      <c r="A1419" s="9" t="s">
        <v>1549</v>
      </c>
      <c r="B1419" s="9" t="s">
        <v>1543</v>
      </c>
      <c r="C1419" s="9" t="s">
        <v>40</v>
      </c>
      <c r="D1419" s="9" t="s">
        <v>22</v>
      </c>
      <c r="E1419" s="9">
        <v>1</v>
      </c>
      <c r="F1419" s="11">
        <v>39100</v>
      </c>
      <c r="G1419" s="9" t="str">
        <f>INDEX(Products!$B$2:$B$9,MATCH(D1419,Products!$A$2:$A$9,0))</f>
        <v>Trà hoa cúc an thần</v>
      </c>
      <c r="H1419" s="9" t="str">
        <f>INDEX(Products!$C$2:$C$9,MATCH(D1419,Products!$A$2:$A$9,0))</f>
        <v>An thần</v>
      </c>
      <c r="I1419" s="11">
        <f>INDEX(Products!$D$2:$D$9,MATCH(D1419,Products!$A$2:$A$9,0))</f>
        <v>9500</v>
      </c>
      <c r="J1419" s="10">
        <f>IFERROR(INDEX(PlatformFees!$C$2:$C$5,MATCH(C1419,PlatformFees!$A$2:$A$5,0)),0)</f>
        <v>0</v>
      </c>
      <c r="K1419" s="11">
        <f t="shared" si="88"/>
        <v>9500</v>
      </c>
      <c r="L1419" s="11">
        <f t="shared" si="89"/>
        <v>0</v>
      </c>
      <c r="M1419" s="11">
        <f t="shared" si="90"/>
        <v>29600</v>
      </c>
      <c r="N1419" s="10">
        <f t="shared" si="91"/>
        <v>0.75703324808184147</v>
      </c>
    </row>
    <row r="1420" spans="1:14" x14ac:dyDescent="0.3">
      <c r="A1420" s="9" t="s">
        <v>1550</v>
      </c>
      <c r="B1420" s="9" t="s">
        <v>1543</v>
      </c>
      <c r="C1420" s="9" t="s">
        <v>38</v>
      </c>
      <c r="D1420" s="9" t="s">
        <v>22</v>
      </c>
      <c r="E1420" s="9">
        <v>2</v>
      </c>
      <c r="F1420" s="11">
        <v>73300</v>
      </c>
      <c r="G1420" s="9" t="str">
        <f>INDEX(Products!$B$2:$B$9,MATCH(D1420,Products!$A$2:$A$9,0))</f>
        <v>Trà hoa cúc an thần</v>
      </c>
      <c r="H1420" s="9" t="str">
        <f>INDEX(Products!$C$2:$C$9,MATCH(D1420,Products!$A$2:$A$9,0))</f>
        <v>An thần</v>
      </c>
      <c r="I1420" s="11">
        <f>INDEX(Products!$D$2:$D$9,MATCH(D1420,Products!$A$2:$A$9,0))</f>
        <v>9500</v>
      </c>
      <c r="J1420" s="10">
        <f>IFERROR(INDEX(PlatformFees!$C$2:$C$5,MATCH(C1420,PlatformFees!$A$2:$A$5,0)),0)</f>
        <v>0.16</v>
      </c>
      <c r="K1420" s="11">
        <f t="shared" si="88"/>
        <v>19000</v>
      </c>
      <c r="L1420" s="11">
        <f t="shared" si="89"/>
        <v>11728</v>
      </c>
      <c r="M1420" s="11">
        <f t="shared" si="90"/>
        <v>42572</v>
      </c>
      <c r="N1420" s="10">
        <f t="shared" si="91"/>
        <v>0.5807912687585266</v>
      </c>
    </row>
    <row r="1421" spans="1:14" x14ac:dyDescent="0.3">
      <c r="A1421" s="9" t="s">
        <v>1551</v>
      </c>
      <c r="B1421" s="9" t="s">
        <v>1543</v>
      </c>
      <c r="C1421" s="9" t="s">
        <v>36</v>
      </c>
      <c r="D1421" s="9" t="s">
        <v>17</v>
      </c>
      <c r="E1421" s="9">
        <v>1</v>
      </c>
      <c r="F1421" s="11">
        <v>42800</v>
      </c>
      <c r="G1421" s="9" t="str">
        <f>INDEX(Products!$B$2:$B$9,MATCH(D1421,Products!$A$2:$A$9,0))</f>
        <v>Trà diếp cá rau má</v>
      </c>
      <c r="H1421" s="9" t="str">
        <f>INDEX(Products!$C$2:$C$9,MATCH(D1421,Products!$A$2:$A$9,0))</f>
        <v>Detox</v>
      </c>
      <c r="I1421" s="11">
        <f>INDEX(Products!$D$2:$D$9,MATCH(D1421,Products!$A$2:$A$9,0))</f>
        <v>10500</v>
      </c>
      <c r="J1421" s="10">
        <f>IFERROR(INDEX(PlatformFees!$C$2:$C$5,MATCH(C1421,PlatformFees!$A$2:$A$5,0)),0)</f>
        <v>0.13</v>
      </c>
      <c r="K1421" s="11">
        <f t="shared" si="88"/>
        <v>10500</v>
      </c>
      <c r="L1421" s="11">
        <f t="shared" si="89"/>
        <v>5564</v>
      </c>
      <c r="M1421" s="11">
        <f t="shared" si="90"/>
        <v>26736</v>
      </c>
      <c r="N1421" s="10">
        <f t="shared" si="91"/>
        <v>0.62467289719626173</v>
      </c>
    </row>
    <row r="1422" spans="1:14" x14ac:dyDescent="0.3">
      <c r="A1422" s="9" t="s">
        <v>1552</v>
      </c>
      <c r="B1422" s="9" t="s">
        <v>1543</v>
      </c>
      <c r="C1422" s="9" t="s">
        <v>40</v>
      </c>
      <c r="D1422" s="9" t="s">
        <v>12</v>
      </c>
      <c r="E1422" s="9">
        <v>2</v>
      </c>
      <c r="F1422" s="11">
        <v>70700</v>
      </c>
      <c r="G1422" s="9" t="str">
        <f>INDEX(Products!$B$2:$B$9,MATCH(D1422,Products!$A$2:$A$9,0))</f>
        <v>Trà atiso thanh lọc</v>
      </c>
      <c r="H1422" s="9" t="str">
        <f>INDEX(Products!$C$2:$C$9,MATCH(D1422,Products!$A$2:$A$9,0))</f>
        <v>Thanh lọc</v>
      </c>
      <c r="I1422" s="11">
        <f>INDEX(Products!$D$2:$D$9,MATCH(D1422,Products!$A$2:$A$9,0))</f>
        <v>9000</v>
      </c>
      <c r="J1422" s="10">
        <f>IFERROR(INDEX(PlatformFees!$C$2:$C$5,MATCH(C1422,PlatformFees!$A$2:$A$5,0)),0)</f>
        <v>0</v>
      </c>
      <c r="K1422" s="11">
        <f t="shared" si="88"/>
        <v>18000</v>
      </c>
      <c r="L1422" s="11">
        <f t="shared" si="89"/>
        <v>0</v>
      </c>
      <c r="M1422" s="11">
        <f t="shared" si="90"/>
        <v>52700</v>
      </c>
      <c r="N1422" s="10">
        <f t="shared" si="91"/>
        <v>0.74540311173974538</v>
      </c>
    </row>
    <row r="1423" spans="1:14" x14ac:dyDescent="0.3">
      <c r="A1423" s="9" t="s">
        <v>1553</v>
      </c>
      <c r="B1423" s="9" t="s">
        <v>1543</v>
      </c>
      <c r="C1423" s="9" t="s">
        <v>36</v>
      </c>
      <c r="D1423" s="9" t="s">
        <v>27</v>
      </c>
      <c r="E1423" s="9">
        <v>1</v>
      </c>
      <c r="F1423" s="11">
        <v>37800</v>
      </c>
      <c r="G1423" s="9" t="str">
        <f>INDEX(Products!$B$2:$B$9,MATCH(D1423,Products!$A$2:$A$9,0))</f>
        <v>Trà gừng mật ong</v>
      </c>
      <c r="H1423" s="9" t="str">
        <f>INDEX(Products!$C$2:$C$9,MATCH(D1423,Products!$A$2:$A$9,0))</f>
        <v>Giữ ấm</v>
      </c>
      <c r="I1423" s="11">
        <f>INDEX(Products!$D$2:$D$9,MATCH(D1423,Products!$A$2:$A$9,0))</f>
        <v>11000</v>
      </c>
      <c r="J1423" s="10">
        <f>IFERROR(INDEX(PlatformFees!$C$2:$C$5,MATCH(C1423,PlatformFees!$A$2:$A$5,0)),0)</f>
        <v>0.13</v>
      </c>
      <c r="K1423" s="11">
        <f t="shared" si="88"/>
        <v>11000</v>
      </c>
      <c r="L1423" s="11">
        <f t="shared" si="89"/>
        <v>4914</v>
      </c>
      <c r="M1423" s="11">
        <f t="shared" si="90"/>
        <v>21886</v>
      </c>
      <c r="N1423" s="10">
        <f t="shared" si="91"/>
        <v>0.57899470899470895</v>
      </c>
    </row>
    <row r="1424" spans="1:14" x14ac:dyDescent="0.3">
      <c r="A1424" s="9" t="s">
        <v>1554</v>
      </c>
      <c r="B1424" s="9" t="s">
        <v>1543</v>
      </c>
      <c r="C1424" s="9" t="s">
        <v>39</v>
      </c>
      <c r="D1424" s="9" t="s">
        <v>20</v>
      </c>
      <c r="E1424" s="9">
        <v>1</v>
      </c>
      <c r="F1424" s="11">
        <v>54900</v>
      </c>
      <c r="G1424" s="9" t="str">
        <f>INDEX(Products!$B$2:$B$9,MATCH(D1424,Products!$A$2:$A$9,0))</f>
        <v>Trà cà leo gai giảm cân</v>
      </c>
      <c r="H1424" s="9" t="str">
        <f>INDEX(Products!$C$2:$C$9,MATCH(D1424,Products!$A$2:$A$9,0))</f>
        <v>Detox</v>
      </c>
      <c r="I1424" s="11">
        <f>INDEX(Products!$D$2:$D$9,MATCH(D1424,Products!$A$2:$A$9,0))</f>
        <v>15000</v>
      </c>
      <c r="J1424" s="10">
        <f>IFERROR(INDEX(PlatformFees!$C$2:$C$5,MATCH(C1424,PlatformFees!$A$2:$A$5,0)),0)</f>
        <v>0</v>
      </c>
      <c r="K1424" s="11">
        <f t="shared" si="88"/>
        <v>15000</v>
      </c>
      <c r="L1424" s="11">
        <f t="shared" si="89"/>
        <v>0</v>
      </c>
      <c r="M1424" s="11">
        <f t="shared" si="90"/>
        <v>39900</v>
      </c>
      <c r="N1424" s="10">
        <f t="shared" si="91"/>
        <v>0.72677595628415304</v>
      </c>
    </row>
    <row r="1425" spans="1:14" x14ac:dyDescent="0.3">
      <c r="A1425" s="9" t="s">
        <v>1555</v>
      </c>
      <c r="B1425" s="9" t="s">
        <v>1543</v>
      </c>
      <c r="C1425" s="9" t="s">
        <v>36</v>
      </c>
      <c r="D1425" s="9" t="s">
        <v>20</v>
      </c>
      <c r="E1425" s="9">
        <v>1</v>
      </c>
      <c r="F1425" s="11">
        <v>54600</v>
      </c>
      <c r="G1425" s="9" t="str">
        <f>INDEX(Products!$B$2:$B$9,MATCH(D1425,Products!$A$2:$A$9,0))</f>
        <v>Trà cà leo gai giảm cân</v>
      </c>
      <c r="H1425" s="9" t="str">
        <f>INDEX(Products!$C$2:$C$9,MATCH(D1425,Products!$A$2:$A$9,0))</f>
        <v>Detox</v>
      </c>
      <c r="I1425" s="11">
        <f>INDEX(Products!$D$2:$D$9,MATCH(D1425,Products!$A$2:$A$9,0))</f>
        <v>15000</v>
      </c>
      <c r="J1425" s="10">
        <f>IFERROR(INDEX(PlatformFees!$C$2:$C$5,MATCH(C1425,PlatformFees!$A$2:$A$5,0)),0)</f>
        <v>0.13</v>
      </c>
      <c r="K1425" s="11">
        <f t="shared" si="88"/>
        <v>15000</v>
      </c>
      <c r="L1425" s="11">
        <f t="shared" si="89"/>
        <v>7098</v>
      </c>
      <c r="M1425" s="11">
        <f t="shared" si="90"/>
        <v>32502</v>
      </c>
      <c r="N1425" s="10">
        <f t="shared" si="91"/>
        <v>0.59527472527472525</v>
      </c>
    </row>
    <row r="1426" spans="1:14" x14ac:dyDescent="0.3">
      <c r="A1426" s="9" t="s">
        <v>1556</v>
      </c>
      <c r="B1426" s="9" t="s">
        <v>1543</v>
      </c>
      <c r="C1426" s="9" t="s">
        <v>38</v>
      </c>
      <c r="D1426" s="9" t="s">
        <v>15</v>
      </c>
      <c r="E1426" s="9">
        <v>2</v>
      </c>
      <c r="F1426" s="11">
        <v>64800</v>
      </c>
      <c r="G1426" s="9" t="str">
        <f>INDEX(Products!$B$2:$B$9,MATCH(D1426,Products!$A$2:$A$9,0))</f>
        <v>Trà lá nam sen ổi</v>
      </c>
      <c r="H1426" s="9" t="str">
        <f>INDEX(Products!$C$2:$C$9,MATCH(D1426,Products!$A$2:$A$9,0))</f>
        <v>Thanh lọc</v>
      </c>
      <c r="I1426" s="11">
        <f>INDEX(Products!$D$2:$D$9,MATCH(D1426,Products!$A$2:$A$9,0))</f>
        <v>8500</v>
      </c>
      <c r="J1426" s="10">
        <f>IFERROR(INDEX(PlatformFees!$C$2:$C$5,MATCH(C1426,PlatformFees!$A$2:$A$5,0)),0)</f>
        <v>0.16</v>
      </c>
      <c r="K1426" s="11">
        <f t="shared" si="88"/>
        <v>17000</v>
      </c>
      <c r="L1426" s="11">
        <f t="shared" si="89"/>
        <v>10368</v>
      </c>
      <c r="M1426" s="11">
        <f t="shared" si="90"/>
        <v>37432</v>
      </c>
      <c r="N1426" s="10">
        <f t="shared" si="91"/>
        <v>0.57765432098765435</v>
      </c>
    </row>
    <row r="1427" spans="1:14" x14ac:dyDescent="0.3">
      <c r="A1427" s="9" t="s">
        <v>1557</v>
      </c>
      <c r="B1427" s="9" t="s">
        <v>1543</v>
      </c>
      <c r="C1427" s="9" t="s">
        <v>36</v>
      </c>
      <c r="D1427" s="9" t="s">
        <v>20</v>
      </c>
      <c r="E1427" s="9">
        <v>1</v>
      </c>
      <c r="F1427" s="11">
        <v>56600</v>
      </c>
      <c r="G1427" s="9" t="str">
        <f>INDEX(Products!$B$2:$B$9,MATCH(D1427,Products!$A$2:$A$9,0))</f>
        <v>Trà cà leo gai giảm cân</v>
      </c>
      <c r="H1427" s="9" t="str">
        <f>INDEX(Products!$C$2:$C$9,MATCH(D1427,Products!$A$2:$A$9,0))</f>
        <v>Detox</v>
      </c>
      <c r="I1427" s="11">
        <f>INDEX(Products!$D$2:$D$9,MATCH(D1427,Products!$A$2:$A$9,0))</f>
        <v>15000</v>
      </c>
      <c r="J1427" s="10">
        <f>IFERROR(INDEX(PlatformFees!$C$2:$C$5,MATCH(C1427,PlatformFees!$A$2:$A$5,0)),0)</f>
        <v>0.13</v>
      </c>
      <c r="K1427" s="11">
        <f t="shared" si="88"/>
        <v>15000</v>
      </c>
      <c r="L1427" s="11">
        <f t="shared" si="89"/>
        <v>7358</v>
      </c>
      <c r="M1427" s="11">
        <f t="shared" si="90"/>
        <v>34242</v>
      </c>
      <c r="N1427" s="10">
        <f t="shared" si="91"/>
        <v>0.60498233215547703</v>
      </c>
    </row>
    <row r="1428" spans="1:14" x14ac:dyDescent="0.3">
      <c r="A1428" s="9" t="s">
        <v>1558</v>
      </c>
      <c r="B1428" s="9" t="s">
        <v>1543</v>
      </c>
      <c r="C1428" s="9" t="s">
        <v>38</v>
      </c>
      <c r="D1428" s="9" t="s">
        <v>15</v>
      </c>
      <c r="E1428" s="9">
        <v>1</v>
      </c>
      <c r="F1428" s="11">
        <v>31700</v>
      </c>
      <c r="G1428" s="9" t="str">
        <f>INDEX(Products!$B$2:$B$9,MATCH(D1428,Products!$A$2:$A$9,0))</f>
        <v>Trà lá nam sen ổi</v>
      </c>
      <c r="H1428" s="9" t="str">
        <f>INDEX(Products!$C$2:$C$9,MATCH(D1428,Products!$A$2:$A$9,0))</f>
        <v>Thanh lọc</v>
      </c>
      <c r="I1428" s="11">
        <f>INDEX(Products!$D$2:$D$9,MATCH(D1428,Products!$A$2:$A$9,0))</f>
        <v>8500</v>
      </c>
      <c r="J1428" s="10">
        <f>IFERROR(INDEX(PlatformFees!$C$2:$C$5,MATCH(C1428,PlatformFees!$A$2:$A$5,0)),0)</f>
        <v>0.16</v>
      </c>
      <c r="K1428" s="11">
        <f t="shared" si="88"/>
        <v>8500</v>
      </c>
      <c r="L1428" s="11">
        <f t="shared" si="89"/>
        <v>5072</v>
      </c>
      <c r="M1428" s="11">
        <f t="shared" si="90"/>
        <v>18128</v>
      </c>
      <c r="N1428" s="10">
        <f t="shared" si="91"/>
        <v>0.57186119873817032</v>
      </c>
    </row>
    <row r="1429" spans="1:14" x14ac:dyDescent="0.3">
      <c r="A1429" s="9" t="s">
        <v>1559</v>
      </c>
      <c r="B1429" s="9" t="s">
        <v>1560</v>
      </c>
      <c r="C1429" s="9" t="s">
        <v>39</v>
      </c>
      <c r="D1429" s="9" t="s">
        <v>22</v>
      </c>
      <c r="E1429" s="9">
        <v>2</v>
      </c>
      <c r="F1429" s="11">
        <v>78100</v>
      </c>
      <c r="G1429" s="9" t="str">
        <f>INDEX(Products!$B$2:$B$9,MATCH(D1429,Products!$A$2:$A$9,0))</f>
        <v>Trà hoa cúc an thần</v>
      </c>
      <c r="H1429" s="9" t="str">
        <f>INDEX(Products!$C$2:$C$9,MATCH(D1429,Products!$A$2:$A$9,0))</f>
        <v>An thần</v>
      </c>
      <c r="I1429" s="11">
        <f>INDEX(Products!$D$2:$D$9,MATCH(D1429,Products!$A$2:$A$9,0))</f>
        <v>9500</v>
      </c>
      <c r="J1429" s="10">
        <f>IFERROR(INDEX(PlatformFees!$C$2:$C$5,MATCH(C1429,PlatformFees!$A$2:$A$5,0)),0)</f>
        <v>0</v>
      </c>
      <c r="K1429" s="11">
        <f t="shared" si="88"/>
        <v>19000</v>
      </c>
      <c r="L1429" s="11">
        <f t="shared" si="89"/>
        <v>0</v>
      </c>
      <c r="M1429" s="11">
        <f t="shared" si="90"/>
        <v>59100</v>
      </c>
      <c r="N1429" s="10">
        <f t="shared" si="91"/>
        <v>0.75672215108834828</v>
      </c>
    </row>
    <row r="1430" spans="1:14" x14ac:dyDescent="0.3">
      <c r="A1430" s="9" t="s">
        <v>1561</v>
      </c>
      <c r="B1430" s="9" t="s">
        <v>1560</v>
      </c>
      <c r="C1430" s="9" t="s">
        <v>36</v>
      </c>
      <c r="D1430" s="9" t="s">
        <v>15</v>
      </c>
      <c r="E1430" s="9">
        <v>2</v>
      </c>
      <c r="F1430" s="11">
        <v>64900</v>
      </c>
      <c r="G1430" s="9" t="str">
        <f>INDEX(Products!$B$2:$B$9,MATCH(D1430,Products!$A$2:$A$9,0))</f>
        <v>Trà lá nam sen ổi</v>
      </c>
      <c r="H1430" s="9" t="str">
        <f>INDEX(Products!$C$2:$C$9,MATCH(D1430,Products!$A$2:$A$9,0))</f>
        <v>Thanh lọc</v>
      </c>
      <c r="I1430" s="11">
        <f>INDEX(Products!$D$2:$D$9,MATCH(D1430,Products!$A$2:$A$9,0))</f>
        <v>8500</v>
      </c>
      <c r="J1430" s="10">
        <f>IFERROR(INDEX(PlatformFees!$C$2:$C$5,MATCH(C1430,PlatformFees!$A$2:$A$5,0)),0)</f>
        <v>0.13</v>
      </c>
      <c r="K1430" s="11">
        <f t="shared" si="88"/>
        <v>17000</v>
      </c>
      <c r="L1430" s="11">
        <f t="shared" si="89"/>
        <v>8437</v>
      </c>
      <c r="M1430" s="11">
        <f t="shared" si="90"/>
        <v>39463</v>
      </c>
      <c r="N1430" s="10">
        <f t="shared" si="91"/>
        <v>0.6080585516178737</v>
      </c>
    </row>
    <row r="1431" spans="1:14" x14ac:dyDescent="0.3">
      <c r="A1431" s="9" t="s">
        <v>1562</v>
      </c>
      <c r="B1431" s="9" t="s">
        <v>1560</v>
      </c>
      <c r="C1431" s="9" t="s">
        <v>39</v>
      </c>
      <c r="D1431" s="9" t="s">
        <v>25</v>
      </c>
      <c r="E1431" s="9">
        <v>2</v>
      </c>
      <c r="F1431" s="11">
        <v>67200</v>
      </c>
      <c r="G1431" s="9" t="str">
        <f>INDEX(Products!$B$2:$B$9,MATCH(D1431,Products!$A$2:$A$9,0))</f>
        <v>Trà hoa đậu biếc</v>
      </c>
      <c r="H1431" s="9" t="str">
        <f>INDEX(Products!$C$2:$C$9,MATCH(D1431,Products!$A$2:$A$9,0))</f>
        <v>An thần</v>
      </c>
      <c r="I1431" s="11">
        <f>INDEX(Products!$D$2:$D$9,MATCH(D1431,Products!$A$2:$A$9,0))</f>
        <v>8800</v>
      </c>
      <c r="J1431" s="10">
        <f>IFERROR(INDEX(PlatformFees!$C$2:$C$5,MATCH(C1431,PlatformFees!$A$2:$A$5,0)),0)</f>
        <v>0</v>
      </c>
      <c r="K1431" s="11">
        <f t="shared" si="88"/>
        <v>17600</v>
      </c>
      <c r="L1431" s="11">
        <f t="shared" si="89"/>
        <v>0</v>
      </c>
      <c r="M1431" s="11">
        <f t="shared" si="90"/>
        <v>49600</v>
      </c>
      <c r="N1431" s="10">
        <f t="shared" si="91"/>
        <v>0.73809523809523814</v>
      </c>
    </row>
    <row r="1432" spans="1:14" x14ac:dyDescent="0.3">
      <c r="A1432" s="9" t="s">
        <v>1563</v>
      </c>
      <c r="B1432" s="9" t="s">
        <v>1560</v>
      </c>
      <c r="C1432" s="9" t="s">
        <v>38</v>
      </c>
      <c r="D1432" s="9" t="s">
        <v>20</v>
      </c>
      <c r="E1432" s="9">
        <v>2</v>
      </c>
      <c r="F1432" s="11">
        <v>105900</v>
      </c>
      <c r="G1432" s="9" t="str">
        <f>INDEX(Products!$B$2:$B$9,MATCH(D1432,Products!$A$2:$A$9,0))</f>
        <v>Trà cà leo gai giảm cân</v>
      </c>
      <c r="H1432" s="9" t="str">
        <f>INDEX(Products!$C$2:$C$9,MATCH(D1432,Products!$A$2:$A$9,0))</f>
        <v>Detox</v>
      </c>
      <c r="I1432" s="11">
        <f>INDEX(Products!$D$2:$D$9,MATCH(D1432,Products!$A$2:$A$9,0))</f>
        <v>15000</v>
      </c>
      <c r="J1432" s="10">
        <f>IFERROR(INDEX(PlatformFees!$C$2:$C$5,MATCH(C1432,PlatformFees!$A$2:$A$5,0)),0)</f>
        <v>0.16</v>
      </c>
      <c r="K1432" s="11">
        <f t="shared" si="88"/>
        <v>30000</v>
      </c>
      <c r="L1432" s="11">
        <f t="shared" si="89"/>
        <v>16944</v>
      </c>
      <c r="M1432" s="11">
        <f t="shared" si="90"/>
        <v>58956</v>
      </c>
      <c r="N1432" s="10">
        <f t="shared" si="91"/>
        <v>0.55671388101982999</v>
      </c>
    </row>
    <row r="1433" spans="1:14" x14ac:dyDescent="0.3">
      <c r="A1433" s="9" t="s">
        <v>1564</v>
      </c>
      <c r="B1433" s="9" t="s">
        <v>1560</v>
      </c>
      <c r="C1433" s="9" t="s">
        <v>36</v>
      </c>
      <c r="D1433" s="9" t="s">
        <v>20</v>
      </c>
      <c r="E1433" s="9">
        <v>1</v>
      </c>
      <c r="F1433" s="11">
        <v>54100</v>
      </c>
      <c r="G1433" s="9" t="str">
        <f>INDEX(Products!$B$2:$B$9,MATCH(D1433,Products!$A$2:$A$9,0))</f>
        <v>Trà cà leo gai giảm cân</v>
      </c>
      <c r="H1433" s="9" t="str">
        <f>INDEX(Products!$C$2:$C$9,MATCH(D1433,Products!$A$2:$A$9,0))</f>
        <v>Detox</v>
      </c>
      <c r="I1433" s="11">
        <f>INDEX(Products!$D$2:$D$9,MATCH(D1433,Products!$A$2:$A$9,0))</f>
        <v>15000</v>
      </c>
      <c r="J1433" s="10">
        <f>IFERROR(INDEX(PlatformFees!$C$2:$C$5,MATCH(C1433,PlatformFees!$A$2:$A$5,0)),0)</f>
        <v>0.13</v>
      </c>
      <c r="K1433" s="11">
        <f t="shared" si="88"/>
        <v>15000</v>
      </c>
      <c r="L1433" s="11">
        <f t="shared" si="89"/>
        <v>7033</v>
      </c>
      <c r="M1433" s="11">
        <f t="shared" si="90"/>
        <v>32067</v>
      </c>
      <c r="N1433" s="10">
        <f t="shared" si="91"/>
        <v>0.59273567467652499</v>
      </c>
    </row>
    <row r="1434" spans="1:14" x14ac:dyDescent="0.3">
      <c r="A1434" s="9" t="s">
        <v>1565</v>
      </c>
      <c r="B1434" s="9" t="s">
        <v>1560</v>
      </c>
      <c r="C1434" s="9" t="s">
        <v>39</v>
      </c>
      <c r="D1434" s="9" t="s">
        <v>15</v>
      </c>
      <c r="E1434" s="9">
        <v>2</v>
      </c>
      <c r="F1434" s="11">
        <v>60800</v>
      </c>
      <c r="G1434" s="9" t="str">
        <f>INDEX(Products!$B$2:$B$9,MATCH(D1434,Products!$A$2:$A$9,0))</f>
        <v>Trà lá nam sen ổi</v>
      </c>
      <c r="H1434" s="9" t="str">
        <f>INDEX(Products!$C$2:$C$9,MATCH(D1434,Products!$A$2:$A$9,0))</f>
        <v>Thanh lọc</v>
      </c>
      <c r="I1434" s="11">
        <f>INDEX(Products!$D$2:$D$9,MATCH(D1434,Products!$A$2:$A$9,0))</f>
        <v>8500</v>
      </c>
      <c r="J1434" s="10">
        <f>IFERROR(INDEX(PlatformFees!$C$2:$C$5,MATCH(C1434,PlatformFees!$A$2:$A$5,0)),0)</f>
        <v>0</v>
      </c>
      <c r="K1434" s="11">
        <f t="shared" si="88"/>
        <v>17000</v>
      </c>
      <c r="L1434" s="11">
        <f t="shared" si="89"/>
        <v>0</v>
      </c>
      <c r="M1434" s="11">
        <f t="shared" si="90"/>
        <v>43800</v>
      </c>
      <c r="N1434" s="10">
        <f t="shared" si="91"/>
        <v>0.72039473684210531</v>
      </c>
    </row>
    <row r="1435" spans="1:14" x14ac:dyDescent="0.3">
      <c r="A1435" s="9" t="s">
        <v>1566</v>
      </c>
      <c r="B1435" s="9" t="s">
        <v>1560</v>
      </c>
      <c r="C1435" s="9" t="s">
        <v>40</v>
      </c>
      <c r="D1435" s="9" t="s">
        <v>25</v>
      </c>
      <c r="E1435" s="9">
        <v>1</v>
      </c>
      <c r="F1435" s="11">
        <v>34900</v>
      </c>
      <c r="G1435" s="9" t="str">
        <f>INDEX(Products!$B$2:$B$9,MATCH(D1435,Products!$A$2:$A$9,0))</f>
        <v>Trà hoa đậu biếc</v>
      </c>
      <c r="H1435" s="9" t="str">
        <f>INDEX(Products!$C$2:$C$9,MATCH(D1435,Products!$A$2:$A$9,0))</f>
        <v>An thần</v>
      </c>
      <c r="I1435" s="11">
        <f>INDEX(Products!$D$2:$D$9,MATCH(D1435,Products!$A$2:$A$9,0))</f>
        <v>8800</v>
      </c>
      <c r="J1435" s="10">
        <f>IFERROR(INDEX(PlatformFees!$C$2:$C$5,MATCH(C1435,PlatformFees!$A$2:$A$5,0)),0)</f>
        <v>0</v>
      </c>
      <c r="K1435" s="11">
        <f t="shared" si="88"/>
        <v>8800</v>
      </c>
      <c r="L1435" s="11">
        <f t="shared" si="89"/>
        <v>0</v>
      </c>
      <c r="M1435" s="11">
        <f t="shared" si="90"/>
        <v>26100</v>
      </c>
      <c r="N1435" s="10">
        <f t="shared" si="91"/>
        <v>0.74785100286532946</v>
      </c>
    </row>
    <row r="1436" spans="1:14" x14ac:dyDescent="0.3">
      <c r="A1436" s="9" t="s">
        <v>1567</v>
      </c>
      <c r="B1436" s="9" t="s">
        <v>1560</v>
      </c>
      <c r="C1436" s="9" t="s">
        <v>38</v>
      </c>
      <c r="D1436" s="9" t="s">
        <v>25</v>
      </c>
      <c r="E1436" s="9">
        <v>1</v>
      </c>
      <c r="F1436" s="11">
        <v>33500</v>
      </c>
      <c r="G1436" s="9" t="str">
        <f>INDEX(Products!$B$2:$B$9,MATCH(D1436,Products!$A$2:$A$9,0))</f>
        <v>Trà hoa đậu biếc</v>
      </c>
      <c r="H1436" s="9" t="str">
        <f>INDEX(Products!$C$2:$C$9,MATCH(D1436,Products!$A$2:$A$9,0))</f>
        <v>An thần</v>
      </c>
      <c r="I1436" s="11">
        <f>INDEX(Products!$D$2:$D$9,MATCH(D1436,Products!$A$2:$A$9,0))</f>
        <v>8800</v>
      </c>
      <c r="J1436" s="10">
        <f>IFERROR(INDEX(PlatformFees!$C$2:$C$5,MATCH(C1436,PlatformFees!$A$2:$A$5,0)),0)</f>
        <v>0.16</v>
      </c>
      <c r="K1436" s="11">
        <f t="shared" si="88"/>
        <v>8800</v>
      </c>
      <c r="L1436" s="11">
        <f t="shared" si="89"/>
        <v>5360</v>
      </c>
      <c r="M1436" s="11">
        <f t="shared" si="90"/>
        <v>19340</v>
      </c>
      <c r="N1436" s="10">
        <f t="shared" si="91"/>
        <v>0.57731343283582093</v>
      </c>
    </row>
    <row r="1437" spans="1:14" x14ac:dyDescent="0.3">
      <c r="A1437" s="9" t="s">
        <v>1568</v>
      </c>
      <c r="B1437" s="9" t="s">
        <v>1560</v>
      </c>
      <c r="C1437" s="9" t="s">
        <v>40</v>
      </c>
      <c r="D1437" s="9" t="s">
        <v>12</v>
      </c>
      <c r="E1437" s="9">
        <v>3</v>
      </c>
      <c r="F1437" s="11">
        <v>105000</v>
      </c>
      <c r="G1437" s="9" t="str">
        <f>INDEX(Products!$B$2:$B$9,MATCH(D1437,Products!$A$2:$A$9,0))</f>
        <v>Trà atiso thanh lọc</v>
      </c>
      <c r="H1437" s="9" t="str">
        <f>INDEX(Products!$C$2:$C$9,MATCH(D1437,Products!$A$2:$A$9,0))</f>
        <v>Thanh lọc</v>
      </c>
      <c r="I1437" s="11">
        <f>INDEX(Products!$D$2:$D$9,MATCH(D1437,Products!$A$2:$A$9,0))</f>
        <v>9000</v>
      </c>
      <c r="J1437" s="10">
        <f>IFERROR(INDEX(PlatformFees!$C$2:$C$5,MATCH(C1437,PlatformFees!$A$2:$A$5,0)),0)</f>
        <v>0</v>
      </c>
      <c r="K1437" s="11">
        <f t="shared" si="88"/>
        <v>27000</v>
      </c>
      <c r="L1437" s="11">
        <f t="shared" si="89"/>
        <v>0</v>
      </c>
      <c r="M1437" s="11">
        <f t="shared" si="90"/>
        <v>78000</v>
      </c>
      <c r="N1437" s="10">
        <f t="shared" si="91"/>
        <v>0.74285714285714288</v>
      </c>
    </row>
    <row r="1438" spans="1:14" x14ac:dyDescent="0.3">
      <c r="A1438" s="9" t="s">
        <v>1569</v>
      </c>
      <c r="B1438" s="9" t="s">
        <v>1560</v>
      </c>
      <c r="C1438" s="9" t="s">
        <v>40</v>
      </c>
      <c r="D1438" s="9" t="s">
        <v>30</v>
      </c>
      <c r="E1438" s="9">
        <v>1</v>
      </c>
      <c r="F1438" s="11">
        <v>35000</v>
      </c>
      <c r="G1438" s="9" t="str">
        <f>INDEX(Products!$B$2:$B$9,MATCH(D1438,Products!$A$2:$A$9,0))</f>
        <v>Trà mâm xôi vitamin</v>
      </c>
      <c r="H1438" s="9" t="str">
        <f>INDEX(Products!$C$2:$C$9,MATCH(D1438,Products!$A$2:$A$9,0))</f>
        <v>Bổ sung dưỡng chất</v>
      </c>
      <c r="I1438" s="11">
        <f>INDEX(Products!$D$2:$D$9,MATCH(D1438,Products!$A$2:$A$9,0))</f>
        <v>9800</v>
      </c>
      <c r="J1438" s="10">
        <f>IFERROR(INDEX(PlatformFees!$C$2:$C$5,MATCH(C1438,PlatformFees!$A$2:$A$5,0)),0)</f>
        <v>0</v>
      </c>
      <c r="K1438" s="11">
        <f t="shared" si="88"/>
        <v>9800</v>
      </c>
      <c r="L1438" s="11">
        <f t="shared" si="89"/>
        <v>0</v>
      </c>
      <c r="M1438" s="11">
        <f t="shared" si="90"/>
        <v>25200</v>
      </c>
      <c r="N1438" s="10">
        <f t="shared" si="91"/>
        <v>0.72</v>
      </c>
    </row>
    <row r="1439" spans="1:14" x14ac:dyDescent="0.3">
      <c r="A1439" s="9" t="s">
        <v>1570</v>
      </c>
      <c r="B1439" s="9" t="s">
        <v>1560</v>
      </c>
      <c r="C1439" s="9" t="s">
        <v>36</v>
      </c>
      <c r="D1439" s="9" t="s">
        <v>27</v>
      </c>
      <c r="E1439" s="9">
        <v>1</v>
      </c>
      <c r="F1439" s="11">
        <v>37900</v>
      </c>
      <c r="G1439" s="9" t="str">
        <f>INDEX(Products!$B$2:$B$9,MATCH(D1439,Products!$A$2:$A$9,0))</f>
        <v>Trà gừng mật ong</v>
      </c>
      <c r="H1439" s="9" t="str">
        <f>INDEX(Products!$C$2:$C$9,MATCH(D1439,Products!$A$2:$A$9,0))</f>
        <v>Giữ ấm</v>
      </c>
      <c r="I1439" s="11">
        <f>INDEX(Products!$D$2:$D$9,MATCH(D1439,Products!$A$2:$A$9,0))</f>
        <v>11000</v>
      </c>
      <c r="J1439" s="10">
        <f>IFERROR(INDEX(PlatformFees!$C$2:$C$5,MATCH(C1439,PlatformFees!$A$2:$A$5,0)),0)</f>
        <v>0.13</v>
      </c>
      <c r="K1439" s="11">
        <f t="shared" si="88"/>
        <v>11000</v>
      </c>
      <c r="L1439" s="11">
        <f t="shared" si="89"/>
        <v>4927</v>
      </c>
      <c r="M1439" s="11">
        <f t="shared" si="90"/>
        <v>21973</v>
      </c>
      <c r="N1439" s="10">
        <f t="shared" si="91"/>
        <v>0.57976253298153035</v>
      </c>
    </row>
    <row r="1440" spans="1:14" x14ac:dyDescent="0.3">
      <c r="A1440" s="9" t="s">
        <v>1571</v>
      </c>
      <c r="B1440" s="9" t="s">
        <v>1560</v>
      </c>
      <c r="C1440" s="9" t="s">
        <v>38</v>
      </c>
      <c r="D1440" s="9" t="s">
        <v>22</v>
      </c>
      <c r="E1440" s="9">
        <v>3</v>
      </c>
      <c r="F1440" s="11">
        <v>105900</v>
      </c>
      <c r="G1440" s="9" t="str">
        <f>INDEX(Products!$B$2:$B$9,MATCH(D1440,Products!$A$2:$A$9,0))</f>
        <v>Trà hoa cúc an thần</v>
      </c>
      <c r="H1440" s="9" t="str">
        <f>INDEX(Products!$C$2:$C$9,MATCH(D1440,Products!$A$2:$A$9,0))</f>
        <v>An thần</v>
      </c>
      <c r="I1440" s="11">
        <f>INDEX(Products!$D$2:$D$9,MATCH(D1440,Products!$A$2:$A$9,0))</f>
        <v>9500</v>
      </c>
      <c r="J1440" s="10">
        <f>IFERROR(INDEX(PlatformFees!$C$2:$C$5,MATCH(C1440,PlatformFees!$A$2:$A$5,0)),0)</f>
        <v>0.16</v>
      </c>
      <c r="K1440" s="11">
        <f t="shared" si="88"/>
        <v>28500</v>
      </c>
      <c r="L1440" s="11">
        <f t="shared" si="89"/>
        <v>16944</v>
      </c>
      <c r="M1440" s="11">
        <f t="shared" si="90"/>
        <v>60456</v>
      </c>
      <c r="N1440" s="10">
        <f t="shared" si="91"/>
        <v>0.57087818696883852</v>
      </c>
    </row>
    <row r="1441" spans="1:14" x14ac:dyDescent="0.3">
      <c r="A1441" s="9" t="s">
        <v>1572</v>
      </c>
      <c r="B1441" s="9" t="s">
        <v>1560</v>
      </c>
      <c r="C1441" s="9" t="s">
        <v>38</v>
      </c>
      <c r="D1441" s="9" t="s">
        <v>25</v>
      </c>
      <c r="E1441" s="9">
        <v>1</v>
      </c>
      <c r="F1441" s="11">
        <v>33600</v>
      </c>
      <c r="G1441" s="9" t="str">
        <f>INDEX(Products!$B$2:$B$9,MATCH(D1441,Products!$A$2:$A$9,0))</f>
        <v>Trà hoa đậu biếc</v>
      </c>
      <c r="H1441" s="9" t="str">
        <f>INDEX(Products!$C$2:$C$9,MATCH(D1441,Products!$A$2:$A$9,0))</f>
        <v>An thần</v>
      </c>
      <c r="I1441" s="11">
        <f>INDEX(Products!$D$2:$D$9,MATCH(D1441,Products!$A$2:$A$9,0))</f>
        <v>8800</v>
      </c>
      <c r="J1441" s="10">
        <f>IFERROR(INDEX(PlatformFees!$C$2:$C$5,MATCH(C1441,PlatformFees!$A$2:$A$5,0)),0)</f>
        <v>0.16</v>
      </c>
      <c r="K1441" s="11">
        <f t="shared" si="88"/>
        <v>8800</v>
      </c>
      <c r="L1441" s="11">
        <f t="shared" si="89"/>
        <v>5376</v>
      </c>
      <c r="M1441" s="11">
        <f t="shared" si="90"/>
        <v>19424</v>
      </c>
      <c r="N1441" s="10">
        <f t="shared" si="91"/>
        <v>0.57809523809523811</v>
      </c>
    </row>
    <row r="1442" spans="1:14" x14ac:dyDescent="0.3">
      <c r="A1442" s="9" t="s">
        <v>1573</v>
      </c>
      <c r="B1442" s="9" t="s">
        <v>1560</v>
      </c>
      <c r="C1442" s="9" t="s">
        <v>40</v>
      </c>
      <c r="D1442" s="9" t="s">
        <v>22</v>
      </c>
      <c r="E1442" s="9">
        <v>1</v>
      </c>
      <c r="F1442" s="11">
        <v>36900</v>
      </c>
      <c r="G1442" s="9" t="str">
        <f>INDEX(Products!$B$2:$B$9,MATCH(D1442,Products!$A$2:$A$9,0))</f>
        <v>Trà hoa cúc an thần</v>
      </c>
      <c r="H1442" s="9" t="str">
        <f>INDEX(Products!$C$2:$C$9,MATCH(D1442,Products!$A$2:$A$9,0))</f>
        <v>An thần</v>
      </c>
      <c r="I1442" s="11">
        <f>INDEX(Products!$D$2:$D$9,MATCH(D1442,Products!$A$2:$A$9,0))</f>
        <v>9500</v>
      </c>
      <c r="J1442" s="10">
        <f>IFERROR(INDEX(PlatformFees!$C$2:$C$5,MATCH(C1442,PlatformFees!$A$2:$A$5,0)),0)</f>
        <v>0</v>
      </c>
      <c r="K1442" s="11">
        <f t="shared" si="88"/>
        <v>9500</v>
      </c>
      <c r="L1442" s="11">
        <f t="shared" si="89"/>
        <v>0</v>
      </c>
      <c r="M1442" s="11">
        <f t="shared" si="90"/>
        <v>27400</v>
      </c>
      <c r="N1442" s="10">
        <f t="shared" si="91"/>
        <v>0.74254742547425479</v>
      </c>
    </row>
    <row r="1443" spans="1:14" x14ac:dyDescent="0.3">
      <c r="A1443" s="9" t="s">
        <v>1574</v>
      </c>
      <c r="B1443" s="9" t="s">
        <v>1560</v>
      </c>
      <c r="C1443" s="9" t="s">
        <v>38</v>
      </c>
      <c r="D1443" s="9" t="s">
        <v>20</v>
      </c>
      <c r="E1443" s="9">
        <v>3</v>
      </c>
      <c r="F1443" s="11">
        <v>157800</v>
      </c>
      <c r="G1443" s="9" t="str">
        <f>INDEX(Products!$B$2:$B$9,MATCH(D1443,Products!$A$2:$A$9,0))</f>
        <v>Trà cà leo gai giảm cân</v>
      </c>
      <c r="H1443" s="9" t="str">
        <f>INDEX(Products!$C$2:$C$9,MATCH(D1443,Products!$A$2:$A$9,0))</f>
        <v>Detox</v>
      </c>
      <c r="I1443" s="11">
        <f>INDEX(Products!$D$2:$D$9,MATCH(D1443,Products!$A$2:$A$9,0))</f>
        <v>15000</v>
      </c>
      <c r="J1443" s="10">
        <f>IFERROR(INDEX(PlatformFees!$C$2:$C$5,MATCH(C1443,PlatformFees!$A$2:$A$5,0)),0)</f>
        <v>0.16</v>
      </c>
      <c r="K1443" s="11">
        <f t="shared" si="88"/>
        <v>45000</v>
      </c>
      <c r="L1443" s="11">
        <f t="shared" si="89"/>
        <v>25248</v>
      </c>
      <c r="M1443" s="11">
        <f t="shared" si="90"/>
        <v>87552</v>
      </c>
      <c r="N1443" s="10">
        <f t="shared" si="91"/>
        <v>0.55482889733840302</v>
      </c>
    </row>
    <row r="1444" spans="1:14" x14ac:dyDescent="0.3">
      <c r="A1444" s="9" t="s">
        <v>1575</v>
      </c>
      <c r="B1444" s="9" t="s">
        <v>1560</v>
      </c>
      <c r="C1444" s="9" t="s">
        <v>36</v>
      </c>
      <c r="D1444" s="9" t="s">
        <v>30</v>
      </c>
      <c r="E1444" s="9">
        <v>1</v>
      </c>
      <c r="F1444" s="11">
        <v>34300</v>
      </c>
      <c r="G1444" s="9" t="str">
        <f>INDEX(Products!$B$2:$B$9,MATCH(D1444,Products!$A$2:$A$9,0))</f>
        <v>Trà mâm xôi vitamin</v>
      </c>
      <c r="H1444" s="9" t="str">
        <f>INDEX(Products!$C$2:$C$9,MATCH(D1444,Products!$A$2:$A$9,0))</f>
        <v>Bổ sung dưỡng chất</v>
      </c>
      <c r="I1444" s="11">
        <f>INDEX(Products!$D$2:$D$9,MATCH(D1444,Products!$A$2:$A$9,0))</f>
        <v>9800</v>
      </c>
      <c r="J1444" s="10">
        <f>IFERROR(INDEX(PlatformFees!$C$2:$C$5,MATCH(C1444,PlatformFees!$A$2:$A$5,0)),0)</f>
        <v>0.13</v>
      </c>
      <c r="K1444" s="11">
        <f t="shared" si="88"/>
        <v>9800</v>
      </c>
      <c r="L1444" s="11">
        <f t="shared" si="89"/>
        <v>4459</v>
      </c>
      <c r="M1444" s="11">
        <f t="shared" si="90"/>
        <v>20041</v>
      </c>
      <c r="N1444" s="10">
        <f t="shared" si="91"/>
        <v>0.5842857142857143</v>
      </c>
    </row>
    <row r="1445" spans="1:14" x14ac:dyDescent="0.3">
      <c r="A1445" s="9" t="s">
        <v>1576</v>
      </c>
      <c r="B1445" s="9" t="s">
        <v>1560</v>
      </c>
      <c r="C1445" s="9" t="s">
        <v>36</v>
      </c>
      <c r="D1445" s="9" t="s">
        <v>30</v>
      </c>
      <c r="E1445" s="9">
        <v>3</v>
      </c>
      <c r="F1445" s="11">
        <v>103000</v>
      </c>
      <c r="G1445" s="9" t="str">
        <f>INDEX(Products!$B$2:$B$9,MATCH(D1445,Products!$A$2:$A$9,0))</f>
        <v>Trà mâm xôi vitamin</v>
      </c>
      <c r="H1445" s="9" t="str">
        <f>INDEX(Products!$C$2:$C$9,MATCH(D1445,Products!$A$2:$A$9,0))</f>
        <v>Bổ sung dưỡng chất</v>
      </c>
      <c r="I1445" s="11">
        <f>INDEX(Products!$D$2:$D$9,MATCH(D1445,Products!$A$2:$A$9,0))</f>
        <v>9800</v>
      </c>
      <c r="J1445" s="10">
        <f>IFERROR(INDEX(PlatformFees!$C$2:$C$5,MATCH(C1445,PlatformFees!$A$2:$A$5,0)),0)</f>
        <v>0.13</v>
      </c>
      <c r="K1445" s="11">
        <f t="shared" si="88"/>
        <v>29400</v>
      </c>
      <c r="L1445" s="11">
        <f t="shared" si="89"/>
        <v>13390</v>
      </c>
      <c r="M1445" s="11">
        <f t="shared" si="90"/>
        <v>60210</v>
      </c>
      <c r="N1445" s="10">
        <f t="shared" si="91"/>
        <v>0.58456310679611645</v>
      </c>
    </row>
    <row r="1446" spans="1:14" x14ac:dyDescent="0.3">
      <c r="A1446" s="9" t="s">
        <v>1577</v>
      </c>
      <c r="B1446" s="9" t="s">
        <v>1578</v>
      </c>
      <c r="C1446" s="9" t="s">
        <v>38</v>
      </c>
      <c r="D1446" s="9" t="s">
        <v>12</v>
      </c>
      <c r="E1446" s="9">
        <v>2</v>
      </c>
      <c r="F1446" s="11">
        <v>68900</v>
      </c>
      <c r="G1446" s="9" t="str">
        <f>INDEX(Products!$B$2:$B$9,MATCH(D1446,Products!$A$2:$A$9,0))</f>
        <v>Trà atiso thanh lọc</v>
      </c>
      <c r="H1446" s="9" t="str">
        <f>INDEX(Products!$C$2:$C$9,MATCH(D1446,Products!$A$2:$A$9,0))</f>
        <v>Thanh lọc</v>
      </c>
      <c r="I1446" s="11">
        <f>INDEX(Products!$D$2:$D$9,MATCH(D1446,Products!$A$2:$A$9,0))</f>
        <v>9000</v>
      </c>
      <c r="J1446" s="10">
        <f>IFERROR(INDEX(PlatformFees!$C$2:$C$5,MATCH(C1446,PlatformFees!$A$2:$A$5,0)),0)</f>
        <v>0.16</v>
      </c>
      <c r="K1446" s="11">
        <f t="shared" si="88"/>
        <v>18000</v>
      </c>
      <c r="L1446" s="11">
        <f t="shared" si="89"/>
        <v>11024</v>
      </c>
      <c r="M1446" s="11">
        <f t="shared" si="90"/>
        <v>39876</v>
      </c>
      <c r="N1446" s="10">
        <f t="shared" si="91"/>
        <v>0.5787518142235123</v>
      </c>
    </row>
    <row r="1447" spans="1:14" x14ac:dyDescent="0.3">
      <c r="A1447" s="9" t="s">
        <v>1579</v>
      </c>
      <c r="B1447" s="9" t="s">
        <v>1578</v>
      </c>
      <c r="C1447" s="9" t="s">
        <v>38</v>
      </c>
      <c r="D1447" s="9" t="s">
        <v>22</v>
      </c>
      <c r="E1447" s="9">
        <v>1</v>
      </c>
      <c r="F1447" s="11">
        <v>38300</v>
      </c>
      <c r="G1447" s="9" t="str">
        <f>INDEX(Products!$B$2:$B$9,MATCH(D1447,Products!$A$2:$A$9,0))</f>
        <v>Trà hoa cúc an thần</v>
      </c>
      <c r="H1447" s="9" t="str">
        <f>INDEX(Products!$C$2:$C$9,MATCH(D1447,Products!$A$2:$A$9,0))</f>
        <v>An thần</v>
      </c>
      <c r="I1447" s="11">
        <f>INDEX(Products!$D$2:$D$9,MATCH(D1447,Products!$A$2:$A$9,0))</f>
        <v>9500</v>
      </c>
      <c r="J1447" s="10">
        <f>IFERROR(INDEX(PlatformFees!$C$2:$C$5,MATCH(C1447,PlatformFees!$A$2:$A$5,0)),0)</f>
        <v>0.16</v>
      </c>
      <c r="K1447" s="11">
        <f t="shared" si="88"/>
        <v>9500</v>
      </c>
      <c r="L1447" s="11">
        <f t="shared" si="89"/>
        <v>6128</v>
      </c>
      <c r="M1447" s="11">
        <f t="shared" si="90"/>
        <v>22672</v>
      </c>
      <c r="N1447" s="10">
        <f t="shared" si="91"/>
        <v>0.59195822454308089</v>
      </c>
    </row>
    <row r="1448" spans="1:14" x14ac:dyDescent="0.3">
      <c r="A1448" s="9" t="s">
        <v>1580</v>
      </c>
      <c r="B1448" s="9" t="s">
        <v>1578</v>
      </c>
      <c r="C1448" s="9" t="s">
        <v>38</v>
      </c>
      <c r="D1448" s="9" t="s">
        <v>17</v>
      </c>
      <c r="E1448" s="9">
        <v>1</v>
      </c>
      <c r="F1448" s="11">
        <v>39200</v>
      </c>
      <c r="G1448" s="9" t="str">
        <f>INDEX(Products!$B$2:$B$9,MATCH(D1448,Products!$A$2:$A$9,0))</f>
        <v>Trà diếp cá rau má</v>
      </c>
      <c r="H1448" s="9" t="str">
        <f>INDEX(Products!$C$2:$C$9,MATCH(D1448,Products!$A$2:$A$9,0))</f>
        <v>Detox</v>
      </c>
      <c r="I1448" s="11">
        <f>INDEX(Products!$D$2:$D$9,MATCH(D1448,Products!$A$2:$A$9,0))</f>
        <v>10500</v>
      </c>
      <c r="J1448" s="10">
        <f>IFERROR(INDEX(PlatformFees!$C$2:$C$5,MATCH(C1448,PlatformFees!$A$2:$A$5,0)),0)</f>
        <v>0.16</v>
      </c>
      <c r="K1448" s="11">
        <f t="shared" si="88"/>
        <v>10500</v>
      </c>
      <c r="L1448" s="11">
        <f t="shared" si="89"/>
        <v>6272</v>
      </c>
      <c r="M1448" s="11">
        <f t="shared" si="90"/>
        <v>22428</v>
      </c>
      <c r="N1448" s="10">
        <f t="shared" si="91"/>
        <v>0.57214285714285718</v>
      </c>
    </row>
    <row r="1449" spans="1:14" x14ac:dyDescent="0.3">
      <c r="A1449" s="9" t="s">
        <v>1581</v>
      </c>
      <c r="B1449" s="9" t="s">
        <v>1578</v>
      </c>
      <c r="C1449" s="9" t="s">
        <v>36</v>
      </c>
      <c r="D1449" s="9" t="s">
        <v>25</v>
      </c>
      <c r="E1449" s="9">
        <v>1</v>
      </c>
      <c r="F1449" s="11">
        <v>31800</v>
      </c>
      <c r="G1449" s="9" t="str">
        <f>INDEX(Products!$B$2:$B$9,MATCH(D1449,Products!$A$2:$A$9,0))</f>
        <v>Trà hoa đậu biếc</v>
      </c>
      <c r="H1449" s="9" t="str">
        <f>INDEX(Products!$C$2:$C$9,MATCH(D1449,Products!$A$2:$A$9,0))</f>
        <v>An thần</v>
      </c>
      <c r="I1449" s="11">
        <f>INDEX(Products!$D$2:$D$9,MATCH(D1449,Products!$A$2:$A$9,0))</f>
        <v>8800</v>
      </c>
      <c r="J1449" s="10">
        <f>IFERROR(INDEX(PlatformFees!$C$2:$C$5,MATCH(C1449,PlatformFees!$A$2:$A$5,0)),0)</f>
        <v>0.13</v>
      </c>
      <c r="K1449" s="11">
        <f t="shared" si="88"/>
        <v>8800</v>
      </c>
      <c r="L1449" s="11">
        <f t="shared" si="89"/>
        <v>4134</v>
      </c>
      <c r="M1449" s="11">
        <f t="shared" si="90"/>
        <v>18866</v>
      </c>
      <c r="N1449" s="10">
        <f t="shared" si="91"/>
        <v>0.59327044025157227</v>
      </c>
    </row>
    <row r="1450" spans="1:14" x14ac:dyDescent="0.3">
      <c r="A1450" s="9" t="s">
        <v>1582</v>
      </c>
      <c r="B1450" s="9" t="s">
        <v>1578</v>
      </c>
      <c r="C1450" s="9" t="s">
        <v>36</v>
      </c>
      <c r="D1450" s="9" t="s">
        <v>27</v>
      </c>
      <c r="E1450" s="9">
        <v>1</v>
      </c>
      <c r="F1450" s="11">
        <v>40100</v>
      </c>
      <c r="G1450" s="9" t="str">
        <f>INDEX(Products!$B$2:$B$9,MATCH(D1450,Products!$A$2:$A$9,0))</f>
        <v>Trà gừng mật ong</v>
      </c>
      <c r="H1450" s="9" t="str">
        <f>INDEX(Products!$C$2:$C$9,MATCH(D1450,Products!$A$2:$A$9,0))</f>
        <v>Giữ ấm</v>
      </c>
      <c r="I1450" s="11">
        <f>INDEX(Products!$D$2:$D$9,MATCH(D1450,Products!$A$2:$A$9,0))</f>
        <v>11000</v>
      </c>
      <c r="J1450" s="10">
        <f>IFERROR(INDEX(PlatformFees!$C$2:$C$5,MATCH(C1450,PlatformFees!$A$2:$A$5,0)),0)</f>
        <v>0.13</v>
      </c>
      <c r="K1450" s="11">
        <f t="shared" si="88"/>
        <v>11000</v>
      </c>
      <c r="L1450" s="11">
        <f t="shared" si="89"/>
        <v>5213</v>
      </c>
      <c r="M1450" s="11">
        <f t="shared" si="90"/>
        <v>23887</v>
      </c>
      <c r="N1450" s="10">
        <f t="shared" si="91"/>
        <v>0.59568578553615958</v>
      </c>
    </row>
    <row r="1451" spans="1:14" x14ac:dyDescent="0.3">
      <c r="A1451" s="9" t="s">
        <v>1583</v>
      </c>
      <c r="B1451" s="9" t="s">
        <v>1578</v>
      </c>
      <c r="C1451" s="9" t="s">
        <v>38</v>
      </c>
      <c r="D1451" s="9" t="s">
        <v>30</v>
      </c>
      <c r="E1451" s="9">
        <v>3</v>
      </c>
      <c r="F1451" s="11">
        <v>101200</v>
      </c>
      <c r="G1451" s="9" t="str">
        <f>INDEX(Products!$B$2:$B$9,MATCH(D1451,Products!$A$2:$A$9,0))</f>
        <v>Trà mâm xôi vitamin</v>
      </c>
      <c r="H1451" s="9" t="str">
        <f>INDEX(Products!$C$2:$C$9,MATCH(D1451,Products!$A$2:$A$9,0))</f>
        <v>Bổ sung dưỡng chất</v>
      </c>
      <c r="I1451" s="11">
        <f>INDEX(Products!$D$2:$D$9,MATCH(D1451,Products!$A$2:$A$9,0))</f>
        <v>9800</v>
      </c>
      <c r="J1451" s="10">
        <f>IFERROR(INDEX(PlatformFees!$C$2:$C$5,MATCH(C1451,PlatformFees!$A$2:$A$5,0)),0)</f>
        <v>0.16</v>
      </c>
      <c r="K1451" s="11">
        <f t="shared" si="88"/>
        <v>29400</v>
      </c>
      <c r="L1451" s="11">
        <f t="shared" si="89"/>
        <v>16192</v>
      </c>
      <c r="M1451" s="11">
        <f t="shared" si="90"/>
        <v>55608</v>
      </c>
      <c r="N1451" s="10">
        <f t="shared" si="91"/>
        <v>0.54948616600790512</v>
      </c>
    </row>
    <row r="1452" spans="1:14" x14ac:dyDescent="0.3">
      <c r="A1452" s="9" t="s">
        <v>1584</v>
      </c>
      <c r="B1452" s="9" t="s">
        <v>1578</v>
      </c>
      <c r="C1452" s="9" t="s">
        <v>36</v>
      </c>
      <c r="D1452" s="9" t="s">
        <v>27</v>
      </c>
      <c r="E1452" s="9">
        <v>1</v>
      </c>
      <c r="F1452" s="11">
        <v>40200</v>
      </c>
      <c r="G1452" s="9" t="str">
        <f>INDEX(Products!$B$2:$B$9,MATCH(D1452,Products!$A$2:$A$9,0))</f>
        <v>Trà gừng mật ong</v>
      </c>
      <c r="H1452" s="9" t="str">
        <f>INDEX(Products!$C$2:$C$9,MATCH(D1452,Products!$A$2:$A$9,0))</f>
        <v>Giữ ấm</v>
      </c>
      <c r="I1452" s="11">
        <f>INDEX(Products!$D$2:$D$9,MATCH(D1452,Products!$A$2:$A$9,0))</f>
        <v>11000</v>
      </c>
      <c r="J1452" s="10">
        <f>IFERROR(INDEX(PlatformFees!$C$2:$C$5,MATCH(C1452,PlatformFees!$A$2:$A$5,0)),0)</f>
        <v>0.13</v>
      </c>
      <c r="K1452" s="11">
        <f t="shared" si="88"/>
        <v>11000</v>
      </c>
      <c r="L1452" s="11">
        <f t="shared" si="89"/>
        <v>5226</v>
      </c>
      <c r="M1452" s="11">
        <f t="shared" si="90"/>
        <v>23974</v>
      </c>
      <c r="N1452" s="10">
        <f t="shared" si="91"/>
        <v>0.59636815920398012</v>
      </c>
    </row>
    <row r="1453" spans="1:14" x14ac:dyDescent="0.3">
      <c r="A1453" s="9" t="s">
        <v>1585</v>
      </c>
      <c r="B1453" s="9" t="s">
        <v>1578</v>
      </c>
      <c r="C1453" s="9" t="s">
        <v>36</v>
      </c>
      <c r="D1453" s="9" t="s">
        <v>15</v>
      </c>
      <c r="E1453" s="9">
        <v>2</v>
      </c>
      <c r="F1453" s="11">
        <v>64900</v>
      </c>
      <c r="G1453" s="9" t="str">
        <f>INDEX(Products!$B$2:$B$9,MATCH(D1453,Products!$A$2:$A$9,0))</f>
        <v>Trà lá nam sen ổi</v>
      </c>
      <c r="H1453" s="9" t="str">
        <f>INDEX(Products!$C$2:$C$9,MATCH(D1453,Products!$A$2:$A$9,0))</f>
        <v>Thanh lọc</v>
      </c>
      <c r="I1453" s="11">
        <f>INDEX(Products!$D$2:$D$9,MATCH(D1453,Products!$A$2:$A$9,0))</f>
        <v>8500</v>
      </c>
      <c r="J1453" s="10">
        <f>IFERROR(INDEX(PlatformFees!$C$2:$C$5,MATCH(C1453,PlatformFees!$A$2:$A$5,0)),0)</f>
        <v>0.13</v>
      </c>
      <c r="K1453" s="11">
        <f t="shared" si="88"/>
        <v>17000</v>
      </c>
      <c r="L1453" s="11">
        <f t="shared" si="89"/>
        <v>8437</v>
      </c>
      <c r="M1453" s="11">
        <f t="shared" si="90"/>
        <v>39463</v>
      </c>
      <c r="N1453" s="10">
        <f t="shared" si="91"/>
        <v>0.6080585516178737</v>
      </c>
    </row>
    <row r="1454" spans="1:14" x14ac:dyDescent="0.3">
      <c r="A1454" s="9" t="s">
        <v>1586</v>
      </c>
      <c r="B1454" s="9" t="s">
        <v>1578</v>
      </c>
      <c r="C1454" s="9" t="s">
        <v>36</v>
      </c>
      <c r="D1454" s="9" t="s">
        <v>12</v>
      </c>
      <c r="E1454" s="9">
        <v>1</v>
      </c>
      <c r="F1454" s="11">
        <v>34500</v>
      </c>
      <c r="G1454" s="9" t="str">
        <f>INDEX(Products!$B$2:$B$9,MATCH(D1454,Products!$A$2:$A$9,0))</f>
        <v>Trà atiso thanh lọc</v>
      </c>
      <c r="H1454" s="9" t="str">
        <f>INDEX(Products!$C$2:$C$9,MATCH(D1454,Products!$A$2:$A$9,0))</f>
        <v>Thanh lọc</v>
      </c>
      <c r="I1454" s="11">
        <f>INDEX(Products!$D$2:$D$9,MATCH(D1454,Products!$A$2:$A$9,0))</f>
        <v>9000</v>
      </c>
      <c r="J1454" s="10">
        <f>IFERROR(INDEX(PlatformFees!$C$2:$C$5,MATCH(C1454,PlatformFees!$A$2:$A$5,0)),0)</f>
        <v>0.13</v>
      </c>
      <c r="K1454" s="11">
        <f t="shared" si="88"/>
        <v>9000</v>
      </c>
      <c r="L1454" s="11">
        <f t="shared" si="89"/>
        <v>4485</v>
      </c>
      <c r="M1454" s="11">
        <f t="shared" si="90"/>
        <v>21015</v>
      </c>
      <c r="N1454" s="10">
        <f t="shared" si="91"/>
        <v>0.60913043478260864</v>
      </c>
    </row>
    <row r="1455" spans="1:14" x14ac:dyDescent="0.3">
      <c r="A1455" s="9" t="s">
        <v>1587</v>
      </c>
      <c r="B1455" s="9" t="s">
        <v>1578</v>
      </c>
      <c r="C1455" s="9" t="s">
        <v>39</v>
      </c>
      <c r="D1455" s="9" t="s">
        <v>27</v>
      </c>
      <c r="E1455" s="9">
        <v>2</v>
      </c>
      <c r="F1455" s="11">
        <v>80400</v>
      </c>
      <c r="G1455" s="9" t="str">
        <f>INDEX(Products!$B$2:$B$9,MATCH(D1455,Products!$A$2:$A$9,0))</f>
        <v>Trà gừng mật ong</v>
      </c>
      <c r="H1455" s="9" t="str">
        <f>INDEX(Products!$C$2:$C$9,MATCH(D1455,Products!$A$2:$A$9,0))</f>
        <v>Giữ ấm</v>
      </c>
      <c r="I1455" s="11">
        <f>INDEX(Products!$D$2:$D$9,MATCH(D1455,Products!$A$2:$A$9,0))</f>
        <v>11000</v>
      </c>
      <c r="J1455" s="10">
        <f>IFERROR(INDEX(PlatformFees!$C$2:$C$5,MATCH(C1455,PlatformFees!$A$2:$A$5,0)),0)</f>
        <v>0</v>
      </c>
      <c r="K1455" s="11">
        <f t="shared" si="88"/>
        <v>22000</v>
      </c>
      <c r="L1455" s="11">
        <f t="shared" si="89"/>
        <v>0</v>
      </c>
      <c r="M1455" s="11">
        <f t="shared" si="90"/>
        <v>58400</v>
      </c>
      <c r="N1455" s="10">
        <f t="shared" si="91"/>
        <v>0.72636815920398012</v>
      </c>
    </row>
    <row r="1456" spans="1:14" x14ac:dyDescent="0.3">
      <c r="A1456" s="9" t="s">
        <v>1588</v>
      </c>
      <c r="B1456" s="9" t="s">
        <v>1578</v>
      </c>
      <c r="C1456" s="9" t="s">
        <v>36</v>
      </c>
      <c r="D1456" s="9" t="s">
        <v>20</v>
      </c>
      <c r="E1456" s="9">
        <v>3</v>
      </c>
      <c r="F1456" s="11">
        <v>154800</v>
      </c>
      <c r="G1456" s="9" t="str">
        <f>INDEX(Products!$B$2:$B$9,MATCH(D1456,Products!$A$2:$A$9,0))</f>
        <v>Trà cà leo gai giảm cân</v>
      </c>
      <c r="H1456" s="9" t="str">
        <f>INDEX(Products!$C$2:$C$9,MATCH(D1456,Products!$A$2:$A$9,0))</f>
        <v>Detox</v>
      </c>
      <c r="I1456" s="11">
        <f>INDEX(Products!$D$2:$D$9,MATCH(D1456,Products!$A$2:$A$9,0))</f>
        <v>15000</v>
      </c>
      <c r="J1456" s="10">
        <f>IFERROR(INDEX(PlatformFees!$C$2:$C$5,MATCH(C1456,PlatformFees!$A$2:$A$5,0)),0)</f>
        <v>0.13</v>
      </c>
      <c r="K1456" s="11">
        <f t="shared" si="88"/>
        <v>45000</v>
      </c>
      <c r="L1456" s="11">
        <f t="shared" si="89"/>
        <v>20124</v>
      </c>
      <c r="M1456" s="11">
        <f t="shared" si="90"/>
        <v>89676</v>
      </c>
      <c r="N1456" s="10">
        <f t="shared" si="91"/>
        <v>0.57930232558139538</v>
      </c>
    </row>
    <row r="1457" spans="1:14" x14ac:dyDescent="0.3">
      <c r="A1457" s="9" t="s">
        <v>1589</v>
      </c>
      <c r="B1457" s="9" t="s">
        <v>1578</v>
      </c>
      <c r="C1457" s="9" t="s">
        <v>38</v>
      </c>
      <c r="D1457" s="9" t="s">
        <v>27</v>
      </c>
      <c r="E1457" s="9">
        <v>1</v>
      </c>
      <c r="F1457" s="11">
        <v>39600</v>
      </c>
      <c r="G1457" s="9" t="str">
        <f>INDEX(Products!$B$2:$B$9,MATCH(D1457,Products!$A$2:$A$9,0))</f>
        <v>Trà gừng mật ong</v>
      </c>
      <c r="H1457" s="9" t="str">
        <f>INDEX(Products!$C$2:$C$9,MATCH(D1457,Products!$A$2:$A$9,0))</f>
        <v>Giữ ấm</v>
      </c>
      <c r="I1457" s="11">
        <f>INDEX(Products!$D$2:$D$9,MATCH(D1457,Products!$A$2:$A$9,0))</f>
        <v>11000</v>
      </c>
      <c r="J1457" s="10">
        <f>IFERROR(INDEX(PlatformFees!$C$2:$C$5,MATCH(C1457,PlatformFees!$A$2:$A$5,0)),0)</f>
        <v>0.16</v>
      </c>
      <c r="K1457" s="11">
        <f t="shared" si="88"/>
        <v>11000</v>
      </c>
      <c r="L1457" s="11">
        <f t="shared" si="89"/>
        <v>6336</v>
      </c>
      <c r="M1457" s="11">
        <f t="shared" si="90"/>
        <v>22264</v>
      </c>
      <c r="N1457" s="10">
        <f t="shared" si="91"/>
        <v>0.56222222222222218</v>
      </c>
    </row>
    <row r="1458" spans="1:14" x14ac:dyDescent="0.3">
      <c r="A1458" s="9" t="s">
        <v>1590</v>
      </c>
      <c r="B1458" s="9" t="s">
        <v>1578</v>
      </c>
      <c r="C1458" s="9" t="s">
        <v>39</v>
      </c>
      <c r="D1458" s="9" t="s">
        <v>12</v>
      </c>
      <c r="E1458" s="9">
        <v>1</v>
      </c>
      <c r="F1458" s="11">
        <v>34000</v>
      </c>
      <c r="G1458" s="9" t="str">
        <f>INDEX(Products!$B$2:$B$9,MATCH(D1458,Products!$A$2:$A$9,0))</f>
        <v>Trà atiso thanh lọc</v>
      </c>
      <c r="H1458" s="9" t="str">
        <f>INDEX(Products!$C$2:$C$9,MATCH(D1458,Products!$A$2:$A$9,0))</f>
        <v>Thanh lọc</v>
      </c>
      <c r="I1458" s="11">
        <f>INDEX(Products!$D$2:$D$9,MATCH(D1458,Products!$A$2:$A$9,0))</f>
        <v>9000</v>
      </c>
      <c r="J1458" s="10">
        <f>IFERROR(INDEX(PlatformFees!$C$2:$C$5,MATCH(C1458,PlatformFees!$A$2:$A$5,0)),0)</f>
        <v>0</v>
      </c>
      <c r="K1458" s="11">
        <f t="shared" si="88"/>
        <v>9000</v>
      </c>
      <c r="L1458" s="11">
        <f t="shared" si="89"/>
        <v>0</v>
      </c>
      <c r="M1458" s="11">
        <f t="shared" si="90"/>
        <v>25000</v>
      </c>
      <c r="N1458" s="10">
        <f t="shared" si="91"/>
        <v>0.73529411764705888</v>
      </c>
    </row>
    <row r="1459" spans="1:14" x14ac:dyDescent="0.3">
      <c r="A1459" s="9" t="s">
        <v>1591</v>
      </c>
      <c r="B1459" s="9" t="s">
        <v>1578</v>
      </c>
      <c r="C1459" s="9" t="s">
        <v>38</v>
      </c>
      <c r="D1459" s="9" t="s">
        <v>20</v>
      </c>
      <c r="E1459" s="9">
        <v>2</v>
      </c>
      <c r="F1459" s="11">
        <v>104000</v>
      </c>
      <c r="G1459" s="9" t="str">
        <f>INDEX(Products!$B$2:$B$9,MATCH(D1459,Products!$A$2:$A$9,0))</f>
        <v>Trà cà leo gai giảm cân</v>
      </c>
      <c r="H1459" s="9" t="str">
        <f>INDEX(Products!$C$2:$C$9,MATCH(D1459,Products!$A$2:$A$9,0))</f>
        <v>Detox</v>
      </c>
      <c r="I1459" s="11">
        <f>INDEX(Products!$D$2:$D$9,MATCH(D1459,Products!$A$2:$A$9,0))</f>
        <v>15000</v>
      </c>
      <c r="J1459" s="10">
        <f>IFERROR(INDEX(PlatformFees!$C$2:$C$5,MATCH(C1459,PlatformFees!$A$2:$A$5,0)),0)</f>
        <v>0.16</v>
      </c>
      <c r="K1459" s="11">
        <f t="shared" si="88"/>
        <v>30000</v>
      </c>
      <c r="L1459" s="11">
        <f t="shared" si="89"/>
        <v>16640</v>
      </c>
      <c r="M1459" s="11">
        <f t="shared" si="90"/>
        <v>57360</v>
      </c>
      <c r="N1459" s="10">
        <f t="shared" si="91"/>
        <v>0.55153846153846153</v>
      </c>
    </row>
    <row r="1460" spans="1:14" x14ac:dyDescent="0.3">
      <c r="A1460" s="9" t="s">
        <v>1592</v>
      </c>
      <c r="B1460" s="9" t="s">
        <v>1578</v>
      </c>
      <c r="C1460" s="9" t="s">
        <v>38</v>
      </c>
      <c r="D1460" s="9" t="s">
        <v>17</v>
      </c>
      <c r="E1460" s="9">
        <v>1</v>
      </c>
      <c r="F1460" s="11">
        <v>39300</v>
      </c>
      <c r="G1460" s="9" t="str">
        <f>INDEX(Products!$B$2:$B$9,MATCH(D1460,Products!$A$2:$A$9,0))</f>
        <v>Trà diếp cá rau má</v>
      </c>
      <c r="H1460" s="9" t="str">
        <f>INDEX(Products!$C$2:$C$9,MATCH(D1460,Products!$A$2:$A$9,0))</f>
        <v>Detox</v>
      </c>
      <c r="I1460" s="11">
        <f>INDEX(Products!$D$2:$D$9,MATCH(D1460,Products!$A$2:$A$9,0))</f>
        <v>10500</v>
      </c>
      <c r="J1460" s="10">
        <f>IFERROR(INDEX(PlatformFees!$C$2:$C$5,MATCH(C1460,PlatformFees!$A$2:$A$5,0)),0)</f>
        <v>0.16</v>
      </c>
      <c r="K1460" s="11">
        <f t="shared" si="88"/>
        <v>10500</v>
      </c>
      <c r="L1460" s="11">
        <f t="shared" si="89"/>
        <v>6288</v>
      </c>
      <c r="M1460" s="11">
        <f t="shared" si="90"/>
        <v>22512</v>
      </c>
      <c r="N1460" s="10">
        <f t="shared" si="91"/>
        <v>0.572824427480916</v>
      </c>
    </row>
    <row r="1461" spans="1:14" x14ac:dyDescent="0.3">
      <c r="A1461" s="9" t="s">
        <v>1593</v>
      </c>
      <c r="B1461" s="9" t="s">
        <v>1578</v>
      </c>
      <c r="C1461" s="9" t="s">
        <v>39</v>
      </c>
      <c r="D1461" s="9" t="s">
        <v>12</v>
      </c>
      <c r="E1461" s="9">
        <v>2</v>
      </c>
      <c r="F1461" s="11">
        <v>67300</v>
      </c>
      <c r="G1461" s="9" t="str">
        <f>INDEX(Products!$B$2:$B$9,MATCH(D1461,Products!$A$2:$A$9,0))</f>
        <v>Trà atiso thanh lọc</v>
      </c>
      <c r="H1461" s="9" t="str">
        <f>INDEX(Products!$C$2:$C$9,MATCH(D1461,Products!$A$2:$A$9,0))</f>
        <v>Thanh lọc</v>
      </c>
      <c r="I1461" s="11">
        <f>INDEX(Products!$D$2:$D$9,MATCH(D1461,Products!$A$2:$A$9,0))</f>
        <v>9000</v>
      </c>
      <c r="J1461" s="10">
        <f>IFERROR(INDEX(PlatformFees!$C$2:$C$5,MATCH(C1461,PlatformFees!$A$2:$A$5,0)),0)</f>
        <v>0</v>
      </c>
      <c r="K1461" s="11">
        <f t="shared" si="88"/>
        <v>18000</v>
      </c>
      <c r="L1461" s="11">
        <f t="shared" si="89"/>
        <v>0</v>
      </c>
      <c r="M1461" s="11">
        <f t="shared" si="90"/>
        <v>49300</v>
      </c>
      <c r="N1461" s="10">
        <f t="shared" si="91"/>
        <v>0.73254086181277855</v>
      </c>
    </row>
    <row r="1462" spans="1:14" x14ac:dyDescent="0.3">
      <c r="A1462" s="9" t="s">
        <v>1594</v>
      </c>
      <c r="B1462" s="9" t="s">
        <v>1578</v>
      </c>
      <c r="C1462" s="9" t="s">
        <v>36</v>
      </c>
      <c r="D1462" s="9" t="s">
        <v>20</v>
      </c>
      <c r="E1462" s="9">
        <v>1</v>
      </c>
      <c r="F1462" s="11">
        <v>51200</v>
      </c>
      <c r="G1462" s="9" t="str">
        <f>INDEX(Products!$B$2:$B$9,MATCH(D1462,Products!$A$2:$A$9,0))</f>
        <v>Trà cà leo gai giảm cân</v>
      </c>
      <c r="H1462" s="9" t="str">
        <f>INDEX(Products!$C$2:$C$9,MATCH(D1462,Products!$A$2:$A$9,0))</f>
        <v>Detox</v>
      </c>
      <c r="I1462" s="11">
        <f>INDEX(Products!$D$2:$D$9,MATCH(D1462,Products!$A$2:$A$9,0))</f>
        <v>15000</v>
      </c>
      <c r="J1462" s="10">
        <f>IFERROR(INDEX(PlatformFees!$C$2:$C$5,MATCH(C1462,PlatformFees!$A$2:$A$5,0)),0)</f>
        <v>0.13</v>
      </c>
      <c r="K1462" s="11">
        <f t="shared" si="88"/>
        <v>15000</v>
      </c>
      <c r="L1462" s="11">
        <f t="shared" si="89"/>
        <v>6656</v>
      </c>
      <c r="M1462" s="11">
        <f t="shared" si="90"/>
        <v>29544</v>
      </c>
      <c r="N1462" s="10">
        <f t="shared" si="91"/>
        <v>0.57703125</v>
      </c>
    </row>
    <row r="1463" spans="1:14" x14ac:dyDescent="0.3">
      <c r="A1463" s="9" t="s">
        <v>1595</v>
      </c>
      <c r="B1463" s="9" t="s">
        <v>1578</v>
      </c>
      <c r="C1463" s="9" t="s">
        <v>38</v>
      </c>
      <c r="D1463" s="9" t="s">
        <v>17</v>
      </c>
      <c r="E1463" s="9">
        <v>2</v>
      </c>
      <c r="F1463" s="11">
        <v>82900</v>
      </c>
      <c r="G1463" s="9" t="str">
        <f>INDEX(Products!$B$2:$B$9,MATCH(D1463,Products!$A$2:$A$9,0))</f>
        <v>Trà diếp cá rau má</v>
      </c>
      <c r="H1463" s="9" t="str">
        <f>INDEX(Products!$C$2:$C$9,MATCH(D1463,Products!$A$2:$A$9,0))</f>
        <v>Detox</v>
      </c>
      <c r="I1463" s="11">
        <f>INDEX(Products!$D$2:$D$9,MATCH(D1463,Products!$A$2:$A$9,0))</f>
        <v>10500</v>
      </c>
      <c r="J1463" s="10">
        <f>IFERROR(INDEX(PlatformFees!$C$2:$C$5,MATCH(C1463,PlatformFees!$A$2:$A$5,0)),0)</f>
        <v>0.16</v>
      </c>
      <c r="K1463" s="11">
        <f t="shared" si="88"/>
        <v>21000</v>
      </c>
      <c r="L1463" s="11">
        <f t="shared" si="89"/>
        <v>13264</v>
      </c>
      <c r="M1463" s="11">
        <f t="shared" si="90"/>
        <v>48636</v>
      </c>
      <c r="N1463" s="10">
        <f t="shared" si="91"/>
        <v>0.58668275030156813</v>
      </c>
    </row>
    <row r="1464" spans="1:14" x14ac:dyDescent="0.3">
      <c r="A1464" s="9" t="s">
        <v>1596</v>
      </c>
      <c r="B1464" s="9" t="s">
        <v>1578</v>
      </c>
      <c r="C1464" s="9" t="s">
        <v>38</v>
      </c>
      <c r="D1464" s="9" t="s">
        <v>17</v>
      </c>
      <c r="E1464" s="9">
        <v>1</v>
      </c>
      <c r="F1464" s="11">
        <v>39900</v>
      </c>
      <c r="G1464" s="9" t="str">
        <f>INDEX(Products!$B$2:$B$9,MATCH(D1464,Products!$A$2:$A$9,0))</f>
        <v>Trà diếp cá rau má</v>
      </c>
      <c r="H1464" s="9" t="str">
        <f>INDEX(Products!$C$2:$C$9,MATCH(D1464,Products!$A$2:$A$9,0))</f>
        <v>Detox</v>
      </c>
      <c r="I1464" s="11">
        <f>INDEX(Products!$D$2:$D$9,MATCH(D1464,Products!$A$2:$A$9,0))</f>
        <v>10500</v>
      </c>
      <c r="J1464" s="10">
        <f>IFERROR(INDEX(PlatformFees!$C$2:$C$5,MATCH(C1464,PlatformFees!$A$2:$A$5,0)),0)</f>
        <v>0.16</v>
      </c>
      <c r="K1464" s="11">
        <f t="shared" si="88"/>
        <v>10500</v>
      </c>
      <c r="L1464" s="11">
        <f t="shared" si="89"/>
        <v>6384</v>
      </c>
      <c r="M1464" s="11">
        <f t="shared" si="90"/>
        <v>23016</v>
      </c>
      <c r="N1464" s="10">
        <f t="shared" si="91"/>
        <v>0.57684210526315793</v>
      </c>
    </row>
    <row r="1465" spans="1:14" x14ac:dyDescent="0.3">
      <c r="A1465" s="9" t="s">
        <v>1597</v>
      </c>
      <c r="B1465" s="9" t="s">
        <v>1578</v>
      </c>
      <c r="C1465" s="9" t="s">
        <v>36</v>
      </c>
      <c r="D1465" s="9" t="s">
        <v>22</v>
      </c>
      <c r="E1465" s="9">
        <v>2</v>
      </c>
      <c r="F1465" s="11">
        <v>73800</v>
      </c>
      <c r="G1465" s="9" t="str">
        <f>INDEX(Products!$B$2:$B$9,MATCH(D1465,Products!$A$2:$A$9,0))</f>
        <v>Trà hoa cúc an thần</v>
      </c>
      <c r="H1465" s="9" t="str">
        <f>INDEX(Products!$C$2:$C$9,MATCH(D1465,Products!$A$2:$A$9,0))</f>
        <v>An thần</v>
      </c>
      <c r="I1465" s="11">
        <f>INDEX(Products!$D$2:$D$9,MATCH(D1465,Products!$A$2:$A$9,0))</f>
        <v>9500</v>
      </c>
      <c r="J1465" s="10">
        <f>IFERROR(INDEX(PlatformFees!$C$2:$C$5,MATCH(C1465,PlatformFees!$A$2:$A$5,0)),0)</f>
        <v>0.13</v>
      </c>
      <c r="K1465" s="11">
        <f t="shared" si="88"/>
        <v>19000</v>
      </c>
      <c r="L1465" s="11">
        <f t="shared" si="89"/>
        <v>9594</v>
      </c>
      <c r="M1465" s="11">
        <f t="shared" si="90"/>
        <v>45206</v>
      </c>
      <c r="N1465" s="10">
        <f t="shared" si="91"/>
        <v>0.61254742547425478</v>
      </c>
    </row>
    <row r="1466" spans="1:14" x14ac:dyDescent="0.3">
      <c r="A1466" s="9" t="s">
        <v>1598</v>
      </c>
      <c r="B1466" s="9" t="s">
        <v>1578</v>
      </c>
      <c r="C1466" s="9" t="s">
        <v>38</v>
      </c>
      <c r="D1466" s="9" t="s">
        <v>17</v>
      </c>
      <c r="E1466" s="9">
        <v>3</v>
      </c>
      <c r="F1466" s="11">
        <v>124100</v>
      </c>
      <c r="G1466" s="9" t="str">
        <f>INDEX(Products!$B$2:$B$9,MATCH(D1466,Products!$A$2:$A$9,0))</f>
        <v>Trà diếp cá rau má</v>
      </c>
      <c r="H1466" s="9" t="str">
        <f>INDEX(Products!$C$2:$C$9,MATCH(D1466,Products!$A$2:$A$9,0))</f>
        <v>Detox</v>
      </c>
      <c r="I1466" s="11">
        <f>INDEX(Products!$D$2:$D$9,MATCH(D1466,Products!$A$2:$A$9,0))</f>
        <v>10500</v>
      </c>
      <c r="J1466" s="10">
        <f>IFERROR(INDEX(PlatformFees!$C$2:$C$5,MATCH(C1466,PlatformFees!$A$2:$A$5,0)),0)</f>
        <v>0.16</v>
      </c>
      <c r="K1466" s="11">
        <f t="shared" si="88"/>
        <v>31500</v>
      </c>
      <c r="L1466" s="11">
        <f t="shared" si="89"/>
        <v>19856</v>
      </c>
      <c r="M1466" s="11">
        <f t="shared" si="90"/>
        <v>72744</v>
      </c>
      <c r="N1466" s="10">
        <f t="shared" si="91"/>
        <v>0.58617244157937143</v>
      </c>
    </row>
    <row r="1467" spans="1:14" x14ac:dyDescent="0.3">
      <c r="A1467" s="9" t="s">
        <v>1599</v>
      </c>
      <c r="B1467" s="9" t="s">
        <v>1578</v>
      </c>
      <c r="C1467" s="9" t="s">
        <v>36</v>
      </c>
      <c r="D1467" s="9" t="s">
        <v>17</v>
      </c>
      <c r="E1467" s="9">
        <v>3</v>
      </c>
      <c r="F1467" s="11">
        <v>129700</v>
      </c>
      <c r="G1467" s="9" t="str">
        <f>INDEX(Products!$B$2:$B$9,MATCH(D1467,Products!$A$2:$A$9,0))</f>
        <v>Trà diếp cá rau má</v>
      </c>
      <c r="H1467" s="9" t="str">
        <f>INDEX(Products!$C$2:$C$9,MATCH(D1467,Products!$A$2:$A$9,0))</f>
        <v>Detox</v>
      </c>
      <c r="I1467" s="11">
        <f>INDEX(Products!$D$2:$D$9,MATCH(D1467,Products!$A$2:$A$9,0))</f>
        <v>10500</v>
      </c>
      <c r="J1467" s="10">
        <f>IFERROR(INDEX(PlatformFees!$C$2:$C$5,MATCH(C1467,PlatformFees!$A$2:$A$5,0)),0)</f>
        <v>0.13</v>
      </c>
      <c r="K1467" s="11">
        <f t="shared" si="88"/>
        <v>31500</v>
      </c>
      <c r="L1467" s="11">
        <f t="shared" si="89"/>
        <v>16861</v>
      </c>
      <c r="M1467" s="11">
        <f t="shared" si="90"/>
        <v>81339</v>
      </c>
      <c r="N1467" s="10">
        <f t="shared" si="91"/>
        <v>0.62713184271395528</v>
      </c>
    </row>
    <row r="1468" spans="1:14" x14ac:dyDescent="0.3">
      <c r="A1468" s="9" t="s">
        <v>1600</v>
      </c>
      <c r="B1468" s="9" t="s">
        <v>1601</v>
      </c>
      <c r="C1468" s="9" t="s">
        <v>38</v>
      </c>
      <c r="D1468" s="9" t="s">
        <v>22</v>
      </c>
      <c r="E1468" s="9">
        <v>1</v>
      </c>
      <c r="F1468" s="11">
        <v>35000</v>
      </c>
      <c r="G1468" s="9" t="str">
        <f>INDEX(Products!$B$2:$B$9,MATCH(D1468,Products!$A$2:$A$9,0))</f>
        <v>Trà hoa cúc an thần</v>
      </c>
      <c r="H1468" s="9" t="str">
        <f>INDEX(Products!$C$2:$C$9,MATCH(D1468,Products!$A$2:$A$9,0))</f>
        <v>An thần</v>
      </c>
      <c r="I1468" s="11">
        <f>INDEX(Products!$D$2:$D$9,MATCH(D1468,Products!$A$2:$A$9,0))</f>
        <v>9500</v>
      </c>
      <c r="J1468" s="10">
        <f>IFERROR(INDEX(PlatformFees!$C$2:$C$5,MATCH(C1468,PlatformFees!$A$2:$A$5,0)),0)</f>
        <v>0.16</v>
      </c>
      <c r="K1468" s="11">
        <f t="shared" si="88"/>
        <v>9500</v>
      </c>
      <c r="L1468" s="11">
        <f t="shared" si="89"/>
        <v>5600</v>
      </c>
      <c r="M1468" s="11">
        <f t="shared" si="90"/>
        <v>19900</v>
      </c>
      <c r="N1468" s="10">
        <f t="shared" si="91"/>
        <v>0.56857142857142862</v>
      </c>
    </row>
    <row r="1469" spans="1:14" x14ac:dyDescent="0.3">
      <c r="A1469" s="9" t="s">
        <v>1602</v>
      </c>
      <c r="B1469" s="9" t="s">
        <v>1601</v>
      </c>
      <c r="C1469" s="9" t="s">
        <v>36</v>
      </c>
      <c r="D1469" s="9" t="s">
        <v>15</v>
      </c>
      <c r="E1469" s="9">
        <v>2</v>
      </c>
      <c r="F1469" s="11">
        <v>61400</v>
      </c>
      <c r="G1469" s="9" t="str">
        <f>INDEX(Products!$B$2:$B$9,MATCH(D1469,Products!$A$2:$A$9,0))</f>
        <v>Trà lá nam sen ổi</v>
      </c>
      <c r="H1469" s="9" t="str">
        <f>INDEX(Products!$C$2:$C$9,MATCH(D1469,Products!$A$2:$A$9,0))</f>
        <v>Thanh lọc</v>
      </c>
      <c r="I1469" s="11">
        <f>INDEX(Products!$D$2:$D$9,MATCH(D1469,Products!$A$2:$A$9,0))</f>
        <v>8500</v>
      </c>
      <c r="J1469" s="10">
        <f>IFERROR(INDEX(PlatformFees!$C$2:$C$5,MATCH(C1469,PlatformFees!$A$2:$A$5,0)),0)</f>
        <v>0.13</v>
      </c>
      <c r="K1469" s="11">
        <f t="shared" si="88"/>
        <v>17000</v>
      </c>
      <c r="L1469" s="11">
        <f t="shared" si="89"/>
        <v>7982</v>
      </c>
      <c r="M1469" s="11">
        <f t="shared" si="90"/>
        <v>36418</v>
      </c>
      <c r="N1469" s="10">
        <f t="shared" si="91"/>
        <v>0.59312703583061888</v>
      </c>
    </row>
    <row r="1470" spans="1:14" x14ac:dyDescent="0.3">
      <c r="A1470" s="9" t="s">
        <v>1603</v>
      </c>
      <c r="B1470" s="9" t="s">
        <v>1601</v>
      </c>
      <c r="C1470" s="9" t="s">
        <v>39</v>
      </c>
      <c r="D1470" s="9" t="s">
        <v>15</v>
      </c>
      <c r="E1470" s="9">
        <v>1</v>
      </c>
      <c r="F1470" s="11">
        <v>29500</v>
      </c>
      <c r="G1470" s="9" t="str">
        <f>INDEX(Products!$B$2:$B$9,MATCH(D1470,Products!$A$2:$A$9,0))</f>
        <v>Trà lá nam sen ổi</v>
      </c>
      <c r="H1470" s="9" t="str">
        <f>INDEX(Products!$C$2:$C$9,MATCH(D1470,Products!$A$2:$A$9,0))</f>
        <v>Thanh lọc</v>
      </c>
      <c r="I1470" s="11">
        <f>INDEX(Products!$D$2:$D$9,MATCH(D1470,Products!$A$2:$A$9,0))</f>
        <v>8500</v>
      </c>
      <c r="J1470" s="10">
        <f>IFERROR(INDEX(PlatformFees!$C$2:$C$5,MATCH(C1470,PlatformFees!$A$2:$A$5,0)),0)</f>
        <v>0</v>
      </c>
      <c r="K1470" s="11">
        <f t="shared" si="88"/>
        <v>8500</v>
      </c>
      <c r="L1470" s="11">
        <f t="shared" si="89"/>
        <v>0</v>
      </c>
      <c r="M1470" s="11">
        <f t="shared" si="90"/>
        <v>21000</v>
      </c>
      <c r="N1470" s="10">
        <f t="shared" si="91"/>
        <v>0.71186440677966101</v>
      </c>
    </row>
    <row r="1471" spans="1:14" x14ac:dyDescent="0.3">
      <c r="A1471" s="9" t="s">
        <v>1604</v>
      </c>
      <c r="B1471" s="9" t="s">
        <v>1601</v>
      </c>
      <c r="C1471" s="9" t="s">
        <v>36</v>
      </c>
      <c r="D1471" s="9" t="s">
        <v>30</v>
      </c>
      <c r="E1471" s="9">
        <v>3</v>
      </c>
      <c r="F1471" s="11">
        <v>110000</v>
      </c>
      <c r="G1471" s="9" t="str">
        <f>INDEX(Products!$B$2:$B$9,MATCH(D1471,Products!$A$2:$A$9,0))</f>
        <v>Trà mâm xôi vitamin</v>
      </c>
      <c r="H1471" s="9" t="str">
        <f>INDEX(Products!$C$2:$C$9,MATCH(D1471,Products!$A$2:$A$9,0))</f>
        <v>Bổ sung dưỡng chất</v>
      </c>
      <c r="I1471" s="11">
        <f>INDEX(Products!$D$2:$D$9,MATCH(D1471,Products!$A$2:$A$9,0))</f>
        <v>9800</v>
      </c>
      <c r="J1471" s="10">
        <f>IFERROR(INDEX(PlatformFees!$C$2:$C$5,MATCH(C1471,PlatformFees!$A$2:$A$5,0)),0)</f>
        <v>0.13</v>
      </c>
      <c r="K1471" s="11">
        <f t="shared" si="88"/>
        <v>29400</v>
      </c>
      <c r="L1471" s="11">
        <f t="shared" si="89"/>
        <v>14300</v>
      </c>
      <c r="M1471" s="11">
        <f t="shared" si="90"/>
        <v>66300</v>
      </c>
      <c r="N1471" s="10">
        <f t="shared" si="91"/>
        <v>0.60272727272727278</v>
      </c>
    </row>
    <row r="1472" spans="1:14" x14ac:dyDescent="0.3">
      <c r="A1472" s="9" t="s">
        <v>1605</v>
      </c>
      <c r="B1472" s="9" t="s">
        <v>1601</v>
      </c>
      <c r="C1472" s="9" t="s">
        <v>36</v>
      </c>
      <c r="D1472" s="9" t="s">
        <v>20</v>
      </c>
      <c r="E1472" s="9">
        <v>1</v>
      </c>
      <c r="F1472" s="11">
        <v>54900</v>
      </c>
      <c r="G1472" s="9" t="str">
        <f>INDEX(Products!$B$2:$B$9,MATCH(D1472,Products!$A$2:$A$9,0))</f>
        <v>Trà cà leo gai giảm cân</v>
      </c>
      <c r="H1472" s="9" t="str">
        <f>INDEX(Products!$C$2:$C$9,MATCH(D1472,Products!$A$2:$A$9,0))</f>
        <v>Detox</v>
      </c>
      <c r="I1472" s="11">
        <f>INDEX(Products!$D$2:$D$9,MATCH(D1472,Products!$A$2:$A$9,0))</f>
        <v>15000</v>
      </c>
      <c r="J1472" s="10">
        <f>IFERROR(INDEX(PlatformFees!$C$2:$C$5,MATCH(C1472,PlatformFees!$A$2:$A$5,0)),0)</f>
        <v>0.13</v>
      </c>
      <c r="K1472" s="11">
        <f t="shared" si="88"/>
        <v>15000</v>
      </c>
      <c r="L1472" s="11">
        <f t="shared" si="89"/>
        <v>7137</v>
      </c>
      <c r="M1472" s="11">
        <f t="shared" si="90"/>
        <v>32763</v>
      </c>
      <c r="N1472" s="10">
        <f t="shared" si="91"/>
        <v>0.59677595628415303</v>
      </c>
    </row>
    <row r="1473" spans="1:14" x14ac:dyDescent="0.3">
      <c r="A1473" s="9" t="s">
        <v>1606</v>
      </c>
      <c r="B1473" s="9" t="s">
        <v>1601</v>
      </c>
      <c r="C1473" s="9" t="s">
        <v>36</v>
      </c>
      <c r="D1473" s="9" t="s">
        <v>27</v>
      </c>
      <c r="E1473" s="9">
        <v>1</v>
      </c>
      <c r="F1473" s="11">
        <v>38500</v>
      </c>
      <c r="G1473" s="9" t="str">
        <f>INDEX(Products!$B$2:$B$9,MATCH(D1473,Products!$A$2:$A$9,0))</f>
        <v>Trà gừng mật ong</v>
      </c>
      <c r="H1473" s="9" t="str">
        <f>INDEX(Products!$C$2:$C$9,MATCH(D1473,Products!$A$2:$A$9,0))</f>
        <v>Giữ ấm</v>
      </c>
      <c r="I1473" s="11">
        <f>INDEX(Products!$D$2:$D$9,MATCH(D1473,Products!$A$2:$A$9,0))</f>
        <v>11000</v>
      </c>
      <c r="J1473" s="10">
        <f>IFERROR(INDEX(PlatformFees!$C$2:$C$5,MATCH(C1473,PlatformFees!$A$2:$A$5,0)),0)</f>
        <v>0.13</v>
      </c>
      <c r="K1473" s="11">
        <f t="shared" si="88"/>
        <v>11000</v>
      </c>
      <c r="L1473" s="11">
        <f t="shared" si="89"/>
        <v>5005</v>
      </c>
      <c r="M1473" s="11">
        <f t="shared" si="90"/>
        <v>22495</v>
      </c>
      <c r="N1473" s="10">
        <f t="shared" si="91"/>
        <v>0.5842857142857143</v>
      </c>
    </row>
    <row r="1474" spans="1:14" x14ac:dyDescent="0.3">
      <c r="A1474" s="9" t="s">
        <v>1607</v>
      </c>
      <c r="B1474" s="9" t="s">
        <v>1601</v>
      </c>
      <c r="C1474" s="9" t="s">
        <v>39</v>
      </c>
      <c r="D1474" s="9" t="s">
        <v>25</v>
      </c>
      <c r="E1474" s="9">
        <v>1</v>
      </c>
      <c r="F1474" s="11">
        <v>34600</v>
      </c>
      <c r="G1474" s="9" t="str">
        <f>INDEX(Products!$B$2:$B$9,MATCH(D1474,Products!$A$2:$A$9,0))</f>
        <v>Trà hoa đậu biếc</v>
      </c>
      <c r="H1474" s="9" t="str">
        <f>INDEX(Products!$C$2:$C$9,MATCH(D1474,Products!$A$2:$A$9,0))</f>
        <v>An thần</v>
      </c>
      <c r="I1474" s="11">
        <f>INDEX(Products!$D$2:$D$9,MATCH(D1474,Products!$A$2:$A$9,0))</f>
        <v>8800</v>
      </c>
      <c r="J1474" s="10">
        <f>IFERROR(INDEX(PlatformFees!$C$2:$C$5,MATCH(C1474,PlatformFees!$A$2:$A$5,0)),0)</f>
        <v>0</v>
      </c>
      <c r="K1474" s="11">
        <f t="shared" ref="K1474:K1537" si="92">E1474*I1474</f>
        <v>8800</v>
      </c>
      <c r="L1474" s="11">
        <f t="shared" ref="L1474:L1537" si="93">F1474*J1474</f>
        <v>0</v>
      </c>
      <c r="M1474" s="11">
        <f t="shared" ref="M1474:M1537" si="94">F1474-L1474-K1474</f>
        <v>25800</v>
      </c>
      <c r="N1474" s="10">
        <f t="shared" ref="N1474:N1537" si="95">IFERROR(M1474/F1474,0)</f>
        <v>0.74566473988439308</v>
      </c>
    </row>
    <row r="1475" spans="1:14" x14ac:dyDescent="0.3">
      <c r="A1475" s="9" t="s">
        <v>1608</v>
      </c>
      <c r="B1475" s="9" t="s">
        <v>1601</v>
      </c>
      <c r="C1475" s="9" t="s">
        <v>38</v>
      </c>
      <c r="D1475" s="9" t="s">
        <v>17</v>
      </c>
      <c r="E1475" s="9">
        <v>2</v>
      </c>
      <c r="F1475" s="11">
        <v>83400</v>
      </c>
      <c r="G1475" s="9" t="str">
        <f>INDEX(Products!$B$2:$B$9,MATCH(D1475,Products!$A$2:$A$9,0))</f>
        <v>Trà diếp cá rau má</v>
      </c>
      <c r="H1475" s="9" t="str">
        <f>INDEX(Products!$C$2:$C$9,MATCH(D1475,Products!$A$2:$A$9,0))</f>
        <v>Detox</v>
      </c>
      <c r="I1475" s="11">
        <f>INDEX(Products!$D$2:$D$9,MATCH(D1475,Products!$A$2:$A$9,0))</f>
        <v>10500</v>
      </c>
      <c r="J1475" s="10">
        <f>IFERROR(INDEX(PlatformFees!$C$2:$C$5,MATCH(C1475,PlatformFees!$A$2:$A$5,0)),0)</f>
        <v>0.16</v>
      </c>
      <c r="K1475" s="11">
        <f t="shared" si="92"/>
        <v>21000</v>
      </c>
      <c r="L1475" s="11">
        <f t="shared" si="93"/>
        <v>13344</v>
      </c>
      <c r="M1475" s="11">
        <f t="shared" si="94"/>
        <v>49056</v>
      </c>
      <c r="N1475" s="10">
        <f t="shared" si="95"/>
        <v>0.58820143884892084</v>
      </c>
    </row>
    <row r="1476" spans="1:14" x14ac:dyDescent="0.3">
      <c r="A1476" s="9" t="s">
        <v>1609</v>
      </c>
      <c r="B1476" s="9" t="s">
        <v>1601</v>
      </c>
      <c r="C1476" s="9" t="s">
        <v>36</v>
      </c>
      <c r="D1476" s="9" t="s">
        <v>20</v>
      </c>
      <c r="E1476" s="9">
        <v>1</v>
      </c>
      <c r="F1476" s="11">
        <v>55300</v>
      </c>
      <c r="G1476" s="9" t="str">
        <f>INDEX(Products!$B$2:$B$9,MATCH(D1476,Products!$A$2:$A$9,0))</f>
        <v>Trà cà leo gai giảm cân</v>
      </c>
      <c r="H1476" s="9" t="str">
        <f>INDEX(Products!$C$2:$C$9,MATCH(D1476,Products!$A$2:$A$9,0))</f>
        <v>Detox</v>
      </c>
      <c r="I1476" s="11">
        <f>INDEX(Products!$D$2:$D$9,MATCH(D1476,Products!$A$2:$A$9,0))</f>
        <v>15000</v>
      </c>
      <c r="J1476" s="10">
        <f>IFERROR(INDEX(PlatformFees!$C$2:$C$5,MATCH(C1476,PlatformFees!$A$2:$A$5,0)),0)</f>
        <v>0.13</v>
      </c>
      <c r="K1476" s="11">
        <f t="shared" si="92"/>
        <v>15000</v>
      </c>
      <c r="L1476" s="11">
        <f t="shared" si="93"/>
        <v>7189</v>
      </c>
      <c r="M1476" s="11">
        <f t="shared" si="94"/>
        <v>33111</v>
      </c>
      <c r="N1476" s="10">
        <f t="shared" si="95"/>
        <v>0.59875226039783003</v>
      </c>
    </row>
    <row r="1477" spans="1:14" x14ac:dyDescent="0.3">
      <c r="A1477" s="9" t="s">
        <v>1610</v>
      </c>
      <c r="B1477" s="9" t="s">
        <v>1601</v>
      </c>
      <c r="C1477" s="9" t="s">
        <v>38</v>
      </c>
      <c r="D1477" s="9" t="s">
        <v>22</v>
      </c>
      <c r="E1477" s="9">
        <v>1</v>
      </c>
      <c r="F1477" s="11">
        <v>36000</v>
      </c>
      <c r="G1477" s="9" t="str">
        <f>INDEX(Products!$B$2:$B$9,MATCH(D1477,Products!$A$2:$A$9,0))</f>
        <v>Trà hoa cúc an thần</v>
      </c>
      <c r="H1477" s="9" t="str">
        <f>INDEX(Products!$C$2:$C$9,MATCH(D1477,Products!$A$2:$A$9,0))</f>
        <v>An thần</v>
      </c>
      <c r="I1477" s="11">
        <f>INDEX(Products!$D$2:$D$9,MATCH(D1477,Products!$A$2:$A$9,0))</f>
        <v>9500</v>
      </c>
      <c r="J1477" s="10">
        <f>IFERROR(INDEX(PlatformFees!$C$2:$C$5,MATCH(C1477,PlatformFees!$A$2:$A$5,0)),0)</f>
        <v>0.16</v>
      </c>
      <c r="K1477" s="11">
        <f t="shared" si="92"/>
        <v>9500</v>
      </c>
      <c r="L1477" s="11">
        <f t="shared" si="93"/>
        <v>5760</v>
      </c>
      <c r="M1477" s="11">
        <f t="shared" si="94"/>
        <v>20740</v>
      </c>
      <c r="N1477" s="10">
        <f t="shared" si="95"/>
        <v>0.57611111111111113</v>
      </c>
    </row>
    <row r="1478" spans="1:14" x14ac:dyDescent="0.3">
      <c r="A1478" s="9" t="s">
        <v>1611</v>
      </c>
      <c r="B1478" s="9" t="s">
        <v>1601</v>
      </c>
      <c r="C1478" s="9" t="s">
        <v>39</v>
      </c>
      <c r="D1478" s="9" t="s">
        <v>15</v>
      </c>
      <c r="E1478" s="9">
        <v>1</v>
      </c>
      <c r="F1478" s="11">
        <v>30800</v>
      </c>
      <c r="G1478" s="9" t="str">
        <f>INDEX(Products!$B$2:$B$9,MATCH(D1478,Products!$A$2:$A$9,0))</f>
        <v>Trà lá nam sen ổi</v>
      </c>
      <c r="H1478" s="9" t="str">
        <f>INDEX(Products!$C$2:$C$9,MATCH(D1478,Products!$A$2:$A$9,0))</f>
        <v>Thanh lọc</v>
      </c>
      <c r="I1478" s="11">
        <f>INDEX(Products!$D$2:$D$9,MATCH(D1478,Products!$A$2:$A$9,0))</f>
        <v>8500</v>
      </c>
      <c r="J1478" s="10">
        <f>IFERROR(INDEX(PlatformFees!$C$2:$C$5,MATCH(C1478,PlatformFees!$A$2:$A$5,0)),0)</f>
        <v>0</v>
      </c>
      <c r="K1478" s="11">
        <f t="shared" si="92"/>
        <v>8500</v>
      </c>
      <c r="L1478" s="11">
        <f t="shared" si="93"/>
        <v>0</v>
      </c>
      <c r="M1478" s="11">
        <f t="shared" si="94"/>
        <v>22300</v>
      </c>
      <c r="N1478" s="10">
        <f t="shared" si="95"/>
        <v>0.72402597402597402</v>
      </c>
    </row>
    <row r="1479" spans="1:14" x14ac:dyDescent="0.3">
      <c r="A1479" s="9" t="s">
        <v>1612</v>
      </c>
      <c r="B1479" s="9" t="s">
        <v>1601</v>
      </c>
      <c r="C1479" s="9" t="s">
        <v>36</v>
      </c>
      <c r="D1479" s="9" t="s">
        <v>12</v>
      </c>
      <c r="E1479" s="9">
        <v>1</v>
      </c>
      <c r="F1479" s="11">
        <v>32900</v>
      </c>
      <c r="G1479" s="9" t="str">
        <f>INDEX(Products!$B$2:$B$9,MATCH(D1479,Products!$A$2:$A$9,0))</f>
        <v>Trà atiso thanh lọc</v>
      </c>
      <c r="H1479" s="9" t="str">
        <f>INDEX(Products!$C$2:$C$9,MATCH(D1479,Products!$A$2:$A$9,0))</f>
        <v>Thanh lọc</v>
      </c>
      <c r="I1479" s="11">
        <f>INDEX(Products!$D$2:$D$9,MATCH(D1479,Products!$A$2:$A$9,0))</f>
        <v>9000</v>
      </c>
      <c r="J1479" s="10">
        <f>IFERROR(INDEX(PlatformFees!$C$2:$C$5,MATCH(C1479,PlatformFees!$A$2:$A$5,0)),0)</f>
        <v>0.13</v>
      </c>
      <c r="K1479" s="11">
        <f t="shared" si="92"/>
        <v>9000</v>
      </c>
      <c r="L1479" s="11">
        <f t="shared" si="93"/>
        <v>4277</v>
      </c>
      <c r="M1479" s="11">
        <f t="shared" si="94"/>
        <v>19623</v>
      </c>
      <c r="N1479" s="10">
        <f t="shared" si="95"/>
        <v>0.5964437689969605</v>
      </c>
    </row>
    <row r="1480" spans="1:14" x14ac:dyDescent="0.3">
      <c r="A1480" s="9" t="s">
        <v>1613</v>
      </c>
      <c r="B1480" s="9" t="s">
        <v>1601</v>
      </c>
      <c r="C1480" s="9" t="s">
        <v>36</v>
      </c>
      <c r="D1480" s="9" t="s">
        <v>30</v>
      </c>
      <c r="E1480" s="9">
        <v>1</v>
      </c>
      <c r="F1480" s="11">
        <v>35500</v>
      </c>
      <c r="G1480" s="9" t="str">
        <f>INDEX(Products!$B$2:$B$9,MATCH(D1480,Products!$A$2:$A$9,0))</f>
        <v>Trà mâm xôi vitamin</v>
      </c>
      <c r="H1480" s="9" t="str">
        <f>INDEX(Products!$C$2:$C$9,MATCH(D1480,Products!$A$2:$A$9,0))</f>
        <v>Bổ sung dưỡng chất</v>
      </c>
      <c r="I1480" s="11">
        <f>INDEX(Products!$D$2:$D$9,MATCH(D1480,Products!$A$2:$A$9,0))</f>
        <v>9800</v>
      </c>
      <c r="J1480" s="10">
        <f>IFERROR(INDEX(PlatformFees!$C$2:$C$5,MATCH(C1480,PlatformFees!$A$2:$A$5,0)),0)</f>
        <v>0.13</v>
      </c>
      <c r="K1480" s="11">
        <f t="shared" si="92"/>
        <v>9800</v>
      </c>
      <c r="L1480" s="11">
        <f t="shared" si="93"/>
        <v>4615</v>
      </c>
      <c r="M1480" s="11">
        <f t="shared" si="94"/>
        <v>21085</v>
      </c>
      <c r="N1480" s="10">
        <f t="shared" si="95"/>
        <v>0.59394366197183102</v>
      </c>
    </row>
    <row r="1481" spans="1:14" x14ac:dyDescent="0.3">
      <c r="A1481" s="9" t="s">
        <v>1614</v>
      </c>
      <c r="B1481" s="9" t="s">
        <v>1601</v>
      </c>
      <c r="C1481" s="9" t="s">
        <v>36</v>
      </c>
      <c r="D1481" s="9" t="s">
        <v>20</v>
      </c>
      <c r="E1481" s="9">
        <v>1</v>
      </c>
      <c r="F1481" s="11">
        <v>53900</v>
      </c>
      <c r="G1481" s="9" t="str">
        <f>INDEX(Products!$B$2:$B$9,MATCH(D1481,Products!$A$2:$A$9,0))</f>
        <v>Trà cà leo gai giảm cân</v>
      </c>
      <c r="H1481" s="9" t="str">
        <f>INDEX(Products!$C$2:$C$9,MATCH(D1481,Products!$A$2:$A$9,0))</f>
        <v>Detox</v>
      </c>
      <c r="I1481" s="11">
        <f>INDEX(Products!$D$2:$D$9,MATCH(D1481,Products!$A$2:$A$9,0))</f>
        <v>15000</v>
      </c>
      <c r="J1481" s="10">
        <f>IFERROR(INDEX(PlatformFees!$C$2:$C$5,MATCH(C1481,PlatformFees!$A$2:$A$5,0)),0)</f>
        <v>0.13</v>
      </c>
      <c r="K1481" s="11">
        <f t="shared" si="92"/>
        <v>15000</v>
      </c>
      <c r="L1481" s="11">
        <f t="shared" si="93"/>
        <v>7007</v>
      </c>
      <c r="M1481" s="11">
        <f t="shared" si="94"/>
        <v>31893</v>
      </c>
      <c r="N1481" s="10">
        <f t="shared" si="95"/>
        <v>0.59170686456400745</v>
      </c>
    </row>
    <row r="1482" spans="1:14" x14ac:dyDescent="0.3">
      <c r="A1482" s="9" t="s">
        <v>1615</v>
      </c>
      <c r="B1482" s="9" t="s">
        <v>1601</v>
      </c>
      <c r="C1482" s="9" t="s">
        <v>36</v>
      </c>
      <c r="D1482" s="9" t="s">
        <v>22</v>
      </c>
      <c r="E1482" s="9">
        <v>1</v>
      </c>
      <c r="F1482" s="11">
        <v>38800</v>
      </c>
      <c r="G1482" s="9" t="str">
        <f>INDEX(Products!$B$2:$B$9,MATCH(D1482,Products!$A$2:$A$9,0))</f>
        <v>Trà hoa cúc an thần</v>
      </c>
      <c r="H1482" s="9" t="str">
        <f>INDEX(Products!$C$2:$C$9,MATCH(D1482,Products!$A$2:$A$9,0))</f>
        <v>An thần</v>
      </c>
      <c r="I1482" s="11">
        <f>INDEX(Products!$D$2:$D$9,MATCH(D1482,Products!$A$2:$A$9,0))</f>
        <v>9500</v>
      </c>
      <c r="J1482" s="10">
        <f>IFERROR(INDEX(PlatformFees!$C$2:$C$5,MATCH(C1482,PlatformFees!$A$2:$A$5,0)),0)</f>
        <v>0.13</v>
      </c>
      <c r="K1482" s="11">
        <f t="shared" si="92"/>
        <v>9500</v>
      </c>
      <c r="L1482" s="11">
        <f t="shared" si="93"/>
        <v>5044</v>
      </c>
      <c r="M1482" s="11">
        <f t="shared" si="94"/>
        <v>24256</v>
      </c>
      <c r="N1482" s="10">
        <f t="shared" si="95"/>
        <v>0.62515463917525771</v>
      </c>
    </row>
    <row r="1483" spans="1:14" x14ac:dyDescent="0.3">
      <c r="A1483" s="9" t="s">
        <v>1616</v>
      </c>
      <c r="B1483" s="9" t="s">
        <v>1617</v>
      </c>
      <c r="C1483" s="9" t="s">
        <v>36</v>
      </c>
      <c r="D1483" s="9" t="s">
        <v>12</v>
      </c>
      <c r="E1483" s="9">
        <v>1</v>
      </c>
      <c r="F1483" s="11">
        <v>34400</v>
      </c>
      <c r="G1483" s="9" t="str">
        <f>INDEX(Products!$B$2:$B$9,MATCH(D1483,Products!$A$2:$A$9,0))</f>
        <v>Trà atiso thanh lọc</v>
      </c>
      <c r="H1483" s="9" t="str">
        <f>INDEX(Products!$C$2:$C$9,MATCH(D1483,Products!$A$2:$A$9,0))</f>
        <v>Thanh lọc</v>
      </c>
      <c r="I1483" s="11">
        <f>INDEX(Products!$D$2:$D$9,MATCH(D1483,Products!$A$2:$A$9,0))</f>
        <v>9000</v>
      </c>
      <c r="J1483" s="10">
        <f>IFERROR(INDEX(PlatformFees!$C$2:$C$5,MATCH(C1483,PlatformFees!$A$2:$A$5,0)),0)</f>
        <v>0.13</v>
      </c>
      <c r="K1483" s="11">
        <f t="shared" si="92"/>
        <v>9000</v>
      </c>
      <c r="L1483" s="11">
        <f t="shared" si="93"/>
        <v>4472</v>
      </c>
      <c r="M1483" s="11">
        <f t="shared" si="94"/>
        <v>20928</v>
      </c>
      <c r="N1483" s="10">
        <f t="shared" si="95"/>
        <v>0.60837209302325579</v>
      </c>
    </row>
    <row r="1484" spans="1:14" x14ac:dyDescent="0.3">
      <c r="A1484" s="9" t="s">
        <v>1618</v>
      </c>
      <c r="B1484" s="9" t="s">
        <v>1617</v>
      </c>
      <c r="C1484" s="9" t="s">
        <v>36</v>
      </c>
      <c r="D1484" s="9" t="s">
        <v>20</v>
      </c>
      <c r="E1484" s="9">
        <v>2</v>
      </c>
      <c r="F1484" s="11">
        <v>103000</v>
      </c>
      <c r="G1484" s="9" t="str">
        <f>INDEX(Products!$B$2:$B$9,MATCH(D1484,Products!$A$2:$A$9,0))</f>
        <v>Trà cà leo gai giảm cân</v>
      </c>
      <c r="H1484" s="9" t="str">
        <f>INDEX(Products!$C$2:$C$9,MATCH(D1484,Products!$A$2:$A$9,0))</f>
        <v>Detox</v>
      </c>
      <c r="I1484" s="11">
        <f>INDEX(Products!$D$2:$D$9,MATCH(D1484,Products!$A$2:$A$9,0))</f>
        <v>15000</v>
      </c>
      <c r="J1484" s="10">
        <f>IFERROR(INDEX(PlatformFees!$C$2:$C$5,MATCH(C1484,PlatformFees!$A$2:$A$5,0)),0)</f>
        <v>0.13</v>
      </c>
      <c r="K1484" s="11">
        <f t="shared" si="92"/>
        <v>30000</v>
      </c>
      <c r="L1484" s="11">
        <f t="shared" si="93"/>
        <v>13390</v>
      </c>
      <c r="M1484" s="11">
        <f t="shared" si="94"/>
        <v>59610</v>
      </c>
      <c r="N1484" s="10">
        <f t="shared" si="95"/>
        <v>0.57873786407766992</v>
      </c>
    </row>
    <row r="1485" spans="1:14" x14ac:dyDescent="0.3">
      <c r="A1485" s="9" t="s">
        <v>1619</v>
      </c>
      <c r="B1485" s="9" t="s">
        <v>1617</v>
      </c>
      <c r="C1485" s="9" t="s">
        <v>38</v>
      </c>
      <c r="D1485" s="9" t="s">
        <v>30</v>
      </c>
      <c r="E1485" s="9">
        <v>3</v>
      </c>
      <c r="F1485" s="11">
        <v>104000</v>
      </c>
      <c r="G1485" s="9" t="str">
        <f>INDEX(Products!$B$2:$B$9,MATCH(D1485,Products!$A$2:$A$9,0))</f>
        <v>Trà mâm xôi vitamin</v>
      </c>
      <c r="H1485" s="9" t="str">
        <f>INDEX(Products!$C$2:$C$9,MATCH(D1485,Products!$A$2:$A$9,0))</f>
        <v>Bổ sung dưỡng chất</v>
      </c>
      <c r="I1485" s="11">
        <f>INDEX(Products!$D$2:$D$9,MATCH(D1485,Products!$A$2:$A$9,0))</f>
        <v>9800</v>
      </c>
      <c r="J1485" s="10">
        <f>IFERROR(INDEX(PlatformFees!$C$2:$C$5,MATCH(C1485,PlatformFees!$A$2:$A$5,0)),0)</f>
        <v>0.16</v>
      </c>
      <c r="K1485" s="11">
        <f t="shared" si="92"/>
        <v>29400</v>
      </c>
      <c r="L1485" s="11">
        <f t="shared" si="93"/>
        <v>16640</v>
      </c>
      <c r="M1485" s="11">
        <f t="shared" si="94"/>
        <v>57960</v>
      </c>
      <c r="N1485" s="10">
        <f t="shared" si="95"/>
        <v>0.55730769230769228</v>
      </c>
    </row>
    <row r="1486" spans="1:14" x14ac:dyDescent="0.3">
      <c r="A1486" s="9" t="s">
        <v>1620</v>
      </c>
      <c r="B1486" s="9" t="s">
        <v>1617</v>
      </c>
      <c r="C1486" s="9" t="s">
        <v>36</v>
      </c>
      <c r="D1486" s="9" t="s">
        <v>17</v>
      </c>
      <c r="E1486" s="9">
        <v>2</v>
      </c>
      <c r="F1486" s="11">
        <v>82600</v>
      </c>
      <c r="G1486" s="9" t="str">
        <f>INDEX(Products!$B$2:$B$9,MATCH(D1486,Products!$A$2:$A$9,0))</f>
        <v>Trà diếp cá rau má</v>
      </c>
      <c r="H1486" s="9" t="str">
        <f>INDEX(Products!$C$2:$C$9,MATCH(D1486,Products!$A$2:$A$9,0))</f>
        <v>Detox</v>
      </c>
      <c r="I1486" s="11">
        <f>INDEX(Products!$D$2:$D$9,MATCH(D1486,Products!$A$2:$A$9,0))</f>
        <v>10500</v>
      </c>
      <c r="J1486" s="10">
        <f>IFERROR(INDEX(PlatformFees!$C$2:$C$5,MATCH(C1486,PlatformFees!$A$2:$A$5,0)),0)</f>
        <v>0.13</v>
      </c>
      <c r="K1486" s="11">
        <f t="shared" si="92"/>
        <v>21000</v>
      </c>
      <c r="L1486" s="11">
        <f t="shared" si="93"/>
        <v>10738</v>
      </c>
      <c r="M1486" s="11">
        <f t="shared" si="94"/>
        <v>50862</v>
      </c>
      <c r="N1486" s="10">
        <f t="shared" si="95"/>
        <v>0.61576271186440679</v>
      </c>
    </row>
    <row r="1487" spans="1:14" x14ac:dyDescent="0.3">
      <c r="A1487" s="9" t="s">
        <v>1621</v>
      </c>
      <c r="B1487" s="9" t="s">
        <v>1617</v>
      </c>
      <c r="C1487" s="9" t="s">
        <v>38</v>
      </c>
      <c r="D1487" s="9" t="s">
        <v>30</v>
      </c>
      <c r="E1487" s="9">
        <v>2</v>
      </c>
      <c r="F1487" s="11">
        <v>70000</v>
      </c>
      <c r="G1487" s="9" t="str">
        <f>INDEX(Products!$B$2:$B$9,MATCH(D1487,Products!$A$2:$A$9,0))</f>
        <v>Trà mâm xôi vitamin</v>
      </c>
      <c r="H1487" s="9" t="str">
        <f>INDEX(Products!$C$2:$C$9,MATCH(D1487,Products!$A$2:$A$9,0))</f>
        <v>Bổ sung dưỡng chất</v>
      </c>
      <c r="I1487" s="11">
        <f>INDEX(Products!$D$2:$D$9,MATCH(D1487,Products!$A$2:$A$9,0))</f>
        <v>9800</v>
      </c>
      <c r="J1487" s="10">
        <f>IFERROR(INDEX(PlatformFees!$C$2:$C$5,MATCH(C1487,PlatformFees!$A$2:$A$5,0)),0)</f>
        <v>0.16</v>
      </c>
      <c r="K1487" s="11">
        <f t="shared" si="92"/>
        <v>19600</v>
      </c>
      <c r="L1487" s="11">
        <f t="shared" si="93"/>
        <v>11200</v>
      </c>
      <c r="M1487" s="11">
        <f t="shared" si="94"/>
        <v>39200</v>
      </c>
      <c r="N1487" s="10">
        <f t="shared" si="95"/>
        <v>0.56000000000000005</v>
      </c>
    </row>
    <row r="1488" spans="1:14" x14ac:dyDescent="0.3">
      <c r="A1488" s="9" t="s">
        <v>1622</v>
      </c>
      <c r="B1488" s="9" t="s">
        <v>1617</v>
      </c>
      <c r="C1488" s="9" t="s">
        <v>36</v>
      </c>
      <c r="D1488" s="9" t="s">
        <v>25</v>
      </c>
      <c r="E1488" s="9">
        <v>1</v>
      </c>
      <c r="F1488" s="11">
        <v>33300</v>
      </c>
      <c r="G1488" s="9" t="str">
        <f>INDEX(Products!$B$2:$B$9,MATCH(D1488,Products!$A$2:$A$9,0))</f>
        <v>Trà hoa đậu biếc</v>
      </c>
      <c r="H1488" s="9" t="str">
        <f>INDEX(Products!$C$2:$C$9,MATCH(D1488,Products!$A$2:$A$9,0))</f>
        <v>An thần</v>
      </c>
      <c r="I1488" s="11">
        <f>INDEX(Products!$D$2:$D$9,MATCH(D1488,Products!$A$2:$A$9,0))</f>
        <v>8800</v>
      </c>
      <c r="J1488" s="10">
        <f>IFERROR(INDEX(PlatformFees!$C$2:$C$5,MATCH(C1488,PlatformFees!$A$2:$A$5,0)),0)</f>
        <v>0.13</v>
      </c>
      <c r="K1488" s="11">
        <f t="shared" si="92"/>
        <v>8800</v>
      </c>
      <c r="L1488" s="11">
        <f t="shared" si="93"/>
        <v>4329</v>
      </c>
      <c r="M1488" s="11">
        <f t="shared" si="94"/>
        <v>20171</v>
      </c>
      <c r="N1488" s="10">
        <f t="shared" si="95"/>
        <v>0.60573573573573569</v>
      </c>
    </row>
    <row r="1489" spans="1:14" x14ac:dyDescent="0.3">
      <c r="A1489" s="9" t="s">
        <v>1623</v>
      </c>
      <c r="B1489" s="9" t="s">
        <v>1617</v>
      </c>
      <c r="C1489" s="9" t="s">
        <v>36</v>
      </c>
      <c r="D1489" s="9" t="s">
        <v>30</v>
      </c>
      <c r="E1489" s="9">
        <v>2</v>
      </c>
      <c r="F1489" s="11">
        <v>67200</v>
      </c>
      <c r="G1489" s="9" t="str">
        <f>INDEX(Products!$B$2:$B$9,MATCH(D1489,Products!$A$2:$A$9,0))</f>
        <v>Trà mâm xôi vitamin</v>
      </c>
      <c r="H1489" s="9" t="str">
        <f>INDEX(Products!$C$2:$C$9,MATCH(D1489,Products!$A$2:$A$9,0))</f>
        <v>Bổ sung dưỡng chất</v>
      </c>
      <c r="I1489" s="11">
        <f>INDEX(Products!$D$2:$D$9,MATCH(D1489,Products!$A$2:$A$9,0))</f>
        <v>9800</v>
      </c>
      <c r="J1489" s="10">
        <f>IFERROR(INDEX(PlatformFees!$C$2:$C$5,MATCH(C1489,PlatformFees!$A$2:$A$5,0)),0)</f>
        <v>0.13</v>
      </c>
      <c r="K1489" s="11">
        <f t="shared" si="92"/>
        <v>19600</v>
      </c>
      <c r="L1489" s="11">
        <f t="shared" si="93"/>
        <v>8736</v>
      </c>
      <c r="M1489" s="11">
        <f t="shared" si="94"/>
        <v>38864</v>
      </c>
      <c r="N1489" s="10">
        <f t="shared" si="95"/>
        <v>0.57833333333333337</v>
      </c>
    </row>
    <row r="1490" spans="1:14" x14ac:dyDescent="0.3">
      <c r="A1490" s="9" t="s">
        <v>1624</v>
      </c>
      <c r="B1490" s="9" t="s">
        <v>1617</v>
      </c>
      <c r="C1490" s="9" t="s">
        <v>38</v>
      </c>
      <c r="D1490" s="9" t="s">
        <v>30</v>
      </c>
      <c r="E1490" s="9">
        <v>1</v>
      </c>
      <c r="F1490" s="11">
        <v>35800</v>
      </c>
      <c r="G1490" s="9" t="str">
        <f>INDEX(Products!$B$2:$B$9,MATCH(D1490,Products!$A$2:$A$9,0))</f>
        <v>Trà mâm xôi vitamin</v>
      </c>
      <c r="H1490" s="9" t="str">
        <f>INDEX(Products!$C$2:$C$9,MATCH(D1490,Products!$A$2:$A$9,0))</f>
        <v>Bổ sung dưỡng chất</v>
      </c>
      <c r="I1490" s="11">
        <f>INDEX(Products!$D$2:$D$9,MATCH(D1490,Products!$A$2:$A$9,0))</f>
        <v>9800</v>
      </c>
      <c r="J1490" s="10">
        <f>IFERROR(INDEX(PlatformFees!$C$2:$C$5,MATCH(C1490,PlatformFees!$A$2:$A$5,0)),0)</f>
        <v>0.16</v>
      </c>
      <c r="K1490" s="11">
        <f t="shared" si="92"/>
        <v>9800</v>
      </c>
      <c r="L1490" s="11">
        <f t="shared" si="93"/>
        <v>5728</v>
      </c>
      <c r="M1490" s="11">
        <f t="shared" si="94"/>
        <v>20272</v>
      </c>
      <c r="N1490" s="10">
        <f t="shared" si="95"/>
        <v>0.56625698324022344</v>
      </c>
    </row>
    <row r="1491" spans="1:14" x14ac:dyDescent="0.3">
      <c r="A1491" s="9" t="s">
        <v>1625</v>
      </c>
      <c r="B1491" s="9" t="s">
        <v>1617</v>
      </c>
      <c r="C1491" s="9" t="s">
        <v>36</v>
      </c>
      <c r="D1491" s="9" t="s">
        <v>22</v>
      </c>
      <c r="E1491" s="9">
        <v>3</v>
      </c>
      <c r="F1491" s="11">
        <v>106000</v>
      </c>
      <c r="G1491" s="9" t="str">
        <f>INDEX(Products!$B$2:$B$9,MATCH(D1491,Products!$A$2:$A$9,0))</f>
        <v>Trà hoa cúc an thần</v>
      </c>
      <c r="H1491" s="9" t="str">
        <f>INDEX(Products!$C$2:$C$9,MATCH(D1491,Products!$A$2:$A$9,0))</f>
        <v>An thần</v>
      </c>
      <c r="I1491" s="11">
        <f>INDEX(Products!$D$2:$D$9,MATCH(D1491,Products!$A$2:$A$9,0))</f>
        <v>9500</v>
      </c>
      <c r="J1491" s="10">
        <f>IFERROR(INDEX(PlatformFees!$C$2:$C$5,MATCH(C1491,PlatformFees!$A$2:$A$5,0)),0)</f>
        <v>0.13</v>
      </c>
      <c r="K1491" s="11">
        <f t="shared" si="92"/>
        <v>28500</v>
      </c>
      <c r="L1491" s="11">
        <f t="shared" si="93"/>
        <v>13780</v>
      </c>
      <c r="M1491" s="11">
        <f t="shared" si="94"/>
        <v>63720</v>
      </c>
      <c r="N1491" s="10">
        <f t="shared" si="95"/>
        <v>0.60113207547169811</v>
      </c>
    </row>
    <row r="1492" spans="1:14" x14ac:dyDescent="0.3">
      <c r="A1492" s="9" t="s">
        <v>1626</v>
      </c>
      <c r="B1492" s="9" t="s">
        <v>1617</v>
      </c>
      <c r="C1492" s="9" t="s">
        <v>38</v>
      </c>
      <c r="D1492" s="9" t="s">
        <v>30</v>
      </c>
      <c r="E1492" s="9">
        <v>1</v>
      </c>
      <c r="F1492" s="11">
        <v>36500</v>
      </c>
      <c r="G1492" s="9" t="str">
        <f>INDEX(Products!$B$2:$B$9,MATCH(D1492,Products!$A$2:$A$9,0))</f>
        <v>Trà mâm xôi vitamin</v>
      </c>
      <c r="H1492" s="9" t="str">
        <f>INDEX(Products!$C$2:$C$9,MATCH(D1492,Products!$A$2:$A$9,0))</f>
        <v>Bổ sung dưỡng chất</v>
      </c>
      <c r="I1492" s="11">
        <f>INDEX(Products!$D$2:$D$9,MATCH(D1492,Products!$A$2:$A$9,0))</f>
        <v>9800</v>
      </c>
      <c r="J1492" s="10">
        <f>IFERROR(INDEX(PlatformFees!$C$2:$C$5,MATCH(C1492,PlatformFees!$A$2:$A$5,0)),0)</f>
        <v>0.16</v>
      </c>
      <c r="K1492" s="11">
        <f t="shared" si="92"/>
        <v>9800</v>
      </c>
      <c r="L1492" s="11">
        <f t="shared" si="93"/>
        <v>5840</v>
      </c>
      <c r="M1492" s="11">
        <f t="shared" si="94"/>
        <v>20860</v>
      </c>
      <c r="N1492" s="10">
        <f t="shared" si="95"/>
        <v>0.57150684931506845</v>
      </c>
    </row>
    <row r="1493" spans="1:14" x14ac:dyDescent="0.3">
      <c r="A1493" s="9" t="s">
        <v>1627</v>
      </c>
      <c r="B1493" s="9" t="s">
        <v>1617</v>
      </c>
      <c r="C1493" s="9" t="s">
        <v>39</v>
      </c>
      <c r="D1493" s="9" t="s">
        <v>17</v>
      </c>
      <c r="E1493" s="9">
        <v>1</v>
      </c>
      <c r="F1493" s="11">
        <v>39500</v>
      </c>
      <c r="G1493" s="9" t="str">
        <f>INDEX(Products!$B$2:$B$9,MATCH(D1493,Products!$A$2:$A$9,0))</f>
        <v>Trà diếp cá rau má</v>
      </c>
      <c r="H1493" s="9" t="str">
        <f>INDEX(Products!$C$2:$C$9,MATCH(D1493,Products!$A$2:$A$9,0))</f>
        <v>Detox</v>
      </c>
      <c r="I1493" s="11">
        <f>INDEX(Products!$D$2:$D$9,MATCH(D1493,Products!$A$2:$A$9,0))</f>
        <v>10500</v>
      </c>
      <c r="J1493" s="10">
        <f>IFERROR(INDEX(PlatformFees!$C$2:$C$5,MATCH(C1493,PlatformFees!$A$2:$A$5,0)),0)</f>
        <v>0</v>
      </c>
      <c r="K1493" s="11">
        <f t="shared" si="92"/>
        <v>10500</v>
      </c>
      <c r="L1493" s="11">
        <f t="shared" si="93"/>
        <v>0</v>
      </c>
      <c r="M1493" s="11">
        <f t="shared" si="94"/>
        <v>29000</v>
      </c>
      <c r="N1493" s="10">
        <f t="shared" si="95"/>
        <v>0.73417721518987344</v>
      </c>
    </row>
    <row r="1494" spans="1:14" x14ac:dyDescent="0.3">
      <c r="A1494" s="9" t="s">
        <v>1628</v>
      </c>
      <c r="B1494" s="9" t="s">
        <v>1617</v>
      </c>
      <c r="C1494" s="9" t="s">
        <v>36</v>
      </c>
      <c r="D1494" s="9" t="s">
        <v>17</v>
      </c>
      <c r="E1494" s="9">
        <v>1</v>
      </c>
      <c r="F1494" s="11">
        <v>40000</v>
      </c>
      <c r="G1494" s="9" t="str">
        <f>INDEX(Products!$B$2:$B$9,MATCH(D1494,Products!$A$2:$A$9,0))</f>
        <v>Trà diếp cá rau má</v>
      </c>
      <c r="H1494" s="9" t="str">
        <f>INDEX(Products!$C$2:$C$9,MATCH(D1494,Products!$A$2:$A$9,0))</f>
        <v>Detox</v>
      </c>
      <c r="I1494" s="11">
        <f>INDEX(Products!$D$2:$D$9,MATCH(D1494,Products!$A$2:$A$9,0))</f>
        <v>10500</v>
      </c>
      <c r="J1494" s="10">
        <f>IFERROR(INDEX(PlatformFees!$C$2:$C$5,MATCH(C1494,PlatformFees!$A$2:$A$5,0)),0)</f>
        <v>0.13</v>
      </c>
      <c r="K1494" s="11">
        <f t="shared" si="92"/>
        <v>10500</v>
      </c>
      <c r="L1494" s="11">
        <f t="shared" si="93"/>
        <v>5200</v>
      </c>
      <c r="M1494" s="11">
        <f t="shared" si="94"/>
        <v>24300</v>
      </c>
      <c r="N1494" s="10">
        <f t="shared" si="95"/>
        <v>0.60750000000000004</v>
      </c>
    </row>
    <row r="1495" spans="1:14" x14ac:dyDescent="0.3">
      <c r="A1495" s="9" t="s">
        <v>1629</v>
      </c>
      <c r="B1495" s="9" t="s">
        <v>1617</v>
      </c>
      <c r="C1495" s="9" t="s">
        <v>36</v>
      </c>
      <c r="D1495" s="9" t="s">
        <v>15</v>
      </c>
      <c r="E1495" s="9">
        <v>3</v>
      </c>
      <c r="F1495" s="11">
        <v>92100</v>
      </c>
      <c r="G1495" s="9" t="str">
        <f>INDEX(Products!$B$2:$B$9,MATCH(D1495,Products!$A$2:$A$9,0))</f>
        <v>Trà lá nam sen ổi</v>
      </c>
      <c r="H1495" s="9" t="str">
        <f>INDEX(Products!$C$2:$C$9,MATCH(D1495,Products!$A$2:$A$9,0))</f>
        <v>Thanh lọc</v>
      </c>
      <c r="I1495" s="11">
        <f>INDEX(Products!$D$2:$D$9,MATCH(D1495,Products!$A$2:$A$9,0))</f>
        <v>8500</v>
      </c>
      <c r="J1495" s="10">
        <f>IFERROR(INDEX(PlatformFees!$C$2:$C$5,MATCH(C1495,PlatformFees!$A$2:$A$5,0)),0)</f>
        <v>0.13</v>
      </c>
      <c r="K1495" s="11">
        <f t="shared" si="92"/>
        <v>25500</v>
      </c>
      <c r="L1495" s="11">
        <f t="shared" si="93"/>
        <v>11973</v>
      </c>
      <c r="M1495" s="11">
        <f t="shared" si="94"/>
        <v>54627</v>
      </c>
      <c r="N1495" s="10">
        <f t="shared" si="95"/>
        <v>0.59312703583061888</v>
      </c>
    </row>
    <row r="1496" spans="1:14" x14ac:dyDescent="0.3">
      <c r="A1496" s="9" t="s">
        <v>1630</v>
      </c>
      <c r="B1496" s="9" t="s">
        <v>1617</v>
      </c>
      <c r="C1496" s="9" t="s">
        <v>36</v>
      </c>
      <c r="D1496" s="9" t="s">
        <v>22</v>
      </c>
      <c r="E1496" s="9">
        <v>3</v>
      </c>
      <c r="F1496" s="11">
        <v>107300</v>
      </c>
      <c r="G1496" s="9" t="str">
        <f>INDEX(Products!$B$2:$B$9,MATCH(D1496,Products!$A$2:$A$9,0))</f>
        <v>Trà hoa cúc an thần</v>
      </c>
      <c r="H1496" s="9" t="str">
        <f>INDEX(Products!$C$2:$C$9,MATCH(D1496,Products!$A$2:$A$9,0))</f>
        <v>An thần</v>
      </c>
      <c r="I1496" s="11">
        <f>INDEX(Products!$D$2:$D$9,MATCH(D1496,Products!$A$2:$A$9,0))</f>
        <v>9500</v>
      </c>
      <c r="J1496" s="10">
        <f>IFERROR(INDEX(PlatformFees!$C$2:$C$5,MATCH(C1496,PlatformFees!$A$2:$A$5,0)),0)</f>
        <v>0.13</v>
      </c>
      <c r="K1496" s="11">
        <f t="shared" si="92"/>
        <v>28500</v>
      </c>
      <c r="L1496" s="11">
        <f t="shared" si="93"/>
        <v>13949</v>
      </c>
      <c r="M1496" s="11">
        <f t="shared" si="94"/>
        <v>64851</v>
      </c>
      <c r="N1496" s="10">
        <f t="shared" si="95"/>
        <v>0.60438956197576887</v>
      </c>
    </row>
    <row r="1497" spans="1:14" x14ac:dyDescent="0.3">
      <c r="A1497" s="9" t="s">
        <v>1631</v>
      </c>
      <c r="B1497" s="9" t="s">
        <v>1617</v>
      </c>
      <c r="C1497" s="9" t="s">
        <v>36</v>
      </c>
      <c r="D1497" s="9" t="s">
        <v>12</v>
      </c>
      <c r="E1497" s="9">
        <v>2</v>
      </c>
      <c r="F1497" s="11">
        <v>66200</v>
      </c>
      <c r="G1497" s="9" t="str">
        <f>INDEX(Products!$B$2:$B$9,MATCH(D1497,Products!$A$2:$A$9,0))</f>
        <v>Trà atiso thanh lọc</v>
      </c>
      <c r="H1497" s="9" t="str">
        <f>INDEX(Products!$C$2:$C$9,MATCH(D1497,Products!$A$2:$A$9,0))</f>
        <v>Thanh lọc</v>
      </c>
      <c r="I1497" s="11">
        <f>INDEX(Products!$D$2:$D$9,MATCH(D1497,Products!$A$2:$A$9,0))</f>
        <v>9000</v>
      </c>
      <c r="J1497" s="10">
        <f>IFERROR(INDEX(PlatformFees!$C$2:$C$5,MATCH(C1497,PlatformFees!$A$2:$A$5,0)),0)</f>
        <v>0.13</v>
      </c>
      <c r="K1497" s="11">
        <f t="shared" si="92"/>
        <v>18000</v>
      </c>
      <c r="L1497" s="11">
        <f t="shared" si="93"/>
        <v>8606</v>
      </c>
      <c r="M1497" s="11">
        <f t="shared" si="94"/>
        <v>39594</v>
      </c>
      <c r="N1497" s="10">
        <f t="shared" si="95"/>
        <v>0.59809667673716016</v>
      </c>
    </row>
    <row r="1498" spans="1:14" x14ac:dyDescent="0.3">
      <c r="A1498" s="9" t="s">
        <v>1632</v>
      </c>
      <c r="B1498" s="9" t="s">
        <v>1617</v>
      </c>
      <c r="C1498" s="9" t="s">
        <v>36</v>
      </c>
      <c r="D1498" s="9" t="s">
        <v>25</v>
      </c>
      <c r="E1498" s="9">
        <v>3</v>
      </c>
      <c r="F1498" s="11">
        <v>97300</v>
      </c>
      <c r="G1498" s="9" t="str">
        <f>INDEX(Products!$B$2:$B$9,MATCH(D1498,Products!$A$2:$A$9,0))</f>
        <v>Trà hoa đậu biếc</v>
      </c>
      <c r="H1498" s="9" t="str">
        <f>INDEX(Products!$C$2:$C$9,MATCH(D1498,Products!$A$2:$A$9,0))</f>
        <v>An thần</v>
      </c>
      <c r="I1498" s="11">
        <f>INDEX(Products!$D$2:$D$9,MATCH(D1498,Products!$A$2:$A$9,0))</f>
        <v>8800</v>
      </c>
      <c r="J1498" s="10">
        <f>IFERROR(INDEX(PlatformFees!$C$2:$C$5,MATCH(C1498,PlatformFees!$A$2:$A$5,0)),0)</f>
        <v>0.13</v>
      </c>
      <c r="K1498" s="11">
        <f t="shared" si="92"/>
        <v>26400</v>
      </c>
      <c r="L1498" s="11">
        <f t="shared" si="93"/>
        <v>12649</v>
      </c>
      <c r="M1498" s="11">
        <f t="shared" si="94"/>
        <v>58251</v>
      </c>
      <c r="N1498" s="10">
        <f t="shared" si="95"/>
        <v>0.59867420349434741</v>
      </c>
    </row>
    <row r="1499" spans="1:14" x14ac:dyDescent="0.3">
      <c r="A1499" s="9" t="s">
        <v>1633</v>
      </c>
      <c r="B1499" s="9" t="s">
        <v>1617</v>
      </c>
      <c r="C1499" s="9" t="s">
        <v>38</v>
      </c>
      <c r="D1499" s="9" t="s">
        <v>27</v>
      </c>
      <c r="E1499" s="9">
        <v>2</v>
      </c>
      <c r="F1499" s="11">
        <v>82100</v>
      </c>
      <c r="G1499" s="9" t="str">
        <f>INDEX(Products!$B$2:$B$9,MATCH(D1499,Products!$A$2:$A$9,0))</f>
        <v>Trà gừng mật ong</v>
      </c>
      <c r="H1499" s="9" t="str">
        <f>INDEX(Products!$C$2:$C$9,MATCH(D1499,Products!$A$2:$A$9,0))</f>
        <v>Giữ ấm</v>
      </c>
      <c r="I1499" s="11">
        <f>INDEX(Products!$D$2:$D$9,MATCH(D1499,Products!$A$2:$A$9,0))</f>
        <v>11000</v>
      </c>
      <c r="J1499" s="10">
        <f>IFERROR(INDEX(PlatformFees!$C$2:$C$5,MATCH(C1499,PlatformFees!$A$2:$A$5,0)),0)</f>
        <v>0.16</v>
      </c>
      <c r="K1499" s="11">
        <f t="shared" si="92"/>
        <v>22000</v>
      </c>
      <c r="L1499" s="11">
        <f t="shared" si="93"/>
        <v>13136</v>
      </c>
      <c r="M1499" s="11">
        <f t="shared" si="94"/>
        <v>46964</v>
      </c>
      <c r="N1499" s="10">
        <f t="shared" si="95"/>
        <v>0.57203410475030447</v>
      </c>
    </row>
    <row r="1500" spans="1:14" x14ac:dyDescent="0.3">
      <c r="A1500" s="9" t="s">
        <v>1634</v>
      </c>
      <c r="B1500" s="9" t="s">
        <v>1617</v>
      </c>
      <c r="C1500" s="9" t="s">
        <v>36</v>
      </c>
      <c r="D1500" s="9" t="s">
        <v>17</v>
      </c>
      <c r="E1500" s="9">
        <v>1</v>
      </c>
      <c r="F1500" s="11">
        <v>42300</v>
      </c>
      <c r="G1500" s="9" t="str">
        <f>INDEX(Products!$B$2:$B$9,MATCH(D1500,Products!$A$2:$A$9,0))</f>
        <v>Trà diếp cá rau má</v>
      </c>
      <c r="H1500" s="9" t="str">
        <f>INDEX(Products!$C$2:$C$9,MATCH(D1500,Products!$A$2:$A$9,0))</f>
        <v>Detox</v>
      </c>
      <c r="I1500" s="11">
        <f>INDEX(Products!$D$2:$D$9,MATCH(D1500,Products!$A$2:$A$9,0))</f>
        <v>10500</v>
      </c>
      <c r="J1500" s="10">
        <f>IFERROR(INDEX(PlatformFees!$C$2:$C$5,MATCH(C1500,PlatformFees!$A$2:$A$5,0)),0)</f>
        <v>0.13</v>
      </c>
      <c r="K1500" s="11">
        <f t="shared" si="92"/>
        <v>10500</v>
      </c>
      <c r="L1500" s="11">
        <f t="shared" si="93"/>
        <v>5499</v>
      </c>
      <c r="M1500" s="11">
        <f t="shared" si="94"/>
        <v>26301</v>
      </c>
      <c r="N1500" s="10">
        <f t="shared" si="95"/>
        <v>0.62177304964539004</v>
      </c>
    </row>
    <row r="1501" spans="1:14" x14ac:dyDescent="0.3">
      <c r="A1501" s="9" t="s">
        <v>1635</v>
      </c>
      <c r="B1501" s="9" t="s">
        <v>1617</v>
      </c>
      <c r="C1501" s="9" t="s">
        <v>36</v>
      </c>
      <c r="D1501" s="9" t="s">
        <v>15</v>
      </c>
      <c r="E1501" s="9">
        <v>3</v>
      </c>
      <c r="F1501" s="11">
        <v>95400</v>
      </c>
      <c r="G1501" s="9" t="str">
        <f>INDEX(Products!$B$2:$B$9,MATCH(D1501,Products!$A$2:$A$9,0))</f>
        <v>Trà lá nam sen ổi</v>
      </c>
      <c r="H1501" s="9" t="str">
        <f>INDEX(Products!$C$2:$C$9,MATCH(D1501,Products!$A$2:$A$9,0))</f>
        <v>Thanh lọc</v>
      </c>
      <c r="I1501" s="11">
        <f>INDEX(Products!$D$2:$D$9,MATCH(D1501,Products!$A$2:$A$9,0))</f>
        <v>8500</v>
      </c>
      <c r="J1501" s="10">
        <f>IFERROR(INDEX(PlatformFees!$C$2:$C$5,MATCH(C1501,PlatformFees!$A$2:$A$5,0)),0)</f>
        <v>0.13</v>
      </c>
      <c r="K1501" s="11">
        <f t="shared" si="92"/>
        <v>25500</v>
      </c>
      <c r="L1501" s="11">
        <f t="shared" si="93"/>
        <v>12402</v>
      </c>
      <c r="M1501" s="11">
        <f t="shared" si="94"/>
        <v>57498</v>
      </c>
      <c r="N1501" s="10">
        <f t="shared" si="95"/>
        <v>0.60270440251572333</v>
      </c>
    </row>
    <row r="1502" spans="1:14" x14ac:dyDescent="0.3">
      <c r="A1502" s="9" t="s">
        <v>1636</v>
      </c>
      <c r="B1502" s="9" t="s">
        <v>1617</v>
      </c>
      <c r="C1502" s="9" t="s">
        <v>38</v>
      </c>
      <c r="D1502" s="9" t="s">
        <v>22</v>
      </c>
      <c r="E1502" s="9">
        <v>2</v>
      </c>
      <c r="F1502" s="11">
        <v>71200</v>
      </c>
      <c r="G1502" s="9" t="str">
        <f>INDEX(Products!$B$2:$B$9,MATCH(D1502,Products!$A$2:$A$9,0))</f>
        <v>Trà hoa cúc an thần</v>
      </c>
      <c r="H1502" s="9" t="str">
        <f>INDEX(Products!$C$2:$C$9,MATCH(D1502,Products!$A$2:$A$9,0))</f>
        <v>An thần</v>
      </c>
      <c r="I1502" s="11">
        <f>INDEX(Products!$D$2:$D$9,MATCH(D1502,Products!$A$2:$A$9,0))</f>
        <v>9500</v>
      </c>
      <c r="J1502" s="10">
        <f>IFERROR(INDEX(PlatformFees!$C$2:$C$5,MATCH(C1502,PlatformFees!$A$2:$A$5,0)),0)</f>
        <v>0.16</v>
      </c>
      <c r="K1502" s="11">
        <f t="shared" si="92"/>
        <v>19000</v>
      </c>
      <c r="L1502" s="11">
        <f t="shared" si="93"/>
        <v>11392</v>
      </c>
      <c r="M1502" s="11">
        <f t="shared" si="94"/>
        <v>40808</v>
      </c>
      <c r="N1502" s="10">
        <f t="shared" si="95"/>
        <v>0.57314606741573038</v>
      </c>
    </row>
    <row r="1503" spans="1:14" x14ac:dyDescent="0.3">
      <c r="A1503" s="9" t="s">
        <v>1637</v>
      </c>
      <c r="B1503" s="9" t="s">
        <v>1617</v>
      </c>
      <c r="C1503" s="9" t="s">
        <v>38</v>
      </c>
      <c r="D1503" s="9" t="s">
        <v>30</v>
      </c>
      <c r="E1503" s="9">
        <v>1</v>
      </c>
      <c r="F1503" s="11">
        <v>36000</v>
      </c>
      <c r="G1503" s="9" t="str">
        <f>INDEX(Products!$B$2:$B$9,MATCH(D1503,Products!$A$2:$A$9,0))</f>
        <v>Trà mâm xôi vitamin</v>
      </c>
      <c r="H1503" s="9" t="str">
        <f>INDEX(Products!$C$2:$C$9,MATCH(D1503,Products!$A$2:$A$9,0))</f>
        <v>Bổ sung dưỡng chất</v>
      </c>
      <c r="I1503" s="11">
        <f>INDEX(Products!$D$2:$D$9,MATCH(D1503,Products!$A$2:$A$9,0))</f>
        <v>9800</v>
      </c>
      <c r="J1503" s="10">
        <f>IFERROR(INDEX(PlatformFees!$C$2:$C$5,MATCH(C1503,PlatformFees!$A$2:$A$5,0)),0)</f>
        <v>0.16</v>
      </c>
      <c r="K1503" s="11">
        <f t="shared" si="92"/>
        <v>9800</v>
      </c>
      <c r="L1503" s="11">
        <f t="shared" si="93"/>
        <v>5760</v>
      </c>
      <c r="M1503" s="11">
        <f t="shared" si="94"/>
        <v>20440</v>
      </c>
      <c r="N1503" s="10">
        <f t="shared" si="95"/>
        <v>0.56777777777777783</v>
      </c>
    </row>
    <row r="1504" spans="1:14" x14ac:dyDescent="0.3">
      <c r="A1504" s="9" t="s">
        <v>1638</v>
      </c>
      <c r="B1504" s="9" t="s">
        <v>1639</v>
      </c>
      <c r="C1504" s="9" t="s">
        <v>38</v>
      </c>
      <c r="D1504" s="9" t="s">
        <v>20</v>
      </c>
      <c r="E1504" s="9">
        <v>2</v>
      </c>
      <c r="F1504" s="11">
        <v>101800</v>
      </c>
      <c r="G1504" s="9" t="str">
        <f>INDEX(Products!$B$2:$B$9,MATCH(D1504,Products!$A$2:$A$9,0))</f>
        <v>Trà cà leo gai giảm cân</v>
      </c>
      <c r="H1504" s="9" t="str">
        <f>INDEX(Products!$C$2:$C$9,MATCH(D1504,Products!$A$2:$A$9,0))</f>
        <v>Detox</v>
      </c>
      <c r="I1504" s="11">
        <f>INDEX(Products!$D$2:$D$9,MATCH(D1504,Products!$A$2:$A$9,0))</f>
        <v>15000</v>
      </c>
      <c r="J1504" s="10">
        <f>IFERROR(INDEX(PlatformFees!$C$2:$C$5,MATCH(C1504,PlatformFees!$A$2:$A$5,0)),0)</f>
        <v>0.16</v>
      </c>
      <c r="K1504" s="11">
        <f t="shared" si="92"/>
        <v>30000</v>
      </c>
      <c r="L1504" s="11">
        <f t="shared" si="93"/>
        <v>16288</v>
      </c>
      <c r="M1504" s="11">
        <f t="shared" si="94"/>
        <v>55512</v>
      </c>
      <c r="N1504" s="10">
        <f t="shared" si="95"/>
        <v>0.54530451866404717</v>
      </c>
    </row>
    <row r="1505" spans="1:14" x14ac:dyDescent="0.3">
      <c r="A1505" s="9" t="s">
        <v>1640</v>
      </c>
      <c r="B1505" s="9" t="s">
        <v>1639</v>
      </c>
      <c r="C1505" s="9" t="s">
        <v>39</v>
      </c>
      <c r="D1505" s="9" t="s">
        <v>12</v>
      </c>
      <c r="E1505" s="9">
        <v>1</v>
      </c>
      <c r="F1505" s="11">
        <v>34600</v>
      </c>
      <c r="G1505" s="9" t="str">
        <f>INDEX(Products!$B$2:$B$9,MATCH(D1505,Products!$A$2:$A$9,0))</f>
        <v>Trà atiso thanh lọc</v>
      </c>
      <c r="H1505" s="9" t="str">
        <f>INDEX(Products!$C$2:$C$9,MATCH(D1505,Products!$A$2:$A$9,0))</f>
        <v>Thanh lọc</v>
      </c>
      <c r="I1505" s="11">
        <f>INDEX(Products!$D$2:$D$9,MATCH(D1505,Products!$A$2:$A$9,0))</f>
        <v>9000</v>
      </c>
      <c r="J1505" s="10">
        <f>IFERROR(INDEX(PlatformFees!$C$2:$C$5,MATCH(C1505,PlatformFees!$A$2:$A$5,0)),0)</f>
        <v>0</v>
      </c>
      <c r="K1505" s="11">
        <f t="shared" si="92"/>
        <v>9000</v>
      </c>
      <c r="L1505" s="11">
        <f t="shared" si="93"/>
        <v>0</v>
      </c>
      <c r="M1505" s="11">
        <f t="shared" si="94"/>
        <v>25600</v>
      </c>
      <c r="N1505" s="10">
        <f t="shared" si="95"/>
        <v>0.73988439306358378</v>
      </c>
    </row>
    <row r="1506" spans="1:14" x14ac:dyDescent="0.3">
      <c r="A1506" s="9" t="s">
        <v>1641</v>
      </c>
      <c r="B1506" s="9" t="s">
        <v>1639</v>
      </c>
      <c r="C1506" s="9" t="s">
        <v>40</v>
      </c>
      <c r="D1506" s="9" t="s">
        <v>27</v>
      </c>
      <c r="E1506" s="9">
        <v>1</v>
      </c>
      <c r="F1506" s="11">
        <v>38800</v>
      </c>
      <c r="G1506" s="9" t="str">
        <f>INDEX(Products!$B$2:$B$9,MATCH(D1506,Products!$A$2:$A$9,0))</f>
        <v>Trà gừng mật ong</v>
      </c>
      <c r="H1506" s="9" t="str">
        <f>INDEX(Products!$C$2:$C$9,MATCH(D1506,Products!$A$2:$A$9,0))</f>
        <v>Giữ ấm</v>
      </c>
      <c r="I1506" s="11">
        <f>INDEX(Products!$D$2:$D$9,MATCH(D1506,Products!$A$2:$A$9,0))</f>
        <v>11000</v>
      </c>
      <c r="J1506" s="10">
        <f>IFERROR(INDEX(PlatformFees!$C$2:$C$5,MATCH(C1506,PlatformFees!$A$2:$A$5,0)),0)</f>
        <v>0</v>
      </c>
      <c r="K1506" s="11">
        <f t="shared" si="92"/>
        <v>11000</v>
      </c>
      <c r="L1506" s="11">
        <f t="shared" si="93"/>
        <v>0</v>
      </c>
      <c r="M1506" s="11">
        <f t="shared" si="94"/>
        <v>27800</v>
      </c>
      <c r="N1506" s="10">
        <f t="shared" si="95"/>
        <v>0.71649484536082475</v>
      </c>
    </row>
    <row r="1507" spans="1:14" x14ac:dyDescent="0.3">
      <c r="A1507" s="9" t="s">
        <v>1642</v>
      </c>
      <c r="B1507" s="9" t="s">
        <v>1639</v>
      </c>
      <c r="C1507" s="9" t="s">
        <v>36</v>
      </c>
      <c r="D1507" s="9" t="s">
        <v>20</v>
      </c>
      <c r="E1507" s="9">
        <v>1</v>
      </c>
      <c r="F1507" s="11">
        <v>51300</v>
      </c>
      <c r="G1507" s="9" t="str">
        <f>INDEX(Products!$B$2:$B$9,MATCH(D1507,Products!$A$2:$A$9,0))</f>
        <v>Trà cà leo gai giảm cân</v>
      </c>
      <c r="H1507" s="9" t="str">
        <f>INDEX(Products!$C$2:$C$9,MATCH(D1507,Products!$A$2:$A$9,0))</f>
        <v>Detox</v>
      </c>
      <c r="I1507" s="11">
        <f>INDEX(Products!$D$2:$D$9,MATCH(D1507,Products!$A$2:$A$9,0))</f>
        <v>15000</v>
      </c>
      <c r="J1507" s="10">
        <f>IFERROR(INDEX(PlatformFees!$C$2:$C$5,MATCH(C1507,PlatformFees!$A$2:$A$5,0)),0)</f>
        <v>0.13</v>
      </c>
      <c r="K1507" s="11">
        <f t="shared" si="92"/>
        <v>15000</v>
      </c>
      <c r="L1507" s="11">
        <f t="shared" si="93"/>
        <v>6669</v>
      </c>
      <c r="M1507" s="11">
        <f t="shared" si="94"/>
        <v>29631</v>
      </c>
      <c r="N1507" s="10">
        <f t="shared" si="95"/>
        <v>0.57760233918128656</v>
      </c>
    </row>
    <row r="1508" spans="1:14" x14ac:dyDescent="0.3">
      <c r="A1508" s="9" t="s">
        <v>1643</v>
      </c>
      <c r="B1508" s="9" t="s">
        <v>1639</v>
      </c>
      <c r="C1508" s="9" t="s">
        <v>38</v>
      </c>
      <c r="D1508" s="9" t="s">
        <v>22</v>
      </c>
      <c r="E1508" s="9">
        <v>1</v>
      </c>
      <c r="F1508" s="11">
        <v>38300</v>
      </c>
      <c r="G1508" s="9" t="str">
        <f>INDEX(Products!$B$2:$B$9,MATCH(D1508,Products!$A$2:$A$9,0))</f>
        <v>Trà hoa cúc an thần</v>
      </c>
      <c r="H1508" s="9" t="str">
        <f>INDEX(Products!$C$2:$C$9,MATCH(D1508,Products!$A$2:$A$9,0))</f>
        <v>An thần</v>
      </c>
      <c r="I1508" s="11">
        <f>INDEX(Products!$D$2:$D$9,MATCH(D1508,Products!$A$2:$A$9,0))</f>
        <v>9500</v>
      </c>
      <c r="J1508" s="10">
        <f>IFERROR(INDEX(PlatformFees!$C$2:$C$5,MATCH(C1508,PlatformFees!$A$2:$A$5,0)),0)</f>
        <v>0.16</v>
      </c>
      <c r="K1508" s="11">
        <f t="shared" si="92"/>
        <v>9500</v>
      </c>
      <c r="L1508" s="11">
        <f t="shared" si="93"/>
        <v>6128</v>
      </c>
      <c r="M1508" s="11">
        <f t="shared" si="94"/>
        <v>22672</v>
      </c>
      <c r="N1508" s="10">
        <f t="shared" si="95"/>
        <v>0.59195822454308089</v>
      </c>
    </row>
    <row r="1509" spans="1:14" x14ac:dyDescent="0.3">
      <c r="A1509" s="9" t="s">
        <v>1644</v>
      </c>
      <c r="B1509" s="9" t="s">
        <v>1639</v>
      </c>
      <c r="C1509" s="9" t="s">
        <v>36</v>
      </c>
      <c r="D1509" s="9" t="s">
        <v>27</v>
      </c>
      <c r="E1509" s="9">
        <v>3</v>
      </c>
      <c r="F1509" s="11">
        <v>119400</v>
      </c>
      <c r="G1509" s="9" t="str">
        <f>INDEX(Products!$B$2:$B$9,MATCH(D1509,Products!$A$2:$A$9,0))</f>
        <v>Trà gừng mật ong</v>
      </c>
      <c r="H1509" s="9" t="str">
        <f>INDEX(Products!$C$2:$C$9,MATCH(D1509,Products!$A$2:$A$9,0))</f>
        <v>Giữ ấm</v>
      </c>
      <c r="I1509" s="11">
        <f>INDEX(Products!$D$2:$D$9,MATCH(D1509,Products!$A$2:$A$9,0))</f>
        <v>11000</v>
      </c>
      <c r="J1509" s="10">
        <f>IFERROR(INDEX(PlatformFees!$C$2:$C$5,MATCH(C1509,PlatformFees!$A$2:$A$5,0)),0)</f>
        <v>0.13</v>
      </c>
      <c r="K1509" s="11">
        <f t="shared" si="92"/>
        <v>33000</v>
      </c>
      <c r="L1509" s="11">
        <f t="shared" si="93"/>
        <v>15522</v>
      </c>
      <c r="M1509" s="11">
        <f t="shared" si="94"/>
        <v>70878</v>
      </c>
      <c r="N1509" s="10">
        <f t="shared" si="95"/>
        <v>0.59361809045226133</v>
      </c>
    </row>
    <row r="1510" spans="1:14" x14ac:dyDescent="0.3">
      <c r="A1510" s="9" t="s">
        <v>1645</v>
      </c>
      <c r="B1510" s="9" t="s">
        <v>1639</v>
      </c>
      <c r="C1510" s="9" t="s">
        <v>36</v>
      </c>
      <c r="D1510" s="9" t="s">
        <v>30</v>
      </c>
      <c r="E1510" s="9">
        <v>2</v>
      </c>
      <c r="F1510" s="11">
        <v>70600</v>
      </c>
      <c r="G1510" s="9" t="str">
        <f>INDEX(Products!$B$2:$B$9,MATCH(D1510,Products!$A$2:$A$9,0))</f>
        <v>Trà mâm xôi vitamin</v>
      </c>
      <c r="H1510" s="9" t="str">
        <f>INDEX(Products!$C$2:$C$9,MATCH(D1510,Products!$A$2:$A$9,0))</f>
        <v>Bổ sung dưỡng chất</v>
      </c>
      <c r="I1510" s="11">
        <f>INDEX(Products!$D$2:$D$9,MATCH(D1510,Products!$A$2:$A$9,0))</f>
        <v>9800</v>
      </c>
      <c r="J1510" s="10">
        <f>IFERROR(INDEX(PlatformFees!$C$2:$C$5,MATCH(C1510,PlatformFees!$A$2:$A$5,0)),0)</f>
        <v>0.13</v>
      </c>
      <c r="K1510" s="11">
        <f t="shared" si="92"/>
        <v>19600</v>
      </c>
      <c r="L1510" s="11">
        <f t="shared" si="93"/>
        <v>9178</v>
      </c>
      <c r="M1510" s="11">
        <f t="shared" si="94"/>
        <v>41822</v>
      </c>
      <c r="N1510" s="10">
        <f t="shared" si="95"/>
        <v>0.59237960339943341</v>
      </c>
    </row>
    <row r="1511" spans="1:14" x14ac:dyDescent="0.3">
      <c r="A1511" s="9" t="s">
        <v>1646</v>
      </c>
      <c r="B1511" s="9" t="s">
        <v>1639</v>
      </c>
      <c r="C1511" s="9" t="s">
        <v>36</v>
      </c>
      <c r="D1511" s="9" t="s">
        <v>30</v>
      </c>
      <c r="E1511" s="9">
        <v>1</v>
      </c>
      <c r="F1511" s="11">
        <v>36100</v>
      </c>
      <c r="G1511" s="9" t="str">
        <f>INDEX(Products!$B$2:$B$9,MATCH(D1511,Products!$A$2:$A$9,0))</f>
        <v>Trà mâm xôi vitamin</v>
      </c>
      <c r="H1511" s="9" t="str">
        <f>INDEX(Products!$C$2:$C$9,MATCH(D1511,Products!$A$2:$A$9,0))</f>
        <v>Bổ sung dưỡng chất</v>
      </c>
      <c r="I1511" s="11">
        <f>INDEX(Products!$D$2:$D$9,MATCH(D1511,Products!$A$2:$A$9,0))</f>
        <v>9800</v>
      </c>
      <c r="J1511" s="10">
        <f>IFERROR(INDEX(PlatformFees!$C$2:$C$5,MATCH(C1511,PlatformFees!$A$2:$A$5,0)),0)</f>
        <v>0.13</v>
      </c>
      <c r="K1511" s="11">
        <f t="shared" si="92"/>
        <v>9800</v>
      </c>
      <c r="L1511" s="11">
        <f t="shared" si="93"/>
        <v>4693</v>
      </c>
      <c r="M1511" s="11">
        <f t="shared" si="94"/>
        <v>21607</v>
      </c>
      <c r="N1511" s="10">
        <f t="shared" si="95"/>
        <v>0.5985318559556787</v>
      </c>
    </row>
    <row r="1512" spans="1:14" x14ac:dyDescent="0.3">
      <c r="A1512" s="9" t="s">
        <v>1647</v>
      </c>
      <c r="B1512" s="9" t="s">
        <v>1639</v>
      </c>
      <c r="C1512" s="9" t="s">
        <v>38</v>
      </c>
      <c r="D1512" s="9" t="s">
        <v>17</v>
      </c>
      <c r="E1512" s="9">
        <v>1</v>
      </c>
      <c r="F1512" s="11">
        <v>39900</v>
      </c>
      <c r="G1512" s="9" t="str">
        <f>INDEX(Products!$B$2:$B$9,MATCH(D1512,Products!$A$2:$A$9,0))</f>
        <v>Trà diếp cá rau má</v>
      </c>
      <c r="H1512" s="9" t="str">
        <f>INDEX(Products!$C$2:$C$9,MATCH(D1512,Products!$A$2:$A$9,0))</f>
        <v>Detox</v>
      </c>
      <c r="I1512" s="11">
        <f>INDEX(Products!$D$2:$D$9,MATCH(D1512,Products!$A$2:$A$9,0))</f>
        <v>10500</v>
      </c>
      <c r="J1512" s="10">
        <f>IFERROR(INDEX(PlatformFees!$C$2:$C$5,MATCH(C1512,PlatformFees!$A$2:$A$5,0)),0)</f>
        <v>0.16</v>
      </c>
      <c r="K1512" s="11">
        <f t="shared" si="92"/>
        <v>10500</v>
      </c>
      <c r="L1512" s="11">
        <f t="shared" si="93"/>
        <v>6384</v>
      </c>
      <c r="M1512" s="11">
        <f t="shared" si="94"/>
        <v>23016</v>
      </c>
      <c r="N1512" s="10">
        <f t="shared" si="95"/>
        <v>0.57684210526315793</v>
      </c>
    </row>
    <row r="1513" spans="1:14" x14ac:dyDescent="0.3">
      <c r="A1513" s="9" t="s">
        <v>1648</v>
      </c>
      <c r="B1513" s="9" t="s">
        <v>1639</v>
      </c>
      <c r="C1513" s="9" t="s">
        <v>39</v>
      </c>
      <c r="D1513" s="9" t="s">
        <v>15</v>
      </c>
      <c r="E1513" s="9">
        <v>1</v>
      </c>
      <c r="F1513" s="11">
        <v>31400</v>
      </c>
      <c r="G1513" s="9" t="str">
        <f>INDEX(Products!$B$2:$B$9,MATCH(D1513,Products!$A$2:$A$9,0))</f>
        <v>Trà lá nam sen ổi</v>
      </c>
      <c r="H1513" s="9" t="str">
        <f>INDEX(Products!$C$2:$C$9,MATCH(D1513,Products!$A$2:$A$9,0))</f>
        <v>Thanh lọc</v>
      </c>
      <c r="I1513" s="11">
        <f>INDEX(Products!$D$2:$D$9,MATCH(D1513,Products!$A$2:$A$9,0))</f>
        <v>8500</v>
      </c>
      <c r="J1513" s="10">
        <f>IFERROR(INDEX(PlatformFees!$C$2:$C$5,MATCH(C1513,PlatformFees!$A$2:$A$5,0)),0)</f>
        <v>0</v>
      </c>
      <c r="K1513" s="11">
        <f t="shared" si="92"/>
        <v>8500</v>
      </c>
      <c r="L1513" s="11">
        <f t="shared" si="93"/>
        <v>0</v>
      </c>
      <c r="M1513" s="11">
        <f t="shared" si="94"/>
        <v>22900</v>
      </c>
      <c r="N1513" s="10">
        <f t="shared" si="95"/>
        <v>0.72929936305732479</v>
      </c>
    </row>
    <row r="1514" spans="1:14" x14ac:dyDescent="0.3">
      <c r="A1514" s="9" t="s">
        <v>1649</v>
      </c>
      <c r="B1514" s="9" t="s">
        <v>1639</v>
      </c>
      <c r="C1514" s="9" t="s">
        <v>36</v>
      </c>
      <c r="D1514" s="9" t="s">
        <v>30</v>
      </c>
      <c r="E1514" s="9">
        <v>1</v>
      </c>
      <c r="F1514" s="11">
        <v>33600</v>
      </c>
      <c r="G1514" s="9" t="str">
        <f>INDEX(Products!$B$2:$B$9,MATCH(D1514,Products!$A$2:$A$9,0))</f>
        <v>Trà mâm xôi vitamin</v>
      </c>
      <c r="H1514" s="9" t="str">
        <f>INDEX(Products!$C$2:$C$9,MATCH(D1514,Products!$A$2:$A$9,0))</f>
        <v>Bổ sung dưỡng chất</v>
      </c>
      <c r="I1514" s="11">
        <f>INDEX(Products!$D$2:$D$9,MATCH(D1514,Products!$A$2:$A$9,0))</f>
        <v>9800</v>
      </c>
      <c r="J1514" s="10">
        <f>IFERROR(INDEX(PlatformFees!$C$2:$C$5,MATCH(C1514,PlatformFees!$A$2:$A$5,0)),0)</f>
        <v>0.13</v>
      </c>
      <c r="K1514" s="11">
        <f t="shared" si="92"/>
        <v>9800</v>
      </c>
      <c r="L1514" s="11">
        <f t="shared" si="93"/>
        <v>4368</v>
      </c>
      <c r="M1514" s="11">
        <f t="shared" si="94"/>
        <v>19432</v>
      </c>
      <c r="N1514" s="10">
        <f t="shared" si="95"/>
        <v>0.57833333333333337</v>
      </c>
    </row>
    <row r="1515" spans="1:14" x14ac:dyDescent="0.3">
      <c r="A1515" s="9" t="s">
        <v>1650</v>
      </c>
      <c r="B1515" s="9" t="s">
        <v>1639</v>
      </c>
      <c r="C1515" s="9" t="s">
        <v>39</v>
      </c>
      <c r="D1515" s="9" t="s">
        <v>25</v>
      </c>
      <c r="E1515" s="9">
        <v>2</v>
      </c>
      <c r="F1515" s="11">
        <v>68400</v>
      </c>
      <c r="G1515" s="9" t="str">
        <f>INDEX(Products!$B$2:$B$9,MATCH(D1515,Products!$A$2:$A$9,0))</f>
        <v>Trà hoa đậu biếc</v>
      </c>
      <c r="H1515" s="9" t="str">
        <f>INDEX(Products!$C$2:$C$9,MATCH(D1515,Products!$A$2:$A$9,0))</f>
        <v>An thần</v>
      </c>
      <c r="I1515" s="11">
        <f>INDEX(Products!$D$2:$D$9,MATCH(D1515,Products!$A$2:$A$9,0))</f>
        <v>8800</v>
      </c>
      <c r="J1515" s="10">
        <f>IFERROR(INDEX(PlatformFees!$C$2:$C$5,MATCH(C1515,PlatformFees!$A$2:$A$5,0)),0)</f>
        <v>0</v>
      </c>
      <c r="K1515" s="11">
        <f t="shared" si="92"/>
        <v>17600</v>
      </c>
      <c r="L1515" s="11">
        <f t="shared" si="93"/>
        <v>0</v>
      </c>
      <c r="M1515" s="11">
        <f t="shared" si="94"/>
        <v>50800</v>
      </c>
      <c r="N1515" s="10">
        <f t="shared" si="95"/>
        <v>0.74269005847953218</v>
      </c>
    </row>
    <row r="1516" spans="1:14" x14ac:dyDescent="0.3">
      <c r="A1516" s="9" t="s">
        <v>1651</v>
      </c>
      <c r="B1516" s="9" t="s">
        <v>1639</v>
      </c>
      <c r="C1516" s="9" t="s">
        <v>36</v>
      </c>
      <c r="D1516" s="9" t="s">
        <v>20</v>
      </c>
      <c r="E1516" s="9">
        <v>1</v>
      </c>
      <c r="F1516" s="11">
        <v>50600</v>
      </c>
      <c r="G1516" s="9" t="str">
        <f>INDEX(Products!$B$2:$B$9,MATCH(D1516,Products!$A$2:$A$9,0))</f>
        <v>Trà cà leo gai giảm cân</v>
      </c>
      <c r="H1516" s="9" t="str">
        <f>INDEX(Products!$C$2:$C$9,MATCH(D1516,Products!$A$2:$A$9,0))</f>
        <v>Detox</v>
      </c>
      <c r="I1516" s="11">
        <f>INDEX(Products!$D$2:$D$9,MATCH(D1516,Products!$A$2:$A$9,0))</f>
        <v>15000</v>
      </c>
      <c r="J1516" s="10">
        <f>IFERROR(INDEX(PlatformFees!$C$2:$C$5,MATCH(C1516,PlatformFees!$A$2:$A$5,0)),0)</f>
        <v>0.13</v>
      </c>
      <c r="K1516" s="11">
        <f t="shared" si="92"/>
        <v>15000</v>
      </c>
      <c r="L1516" s="11">
        <f t="shared" si="93"/>
        <v>6578</v>
      </c>
      <c r="M1516" s="11">
        <f t="shared" si="94"/>
        <v>29022</v>
      </c>
      <c r="N1516" s="10">
        <f t="shared" si="95"/>
        <v>0.57355731225296447</v>
      </c>
    </row>
    <row r="1517" spans="1:14" x14ac:dyDescent="0.3">
      <c r="A1517" s="9" t="s">
        <v>1652</v>
      </c>
      <c r="B1517" s="9" t="s">
        <v>1639</v>
      </c>
      <c r="C1517" s="9" t="s">
        <v>40</v>
      </c>
      <c r="D1517" s="9" t="s">
        <v>25</v>
      </c>
      <c r="E1517" s="9">
        <v>2</v>
      </c>
      <c r="F1517" s="11">
        <v>69200</v>
      </c>
      <c r="G1517" s="9" t="str">
        <f>INDEX(Products!$B$2:$B$9,MATCH(D1517,Products!$A$2:$A$9,0))</f>
        <v>Trà hoa đậu biếc</v>
      </c>
      <c r="H1517" s="9" t="str">
        <f>INDEX(Products!$C$2:$C$9,MATCH(D1517,Products!$A$2:$A$9,0))</f>
        <v>An thần</v>
      </c>
      <c r="I1517" s="11">
        <f>INDEX(Products!$D$2:$D$9,MATCH(D1517,Products!$A$2:$A$9,0))</f>
        <v>8800</v>
      </c>
      <c r="J1517" s="10">
        <f>IFERROR(INDEX(PlatformFees!$C$2:$C$5,MATCH(C1517,PlatformFees!$A$2:$A$5,0)),0)</f>
        <v>0</v>
      </c>
      <c r="K1517" s="11">
        <f t="shared" si="92"/>
        <v>17600</v>
      </c>
      <c r="L1517" s="11">
        <f t="shared" si="93"/>
        <v>0</v>
      </c>
      <c r="M1517" s="11">
        <f t="shared" si="94"/>
        <v>51600</v>
      </c>
      <c r="N1517" s="10">
        <f t="shared" si="95"/>
        <v>0.74566473988439308</v>
      </c>
    </row>
    <row r="1518" spans="1:14" x14ac:dyDescent="0.3">
      <c r="A1518" s="9" t="s">
        <v>1653</v>
      </c>
      <c r="B1518" s="9" t="s">
        <v>1639</v>
      </c>
      <c r="C1518" s="9" t="s">
        <v>36</v>
      </c>
      <c r="D1518" s="9" t="s">
        <v>27</v>
      </c>
      <c r="E1518" s="9">
        <v>2</v>
      </c>
      <c r="F1518" s="11">
        <v>79700</v>
      </c>
      <c r="G1518" s="9" t="str">
        <f>INDEX(Products!$B$2:$B$9,MATCH(D1518,Products!$A$2:$A$9,0))</f>
        <v>Trà gừng mật ong</v>
      </c>
      <c r="H1518" s="9" t="str">
        <f>INDEX(Products!$C$2:$C$9,MATCH(D1518,Products!$A$2:$A$9,0))</f>
        <v>Giữ ấm</v>
      </c>
      <c r="I1518" s="11">
        <f>INDEX(Products!$D$2:$D$9,MATCH(D1518,Products!$A$2:$A$9,0))</f>
        <v>11000</v>
      </c>
      <c r="J1518" s="10">
        <f>IFERROR(INDEX(PlatformFees!$C$2:$C$5,MATCH(C1518,PlatformFees!$A$2:$A$5,0)),0)</f>
        <v>0.13</v>
      </c>
      <c r="K1518" s="11">
        <f t="shared" si="92"/>
        <v>22000</v>
      </c>
      <c r="L1518" s="11">
        <f t="shared" si="93"/>
        <v>10361</v>
      </c>
      <c r="M1518" s="11">
        <f t="shared" si="94"/>
        <v>47339</v>
      </c>
      <c r="N1518" s="10">
        <f t="shared" si="95"/>
        <v>0.59396486825595984</v>
      </c>
    </row>
    <row r="1519" spans="1:14" x14ac:dyDescent="0.3">
      <c r="A1519" s="9" t="s">
        <v>1654</v>
      </c>
      <c r="B1519" s="9" t="s">
        <v>1639</v>
      </c>
      <c r="C1519" s="9" t="s">
        <v>36</v>
      </c>
      <c r="D1519" s="9" t="s">
        <v>22</v>
      </c>
      <c r="E1519" s="9">
        <v>2</v>
      </c>
      <c r="F1519" s="11">
        <v>73700</v>
      </c>
      <c r="G1519" s="9" t="str">
        <f>INDEX(Products!$B$2:$B$9,MATCH(D1519,Products!$A$2:$A$9,0))</f>
        <v>Trà hoa cúc an thần</v>
      </c>
      <c r="H1519" s="9" t="str">
        <f>INDEX(Products!$C$2:$C$9,MATCH(D1519,Products!$A$2:$A$9,0))</f>
        <v>An thần</v>
      </c>
      <c r="I1519" s="11">
        <f>INDEX(Products!$D$2:$D$9,MATCH(D1519,Products!$A$2:$A$9,0))</f>
        <v>9500</v>
      </c>
      <c r="J1519" s="10">
        <f>IFERROR(INDEX(PlatformFees!$C$2:$C$5,MATCH(C1519,PlatformFees!$A$2:$A$5,0)),0)</f>
        <v>0.13</v>
      </c>
      <c r="K1519" s="11">
        <f t="shared" si="92"/>
        <v>19000</v>
      </c>
      <c r="L1519" s="11">
        <f t="shared" si="93"/>
        <v>9581</v>
      </c>
      <c r="M1519" s="11">
        <f t="shared" si="94"/>
        <v>45119</v>
      </c>
      <c r="N1519" s="10">
        <f t="shared" si="95"/>
        <v>0.61219810040705558</v>
      </c>
    </row>
    <row r="1520" spans="1:14" x14ac:dyDescent="0.3">
      <c r="A1520" s="9" t="s">
        <v>1655</v>
      </c>
      <c r="B1520" s="9" t="s">
        <v>1639</v>
      </c>
      <c r="C1520" s="9" t="s">
        <v>36</v>
      </c>
      <c r="D1520" s="9" t="s">
        <v>15</v>
      </c>
      <c r="E1520" s="9">
        <v>3</v>
      </c>
      <c r="F1520" s="11">
        <v>88700</v>
      </c>
      <c r="G1520" s="9" t="str">
        <f>INDEX(Products!$B$2:$B$9,MATCH(D1520,Products!$A$2:$A$9,0))</f>
        <v>Trà lá nam sen ổi</v>
      </c>
      <c r="H1520" s="9" t="str">
        <f>INDEX(Products!$C$2:$C$9,MATCH(D1520,Products!$A$2:$A$9,0))</f>
        <v>Thanh lọc</v>
      </c>
      <c r="I1520" s="11">
        <f>INDEX(Products!$D$2:$D$9,MATCH(D1520,Products!$A$2:$A$9,0))</f>
        <v>8500</v>
      </c>
      <c r="J1520" s="10">
        <f>IFERROR(INDEX(PlatformFees!$C$2:$C$5,MATCH(C1520,PlatformFees!$A$2:$A$5,0)),0)</f>
        <v>0.13</v>
      </c>
      <c r="K1520" s="11">
        <f t="shared" si="92"/>
        <v>25500</v>
      </c>
      <c r="L1520" s="11">
        <f t="shared" si="93"/>
        <v>11531</v>
      </c>
      <c r="M1520" s="11">
        <f t="shared" si="94"/>
        <v>51669</v>
      </c>
      <c r="N1520" s="10">
        <f t="shared" si="95"/>
        <v>0.58251409244644869</v>
      </c>
    </row>
    <row r="1521" spans="1:14" x14ac:dyDescent="0.3">
      <c r="A1521" s="9" t="s">
        <v>1656</v>
      </c>
      <c r="B1521" s="9" t="s">
        <v>1657</v>
      </c>
      <c r="C1521" s="9" t="s">
        <v>39</v>
      </c>
      <c r="D1521" s="9" t="s">
        <v>25</v>
      </c>
      <c r="E1521" s="9">
        <v>1</v>
      </c>
      <c r="F1521" s="11">
        <v>33600</v>
      </c>
      <c r="G1521" s="9" t="str">
        <f>INDEX(Products!$B$2:$B$9,MATCH(D1521,Products!$A$2:$A$9,0))</f>
        <v>Trà hoa đậu biếc</v>
      </c>
      <c r="H1521" s="9" t="str">
        <f>INDEX(Products!$C$2:$C$9,MATCH(D1521,Products!$A$2:$A$9,0))</f>
        <v>An thần</v>
      </c>
      <c r="I1521" s="11">
        <f>INDEX(Products!$D$2:$D$9,MATCH(D1521,Products!$A$2:$A$9,0))</f>
        <v>8800</v>
      </c>
      <c r="J1521" s="10">
        <f>IFERROR(INDEX(PlatformFees!$C$2:$C$5,MATCH(C1521,PlatformFees!$A$2:$A$5,0)),0)</f>
        <v>0</v>
      </c>
      <c r="K1521" s="11">
        <f t="shared" si="92"/>
        <v>8800</v>
      </c>
      <c r="L1521" s="11">
        <f t="shared" si="93"/>
        <v>0</v>
      </c>
      <c r="M1521" s="11">
        <f t="shared" si="94"/>
        <v>24800</v>
      </c>
      <c r="N1521" s="10">
        <f t="shared" si="95"/>
        <v>0.73809523809523814</v>
      </c>
    </row>
    <row r="1522" spans="1:14" x14ac:dyDescent="0.3">
      <c r="A1522" s="9" t="s">
        <v>1658</v>
      </c>
      <c r="B1522" s="9" t="s">
        <v>1657</v>
      </c>
      <c r="C1522" s="9" t="s">
        <v>39</v>
      </c>
      <c r="D1522" s="9" t="s">
        <v>17</v>
      </c>
      <c r="E1522" s="9">
        <v>1</v>
      </c>
      <c r="F1522" s="11">
        <v>41200</v>
      </c>
      <c r="G1522" s="9" t="str">
        <f>INDEX(Products!$B$2:$B$9,MATCH(D1522,Products!$A$2:$A$9,0))</f>
        <v>Trà diếp cá rau má</v>
      </c>
      <c r="H1522" s="9" t="str">
        <f>INDEX(Products!$C$2:$C$9,MATCH(D1522,Products!$A$2:$A$9,0))</f>
        <v>Detox</v>
      </c>
      <c r="I1522" s="11">
        <f>INDEX(Products!$D$2:$D$9,MATCH(D1522,Products!$A$2:$A$9,0))</f>
        <v>10500</v>
      </c>
      <c r="J1522" s="10">
        <f>IFERROR(INDEX(PlatformFees!$C$2:$C$5,MATCH(C1522,PlatformFees!$A$2:$A$5,0)),0)</f>
        <v>0</v>
      </c>
      <c r="K1522" s="11">
        <f t="shared" si="92"/>
        <v>10500</v>
      </c>
      <c r="L1522" s="11">
        <f t="shared" si="93"/>
        <v>0</v>
      </c>
      <c r="M1522" s="11">
        <f t="shared" si="94"/>
        <v>30700</v>
      </c>
      <c r="N1522" s="10">
        <f t="shared" si="95"/>
        <v>0.74514563106796117</v>
      </c>
    </row>
    <row r="1523" spans="1:14" x14ac:dyDescent="0.3">
      <c r="A1523" s="9" t="s">
        <v>1659</v>
      </c>
      <c r="B1523" s="9" t="s">
        <v>1657</v>
      </c>
      <c r="C1523" s="9" t="s">
        <v>36</v>
      </c>
      <c r="D1523" s="9" t="s">
        <v>30</v>
      </c>
      <c r="E1523" s="9">
        <v>1</v>
      </c>
      <c r="F1523" s="11">
        <v>35600</v>
      </c>
      <c r="G1523" s="9" t="str">
        <f>INDEX(Products!$B$2:$B$9,MATCH(D1523,Products!$A$2:$A$9,0))</f>
        <v>Trà mâm xôi vitamin</v>
      </c>
      <c r="H1523" s="9" t="str">
        <f>INDEX(Products!$C$2:$C$9,MATCH(D1523,Products!$A$2:$A$9,0))</f>
        <v>Bổ sung dưỡng chất</v>
      </c>
      <c r="I1523" s="11">
        <f>INDEX(Products!$D$2:$D$9,MATCH(D1523,Products!$A$2:$A$9,0))</f>
        <v>9800</v>
      </c>
      <c r="J1523" s="10">
        <f>IFERROR(INDEX(PlatformFees!$C$2:$C$5,MATCH(C1523,PlatformFees!$A$2:$A$5,0)),0)</f>
        <v>0.13</v>
      </c>
      <c r="K1523" s="11">
        <f t="shared" si="92"/>
        <v>9800</v>
      </c>
      <c r="L1523" s="11">
        <f t="shared" si="93"/>
        <v>4628</v>
      </c>
      <c r="M1523" s="11">
        <f t="shared" si="94"/>
        <v>21172</v>
      </c>
      <c r="N1523" s="10">
        <f t="shared" si="95"/>
        <v>0.59471910112359549</v>
      </c>
    </row>
    <row r="1524" spans="1:14" x14ac:dyDescent="0.3">
      <c r="A1524" s="9" t="s">
        <v>1660</v>
      </c>
      <c r="B1524" s="9" t="s">
        <v>1657</v>
      </c>
      <c r="C1524" s="9" t="s">
        <v>39</v>
      </c>
      <c r="D1524" s="9" t="s">
        <v>30</v>
      </c>
      <c r="E1524" s="9">
        <v>2</v>
      </c>
      <c r="F1524" s="11">
        <v>68000</v>
      </c>
      <c r="G1524" s="9" t="str">
        <f>INDEX(Products!$B$2:$B$9,MATCH(D1524,Products!$A$2:$A$9,0))</f>
        <v>Trà mâm xôi vitamin</v>
      </c>
      <c r="H1524" s="9" t="str">
        <f>INDEX(Products!$C$2:$C$9,MATCH(D1524,Products!$A$2:$A$9,0))</f>
        <v>Bổ sung dưỡng chất</v>
      </c>
      <c r="I1524" s="11">
        <f>INDEX(Products!$D$2:$D$9,MATCH(D1524,Products!$A$2:$A$9,0))</f>
        <v>9800</v>
      </c>
      <c r="J1524" s="10">
        <f>IFERROR(INDEX(PlatformFees!$C$2:$C$5,MATCH(C1524,PlatformFees!$A$2:$A$5,0)),0)</f>
        <v>0</v>
      </c>
      <c r="K1524" s="11">
        <f t="shared" si="92"/>
        <v>19600</v>
      </c>
      <c r="L1524" s="11">
        <f t="shared" si="93"/>
        <v>0</v>
      </c>
      <c r="M1524" s="11">
        <f t="shared" si="94"/>
        <v>48400</v>
      </c>
      <c r="N1524" s="10">
        <f t="shared" si="95"/>
        <v>0.71176470588235297</v>
      </c>
    </row>
    <row r="1525" spans="1:14" x14ac:dyDescent="0.3">
      <c r="A1525" s="9" t="s">
        <v>1661</v>
      </c>
      <c r="B1525" s="9" t="s">
        <v>1657</v>
      </c>
      <c r="C1525" s="9" t="s">
        <v>39</v>
      </c>
      <c r="D1525" s="9" t="s">
        <v>25</v>
      </c>
      <c r="E1525" s="9">
        <v>1</v>
      </c>
      <c r="F1525" s="11">
        <v>31500</v>
      </c>
      <c r="G1525" s="9" t="str">
        <f>INDEX(Products!$B$2:$B$9,MATCH(D1525,Products!$A$2:$A$9,0))</f>
        <v>Trà hoa đậu biếc</v>
      </c>
      <c r="H1525" s="9" t="str">
        <f>INDEX(Products!$C$2:$C$9,MATCH(D1525,Products!$A$2:$A$9,0))</f>
        <v>An thần</v>
      </c>
      <c r="I1525" s="11">
        <f>INDEX(Products!$D$2:$D$9,MATCH(D1525,Products!$A$2:$A$9,0))</f>
        <v>8800</v>
      </c>
      <c r="J1525" s="10">
        <f>IFERROR(INDEX(PlatformFees!$C$2:$C$5,MATCH(C1525,PlatformFees!$A$2:$A$5,0)),0)</f>
        <v>0</v>
      </c>
      <c r="K1525" s="11">
        <f t="shared" si="92"/>
        <v>8800</v>
      </c>
      <c r="L1525" s="11">
        <f t="shared" si="93"/>
        <v>0</v>
      </c>
      <c r="M1525" s="11">
        <f t="shared" si="94"/>
        <v>22700</v>
      </c>
      <c r="N1525" s="10">
        <f t="shared" si="95"/>
        <v>0.72063492063492063</v>
      </c>
    </row>
    <row r="1526" spans="1:14" x14ac:dyDescent="0.3">
      <c r="A1526" s="9" t="s">
        <v>1662</v>
      </c>
      <c r="B1526" s="9" t="s">
        <v>1657</v>
      </c>
      <c r="C1526" s="9" t="s">
        <v>36</v>
      </c>
      <c r="D1526" s="9" t="s">
        <v>15</v>
      </c>
      <c r="E1526" s="9">
        <v>2</v>
      </c>
      <c r="F1526" s="11">
        <v>62400</v>
      </c>
      <c r="G1526" s="9" t="str">
        <f>INDEX(Products!$B$2:$B$9,MATCH(D1526,Products!$A$2:$A$9,0))</f>
        <v>Trà lá nam sen ổi</v>
      </c>
      <c r="H1526" s="9" t="str">
        <f>INDEX(Products!$C$2:$C$9,MATCH(D1526,Products!$A$2:$A$9,0))</f>
        <v>Thanh lọc</v>
      </c>
      <c r="I1526" s="11">
        <f>INDEX(Products!$D$2:$D$9,MATCH(D1526,Products!$A$2:$A$9,0))</f>
        <v>8500</v>
      </c>
      <c r="J1526" s="10">
        <f>IFERROR(INDEX(PlatformFees!$C$2:$C$5,MATCH(C1526,PlatformFees!$A$2:$A$5,0)),0)</f>
        <v>0.13</v>
      </c>
      <c r="K1526" s="11">
        <f t="shared" si="92"/>
        <v>17000</v>
      </c>
      <c r="L1526" s="11">
        <f t="shared" si="93"/>
        <v>8112</v>
      </c>
      <c r="M1526" s="11">
        <f t="shared" si="94"/>
        <v>37288</v>
      </c>
      <c r="N1526" s="10">
        <f t="shared" si="95"/>
        <v>0.59756410256410253</v>
      </c>
    </row>
    <row r="1527" spans="1:14" x14ac:dyDescent="0.3">
      <c r="A1527" s="9" t="s">
        <v>1663</v>
      </c>
      <c r="B1527" s="9" t="s">
        <v>1657</v>
      </c>
      <c r="C1527" s="9" t="s">
        <v>36</v>
      </c>
      <c r="D1527" s="9" t="s">
        <v>30</v>
      </c>
      <c r="E1527" s="9">
        <v>1</v>
      </c>
      <c r="F1527" s="11">
        <v>35700</v>
      </c>
      <c r="G1527" s="9" t="str">
        <f>INDEX(Products!$B$2:$B$9,MATCH(D1527,Products!$A$2:$A$9,0))</f>
        <v>Trà mâm xôi vitamin</v>
      </c>
      <c r="H1527" s="9" t="str">
        <f>INDEX(Products!$C$2:$C$9,MATCH(D1527,Products!$A$2:$A$9,0))</f>
        <v>Bổ sung dưỡng chất</v>
      </c>
      <c r="I1527" s="11">
        <f>INDEX(Products!$D$2:$D$9,MATCH(D1527,Products!$A$2:$A$9,0))</f>
        <v>9800</v>
      </c>
      <c r="J1527" s="10">
        <f>IFERROR(INDEX(PlatformFees!$C$2:$C$5,MATCH(C1527,PlatformFees!$A$2:$A$5,0)),0)</f>
        <v>0.13</v>
      </c>
      <c r="K1527" s="11">
        <f t="shared" si="92"/>
        <v>9800</v>
      </c>
      <c r="L1527" s="11">
        <f t="shared" si="93"/>
        <v>4641</v>
      </c>
      <c r="M1527" s="11">
        <f t="shared" si="94"/>
        <v>21259</v>
      </c>
      <c r="N1527" s="10">
        <f t="shared" si="95"/>
        <v>0.59549019607843134</v>
      </c>
    </row>
    <row r="1528" spans="1:14" x14ac:dyDescent="0.3">
      <c r="A1528" s="9" t="s">
        <v>1664</v>
      </c>
      <c r="B1528" s="9" t="s">
        <v>1657</v>
      </c>
      <c r="C1528" s="9" t="s">
        <v>36</v>
      </c>
      <c r="D1528" s="9" t="s">
        <v>20</v>
      </c>
      <c r="E1528" s="9">
        <v>1</v>
      </c>
      <c r="F1528" s="11">
        <v>54300</v>
      </c>
      <c r="G1528" s="9" t="str">
        <f>INDEX(Products!$B$2:$B$9,MATCH(D1528,Products!$A$2:$A$9,0))</f>
        <v>Trà cà leo gai giảm cân</v>
      </c>
      <c r="H1528" s="9" t="str">
        <f>INDEX(Products!$C$2:$C$9,MATCH(D1528,Products!$A$2:$A$9,0))</f>
        <v>Detox</v>
      </c>
      <c r="I1528" s="11">
        <f>INDEX(Products!$D$2:$D$9,MATCH(D1528,Products!$A$2:$A$9,0))</f>
        <v>15000</v>
      </c>
      <c r="J1528" s="10">
        <f>IFERROR(INDEX(PlatformFees!$C$2:$C$5,MATCH(C1528,PlatformFees!$A$2:$A$5,0)),0)</f>
        <v>0.13</v>
      </c>
      <c r="K1528" s="11">
        <f t="shared" si="92"/>
        <v>15000</v>
      </c>
      <c r="L1528" s="11">
        <f t="shared" si="93"/>
        <v>7059</v>
      </c>
      <c r="M1528" s="11">
        <f t="shared" si="94"/>
        <v>32241</v>
      </c>
      <c r="N1528" s="10">
        <f t="shared" si="95"/>
        <v>0.5937569060773481</v>
      </c>
    </row>
    <row r="1529" spans="1:14" x14ac:dyDescent="0.3">
      <c r="A1529" s="9" t="s">
        <v>1665</v>
      </c>
      <c r="B1529" s="9" t="s">
        <v>1657</v>
      </c>
      <c r="C1529" s="9" t="s">
        <v>39</v>
      </c>
      <c r="D1529" s="9" t="s">
        <v>22</v>
      </c>
      <c r="E1529" s="9">
        <v>1</v>
      </c>
      <c r="F1529" s="11">
        <v>38100</v>
      </c>
      <c r="G1529" s="9" t="str">
        <f>INDEX(Products!$B$2:$B$9,MATCH(D1529,Products!$A$2:$A$9,0))</f>
        <v>Trà hoa cúc an thần</v>
      </c>
      <c r="H1529" s="9" t="str">
        <f>INDEX(Products!$C$2:$C$9,MATCH(D1529,Products!$A$2:$A$9,0))</f>
        <v>An thần</v>
      </c>
      <c r="I1529" s="11">
        <f>INDEX(Products!$D$2:$D$9,MATCH(D1529,Products!$A$2:$A$9,0))</f>
        <v>9500</v>
      </c>
      <c r="J1529" s="10">
        <f>IFERROR(INDEX(PlatformFees!$C$2:$C$5,MATCH(C1529,PlatformFees!$A$2:$A$5,0)),0)</f>
        <v>0</v>
      </c>
      <c r="K1529" s="11">
        <f t="shared" si="92"/>
        <v>9500</v>
      </c>
      <c r="L1529" s="11">
        <f t="shared" si="93"/>
        <v>0</v>
      </c>
      <c r="M1529" s="11">
        <f t="shared" si="94"/>
        <v>28600</v>
      </c>
      <c r="N1529" s="10">
        <f t="shared" si="95"/>
        <v>0.75065616797900259</v>
      </c>
    </row>
    <row r="1530" spans="1:14" x14ac:dyDescent="0.3">
      <c r="A1530" s="9" t="s">
        <v>1666</v>
      </c>
      <c r="B1530" s="9" t="s">
        <v>1657</v>
      </c>
      <c r="C1530" s="9" t="s">
        <v>40</v>
      </c>
      <c r="D1530" s="9" t="s">
        <v>15</v>
      </c>
      <c r="E1530" s="9">
        <v>1</v>
      </c>
      <c r="F1530" s="11">
        <v>31100</v>
      </c>
      <c r="G1530" s="9" t="str">
        <f>INDEX(Products!$B$2:$B$9,MATCH(D1530,Products!$A$2:$A$9,0))</f>
        <v>Trà lá nam sen ổi</v>
      </c>
      <c r="H1530" s="9" t="str">
        <f>INDEX(Products!$C$2:$C$9,MATCH(D1530,Products!$A$2:$A$9,0))</f>
        <v>Thanh lọc</v>
      </c>
      <c r="I1530" s="11">
        <f>INDEX(Products!$D$2:$D$9,MATCH(D1530,Products!$A$2:$A$9,0))</f>
        <v>8500</v>
      </c>
      <c r="J1530" s="10">
        <f>IFERROR(INDEX(PlatformFees!$C$2:$C$5,MATCH(C1530,PlatformFees!$A$2:$A$5,0)),0)</f>
        <v>0</v>
      </c>
      <c r="K1530" s="11">
        <f t="shared" si="92"/>
        <v>8500</v>
      </c>
      <c r="L1530" s="11">
        <f t="shared" si="93"/>
        <v>0</v>
      </c>
      <c r="M1530" s="11">
        <f t="shared" si="94"/>
        <v>22600</v>
      </c>
      <c r="N1530" s="10">
        <f t="shared" si="95"/>
        <v>0.72668810289389063</v>
      </c>
    </row>
    <row r="1531" spans="1:14" x14ac:dyDescent="0.3">
      <c r="A1531" s="9" t="s">
        <v>1667</v>
      </c>
      <c r="B1531" s="9" t="s">
        <v>1657</v>
      </c>
      <c r="C1531" s="9" t="s">
        <v>36</v>
      </c>
      <c r="D1531" s="9" t="s">
        <v>27</v>
      </c>
      <c r="E1531" s="9">
        <v>3</v>
      </c>
      <c r="F1531" s="11">
        <v>116300</v>
      </c>
      <c r="G1531" s="9" t="str">
        <f>INDEX(Products!$B$2:$B$9,MATCH(D1531,Products!$A$2:$A$9,0))</f>
        <v>Trà gừng mật ong</v>
      </c>
      <c r="H1531" s="9" t="str">
        <f>INDEX(Products!$C$2:$C$9,MATCH(D1531,Products!$A$2:$A$9,0))</f>
        <v>Giữ ấm</v>
      </c>
      <c r="I1531" s="11">
        <f>INDEX(Products!$D$2:$D$9,MATCH(D1531,Products!$A$2:$A$9,0))</f>
        <v>11000</v>
      </c>
      <c r="J1531" s="10">
        <f>IFERROR(INDEX(PlatformFees!$C$2:$C$5,MATCH(C1531,PlatformFees!$A$2:$A$5,0)),0)</f>
        <v>0.13</v>
      </c>
      <c r="K1531" s="11">
        <f t="shared" si="92"/>
        <v>33000</v>
      </c>
      <c r="L1531" s="11">
        <f t="shared" si="93"/>
        <v>15119</v>
      </c>
      <c r="M1531" s="11">
        <f t="shared" si="94"/>
        <v>68181</v>
      </c>
      <c r="N1531" s="10">
        <f t="shared" si="95"/>
        <v>0.58625107480653482</v>
      </c>
    </row>
    <row r="1532" spans="1:14" x14ac:dyDescent="0.3">
      <c r="A1532" s="9" t="s">
        <v>1668</v>
      </c>
      <c r="B1532" s="9" t="s">
        <v>1657</v>
      </c>
      <c r="C1532" s="9" t="s">
        <v>38</v>
      </c>
      <c r="D1532" s="9" t="s">
        <v>20</v>
      </c>
      <c r="E1532" s="9">
        <v>3</v>
      </c>
      <c r="F1532" s="11">
        <v>164100</v>
      </c>
      <c r="G1532" s="9" t="str">
        <f>INDEX(Products!$B$2:$B$9,MATCH(D1532,Products!$A$2:$A$9,0))</f>
        <v>Trà cà leo gai giảm cân</v>
      </c>
      <c r="H1532" s="9" t="str">
        <f>INDEX(Products!$C$2:$C$9,MATCH(D1532,Products!$A$2:$A$9,0))</f>
        <v>Detox</v>
      </c>
      <c r="I1532" s="11">
        <f>INDEX(Products!$D$2:$D$9,MATCH(D1532,Products!$A$2:$A$9,0))</f>
        <v>15000</v>
      </c>
      <c r="J1532" s="10">
        <f>IFERROR(INDEX(PlatformFees!$C$2:$C$5,MATCH(C1532,PlatformFees!$A$2:$A$5,0)),0)</f>
        <v>0.16</v>
      </c>
      <c r="K1532" s="11">
        <f t="shared" si="92"/>
        <v>45000</v>
      </c>
      <c r="L1532" s="11">
        <f t="shared" si="93"/>
        <v>26256</v>
      </c>
      <c r="M1532" s="11">
        <f t="shared" si="94"/>
        <v>92844</v>
      </c>
      <c r="N1532" s="10">
        <f t="shared" si="95"/>
        <v>0.56577696526508225</v>
      </c>
    </row>
    <row r="1533" spans="1:14" x14ac:dyDescent="0.3">
      <c r="A1533" s="9" t="s">
        <v>1669</v>
      </c>
      <c r="B1533" s="9" t="s">
        <v>1670</v>
      </c>
      <c r="C1533" s="9" t="s">
        <v>36</v>
      </c>
      <c r="D1533" s="9" t="s">
        <v>15</v>
      </c>
      <c r="E1533" s="9">
        <v>1</v>
      </c>
      <c r="F1533" s="11">
        <v>29800</v>
      </c>
      <c r="G1533" s="9" t="str">
        <f>INDEX(Products!$B$2:$B$9,MATCH(D1533,Products!$A$2:$A$9,0))</f>
        <v>Trà lá nam sen ổi</v>
      </c>
      <c r="H1533" s="9" t="str">
        <f>INDEX(Products!$C$2:$C$9,MATCH(D1533,Products!$A$2:$A$9,0))</f>
        <v>Thanh lọc</v>
      </c>
      <c r="I1533" s="11">
        <f>INDEX(Products!$D$2:$D$9,MATCH(D1533,Products!$A$2:$A$9,0))</f>
        <v>8500</v>
      </c>
      <c r="J1533" s="10">
        <f>IFERROR(INDEX(PlatformFees!$C$2:$C$5,MATCH(C1533,PlatformFees!$A$2:$A$5,0)),0)</f>
        <v>0.13</v>
      </c>
      <c r="K1533" s="11">
        <f t="shared" si="92"/>
        <v>8500</v>
      </c>
      <c r="L1533" s="11">
        <f t="shared" si="93"/>
        <v>3874</v>
      </c>
      <c r="M1533" s="11">
        <f t="shared" si="94"/>
        <v>17426</v>
      </c>
      <c r="N1533" s="10">
        <f t="shared" si="95"/>
        <v>0.58476510067114096</v>
      </c>
    </row>
    <row r="1534" spans="1:14" x14ac:dyDescent="0.3">
      <c r="A1534" s="9" t="s">
        <v>1671</v>
      </c>
      <c r="B1534" s="9" t="s">
        <v>1670</v>
      </c>
      <c r="C1534" s="9" t="s">
        <v>39</v>
      </c>
      <c r="D1534" s="9" t="s">
        <v>30</v>
      </c>
      <c r="E1534" s="9">
        <v>2</v>
      </c>
      <c r="F1534" s="11">
        <v>73300</v>
      </c>
      <c r="G1534" s="9" t="str">
        <f>INDEX(Products!$B$2:$B$9,MATCH(D1534,Products!$A$2:$A$9,0))</f>
        <v>Trà mâm xôi vitamin</v>
      </c>
      <c r="H1534" s="9" t="str">
        <f>INDEX(Products!$C$2:$C$9,MATCH(D1534,Products!$A$2:$A$9,0))</f>
        <v>Bổ sung dưỡng chất</v>
      </c>
      <c r="I1534" s="11">
        <f>INDEX(Products!$D$2:$D$9,MATCH(D1534,Products!$A$2:$A$9,0))</f>
        <v>9800</v>
      </c>
      <c r="J1534" s="10">
        <f>IFERROR(INDEX(PlatformFees!$C$2:$C$5,MATCH(C1534,PlatformFees!$A$2:$A$5,0)),0)</f>
        <v>0</v>
      </c>
      <c r="K1534" s="11">
        <f t="shared" si="92"/>
        <v>19600</v>
      </c>
      <c r="L1534" s="11">
        <f t="shared" si="93"/>
        <v>0</v>
      </c>
      <c r="M1534" s="11">
        <f t="shared" si="94"/>
        <v>53700</v>
      </c>
      <c r="N1534" s="10">
        <f t="shared" si="95"/>
        <v>0.73260572987721695</v>
      </c>
    </row>
    <row r="1535" spans="1:14" x14ac:dyDescent="0.3">
      <c r="A1535" s="9" t="s">
        <v>1672</v>
      </c>
      <c r="B1535" s="9" t="s">
        <v>1670</v>
      </c>
      <c r="C1535" s="9" t="s">
        <v>36</v>
      </c>
      <c r="D1535" s="9" t="s">
        <v>20</v>
      </c>
      <c r="E1535" s="9">
        <v>1</v>
      </c>
      <c r="F1535" s="11">
        <v>56000</v>
      </c>
      <c r="G1535" s="9" t="str">
        <f>INDEX(Products!$B$2:$B$9,MATCH(D1535,Products!$A$2:$A$9,0))</f>
        <v>Trà cà leo gai giảm cân</v>
      </c>
      <c r="H1535" s="9" t="str">
        <f>INDEX(Products!$C$2:$C$9,MATCH(D1535,Products!$A$2:$A$9,0))</f>
        <v>Detox</v>
      </c>
      <c r="I1535" s="11">
        <f>INDEX(Products!$D$2:$D$9,MATCH(D1535,Products!$A$2:$A$9,0))</f>
        <v>15000</v>
      </c>
      <c r="J1535" s="10">
        <f>IFERROR(INDEX(PlatformFees!$C$2:$C$5,MATCH(C1535,PlatformFees!$A$2:$A$5,0)),0)</f>
        <v>0.13</v>
      </c>
      <c r="K1535" s="11">
        <f t="shared" si="92"/>
        <v>15000</v>
      </c>
      <c r="L1535" s="11">
        <f t="shared" si="93"/>
        <v>7280</v>
      </c>
      <c r="M1535" s="11">
        <f t="shared" si="94"/>
        <v>33720</v>
      </c>
      <c r="N1535" s="10">
        <f t="shared" si="95"/>
        <v>0.60214285714285709</v>
      </c>
    </row>
    <row r="1536" spans="1:14" x14ac:dyDescent="0.3">
      <c r="A1536" s="9" t="s">
        <v>1673</v>
      </c>
      <c r="B1536" s="9" t="s">
        <v>1670</v>
      </c>
      <c r="C1536" s="9" t="s">
        <v>36</v>
      </c>
      <c r="D1536" s="9" t="s">
        <v>30</v>
      </c>
      <c r="E1536" s="9">
        <v>2</v>
      </c>
      <c r="F1536" s="11">
        <v>67700</v>
      </c>
      <c r="G1536" s="9" t="str">
        <f>INDEX(Products!$B$2:$B$9,MATCH(D1536,Products!$A$2:$A$9,0))</f>
        <v>Trà mâm xôi vitamin</v>
      </c>
      <c r="H1536" s="9" t="str">
        <f>INDEX(Products!$C$2:$C$9,MATCH(D1536,Products!$A$2:$A$9,0))</f>
        <v>Bổ sung dưỡng chất</v>
      </c>
      <c r="I1536" s="11">
        <f>INDEX(Products!$D$2:$D$9,MATCH(D1536,Products!$A$2:$A$9,0))</f>
        <v>9800</v>
      </c>
      <c r="J1536" s="10">
        <f>IFERROR(INDEX(PlatformFees!$C$2:$C$5,MATCH(C1536,PlatformFees!$A$2:$A$5,0)),0)</f>
        <v>0.13</v>
      </c>
      <c r="K1536" s="11">
        <f t="shared" si="92"/>
        <v>19600</v>
      </c>
      <c r="L1536" s="11">
        <f t="shared" si="93"/>
        <v>8801</v>
      </c>
      <c r="M1536" s="11">
        <f t="shared" si="94"/>
        <v>39299</v>
      </c>
      <c r="N1536" s="10">
        <f t="shared" si="95"/>
        <v>0.58048744460856716</v>
      </c>
    </row>
    <row r="1537" spans="1:14" x14ac:dyDescent="0.3">
      <c r="A1537" s="9" t="s">
        <v>1674</v>
      </c>
      <c r="B1537" s="9" t="s">
        <v>1670</v>
      </c>
      <c r="C1537" s="9" t="s">
        <v>36</v>
      </c>
      <c r="D1537" s="9" t="s">
        <v>20</v>
      </c>
      <c r="E1537" s="9">
        <v>1</v>
      </c>
      <c r="F1537" s="11">
        <v>54400</v>
      </c>
      <c r="G1537" s="9" t="str">
        <f>INDEX(Products!$B$2:$B$9,MATCH(D1537,Products!$A$2:$A$9,0))</f>
        <v>Trà cà leo gai giảm cân</v>
      </c>
      <c r="H1537" s="9" t="str">
        <f>INDEX(Products!$C$2:$C$9,MATCH(D1537,Products!$A$2:$A$9,0))</f>
        <v>Detox</v>
      </c>
      <c r="I1537" s="11">
        <f>INDEX(Products!$D$2:$D$9,MATCH(D1537,Products!$A$2:$A$9,0))</f>
        <v>15000</v>
      </c>
      <c r="J1537" s="10">
        <f>IFERROR(INDEX(PlatformFees!$C$2:$C$5,MATCH(C1537,PlatformFees!$A$2:$A$5,0)),0)</f>
        <v>0.13</v>
      </c>
      <c r="K1537" s="11">
        <f t="shared" si="92"/>
        <v>15000</v>
      </c>
      <c r="L1537" s="11">
        <f t="shared" si="93"/>
        <v>7072</v>
      </c>
      <c r="M1537" s="11">
        <f t="shared" si="94"/>
        <v>32328</v>
      </c>
      <c r="N1537" s="10">
        <f t="shared" si="95"/>
        <v>0.59426470588235292</v>
      </c>
    </row>
    <row r="1538" spans="1:14" x14ac:dyDescent="0.3">
      <c r="A1538" s="9" t="s">
        <v>1675</v>
      </c>
      <c r="B1538" s="9" t="s">
        <v>1670</v>
      </c>
      <c r="C1538" s="9" t="s">
        <v>40</v>
      </c>
      <c r="D1538" s="9" t="s">
        <v>15</v>
      </c>
      <c r="E1538" s="9">
        <v>1</v>
      </c>
      <c r="F1538" s="11">
        <v>29600</v>
      </c>
      <c r="G1538" s="9" t="str">
        <f>INDEX(Products!$B$2:$B$9,MATCH(D1538,Products!$A$2:$A$9,0))</f>
        <v>Trà lá nam sen ổi</v>
      </c>
      <c r="H1538" s="9" t="str">
        <f>INDEX(Products!$C$2:$C$9,MATCH(D1538,Products!$A$2:$A$9,0))</f>
        <v>Thanh lọc</v>
      </c>
      <c r="I1538" s="11">
        <f>INDEX(Products!$D$2:$D$9,MATCH(D1538,Products!$A$2:$A$9,0))</f>
        <v>8500</v>
      </c>
      <c r="J1538" s="10">
        <f>IFERROR(INDEX(PlatformFees!$C$2:$C$5,MATCH(C1538,PlatformFees!$A$2:$A$5,0)),0)</f>
        <v>0</v>
      </c>
      <c r="K1538" s="11">
        <f t="shared" ref="K1538:K1587" si="96">E1538*I1538</f>
        <v>8500</v>
      </c>
      <c r="L1538" s="11">
        <f t="shared" ref="L1538:L1587" si="97">F1538*J1538</f>
        <v>0</v>
      </c>
      <c r="M1538" s="11">
        <f t="shared" ref="M1538:M1601" si="98">F1538-L1538-K1538</f>
        <v>21100</v>
      </c>
      <c r="N1538" s="10">
        <f t="shared" ref="N1538:N1601" si="99">IFERROR(M1538/F1538,0)</f>
        <v>0.71283783783783783</v>
      </c>
    </row>
    <row r="1539" spans="1:14" x14ac:dyDescent="0.3">
      <c r="A1539" s="9" t="s">
        <v>1676</v>
      </c>
      <c r="B1539" s="9" t="s">
        <v>1670</v>
      </c>
      <c r="C1539" s="9" t="s">
        <v>38</v>
      </c>
      <c r="D1539" s="9" t="s">
        <v>17</v>
      </c>
      <c r="E1539" s="9">
        <v>1</v>
      </c>
      <c r="F1539" s="11">
        <v>42600</v>
      </c>
      <c r="G1539" s="9" t="str">
        <f>INDEX(Products!$B$2:$B$9,MATCH(D1539,Products!$A$2:$A$9,0))</f>
        <v>Trà diếp cá rau má</v>
      </c>
      <c r="H1539" s="9" t="str">
        <f>INDEX(Products!$C$2:$C$9,MATCH(D1539,Products!$A$2:$A$9,0))</f>
        <v>Detox</v>
      </c>
      <c r="I1539" s="11">
        <f>INDEX(Products!$D$2:$D$9,MATCH(D1539,Products!$A$2:$A$9,0))</f>
        <v>10500</v>
      </c>
      <c r="J1539" s="10">
        <f>IFERROR(INDEX(PlatformFees!$C$2:$C$5,MATCH(C1539,PlatformFees!$A$2:$A$5,0)),0)</f>
        <v>0.16</v>
      </c>
      <c r="K1539" s="11">
        <f t="shared" si="96"/>
        <v>10500</v>
      </c>
      <c r="L1539" s="11">
        <f t="shared" si="97"/>
        <v>6816</v>
      </c>
      <c r="M1539" s="11">
        <f t="shared" si="98"/>
        <v>25284</v>
      </c>
      <c r="N1539" s="10">
        <f t="shared" si="99"/>
        <v>0.59352112676056334</v>
      </c>
    </row>
    <row r="1540" spans="1:14" x14ac:dyDescent="0.3">
      <c r="A1540" s="9" t="s">
        <v>1677</v>
      </c>
      <c r="B1540" s="9" t="s">
        <v>1670</v>
      </c>
      <c r="C1540" s="9" t="s">
        <v>38</v>
      </c>
      <c r="D1540" s="9" t="s">
        <v>15</v>
      </c>
      <c r="E1540" s="9">
        <v>1</v>
      </c>
      <c r="F1540" s="11">
        <v>30200</v>
      </c>
      <c r="G1540" s="9" t="str">
        <f>INDEX(Products!$B$2:$B$9,MATCH(D1540,Products!$A$2:$A$9,0))</f>
        <v>Trà lá nam sen ổi</v>
      </c>
      <c r="H1540" s="9" t="str">
        <f>INDEX(Products!$C$2:$C$9,MATCH(D1540,Products!$A$2:$A$9,0))</f>
        <v>Thanh lọc</v>
      </c>
      <c r="I1540" s="11">
        <f>INDEX(Products!$D$2:$D$9,MATCH(D1540,Products!$A$2:$A$9,0))</f>
        <v>8500</v>
      </c>
      <c r="J1540" s="10">
        <f>IFERROR(INDEX(PlatformFees!$C$2:$C$5,MATCH(C1540,PlatformFees!$A$2:$A$5,0)),0)</f>
        <v>0.16</v>
      </c>
      <c r="K1540" s="11">
        <f t="shared" si="96"/>
        <v>8500</v>
      </c>
      <c r="L1540" s="11">
        <f t="shared" si="97"/>
        <v>4832</v>
      </c>
      <c r="M1540" s="11">
        <f t="shared" si="98"/>
        <v>16868</v>
      </c>
      <c r="N1540" s="10">
        <f t="shared" si="99"/>
        <v>0.55854304635761587</v>
      </c>
    </row>
    <row r="1541" spans="1:14" x14ac:dyDescent="0.3">
      <c r="A1541" s="9" t="s">
        <v>1678</v>
      </c>
      <c r="B1541" s="9" t="s">
        <v>1670</v>
      </c>
      <c r="C1541" s="9" t="s">
        <v>36</v>
      </c>
      <c r="D1541" s="9" t="s">
        <v>15</v>
      </c>
      <c r="E1541" s="9">
        <v>3</v>
      </c>
      <c r="F1541" s="11">
        <v>98400</v>
      </c>
      <c r="G1541" s="9" t="str">
        <f>INDEX(Products!$B$2:$B$9,MATCH(D1541,Products!$A$2:$A$9,0))</f>
        <v>Trà lá nam sen ổi</v>
      </c>
      <c r="H1541" s="9" t="str">
        <f>INDEX(Products!$C$2:$C$9,MATCH(D1541,Products!$A$2:$A$9,0))</f>
        <v>Thanh lọc</v>
      </c>
      <c r="I1541" s="11">
        <f>INDEX(Products!$D$2:$D$9,MATCH(D1541,Products!$A$2:$A$9,0))</f>
        <v>8500</v>
      </c>
      <c r="J1541" s="10">
        <f>IFERROR(INDEX(PlatformFees!$C$2:$C$5,MATCH(C1541,PlatformFees!$A$2:$A$5,0)),0)</f>
        <v>0.13</v>
      </c>
      <c r="K1541" s="11">
        <f t="shared" si="96"/>
        <v>25500</v>
      </c>
      <c r="L1541" s="11">
        <f t="shared" si="97"/>
        <v>12792</v>
      </c>
      <c r="M1541" s="11">
        <f t="shared" si="98"/>
        <v>60108</v>
      </c>
      <c r="N1541" s="10">
        <f t="shared" si="99"/>
        <v>0.61085365853658535</v>
      </c>
    </row>
    <row r="1542" spans="1:14" x14ac:dyDescent="0.3">
      <c r="A1542" s="9" t="s">
        <v>1679</v>
      </c>
      <c r="B1542" s="9" t="s">
        <v>1670</v>
      </c>
      <c r="C1542" s="9" t="s">
        <v>40</v>
      </c>
      <c r="D1542" s="9" t="s">
        <v>25</v>
      </c>
      <c r="E1542" s="9">
        <v>2</v>
      </c>
      <c r="F1542" s="11">
        <v>69000</v>
      </c>
      <c r="G1542" s="9" t="str">
        <f>INDEX(Products!$B$2:$B$9,MATCH(D1542,Products!$A$2:$A$9,0))</f>
        <v>Trà hoa đậu biếc</v>
      </c>
      <c r="H1542" s="9" t="str">
        <f>INDEX(Products!$C$2:$C$9,MATCH(D1542,Products!$A$2:$A$9,0))</f>
        <v>An thần</v>
      </c>
      <c r="I1542" s="11">
        <f>INDEX(Products!$D$2:$D$9,MATCH(D1542,Products!$A$2:$A$9,0))</f>
        <v>8800</v>
      </c>
      <c r="J1542" s="10">
        <f>IFERROR(INDEX(PlatformFees!$C$2:$C$5,MATCH(C1542,PlatformFees!$A$2:$A$5,0)),0)</f>
        <v>0</v>
      </c>
      <c r="K1542" s="11">
        <f t="shared" si="96"/>
        <v>17600</v>
      </c>
      <c r="L1542" s="11">
        <f t="shared" si="97"/>
        <v>0</v>
      </c>
      <c r="M1542" s="11">
        <f t="shared" si="98"/>
        <v>51400</v>
      </c>
      <c r="N1542" s="10">
        <f t="shared" si="99"/>
        <v>0.74492753623188401</v>
      </c>
    </row>
    <row r="1543" spans="1:14" x14ac:dyDescent="0.3">
      <c r="A1543" s="9" t="s">
        <v>1680</v>
      </c>
      <c r="B1543" s="9" t="s">
        <v>1670</v>
      </c>
      <c r="C1543" s="9" t="s">
        <v>36</v>
      </c>
      <c r="D1543" s="9" t="s">
        <v>27</v>
      </c>
      <c r="E1543" s="9">
        <v>2</v>
      </c>
      <c r="F1543" s="11">
        <v>81200</v>
      </c>
      <c r="G1543" s="9" t="str">
        <f>INDEX(Products!$B$2:$B$9,MATCH(D1543,Products!$A$2:$A$9,0))</f>
        <v>Trà gừng mật ong</v>
      </c>
      <c r="H1543" s="9" t="str">
        <f>INDEX(Products!$C$2:$C$9,MATCH(D1543,Products!$A$2:$A$9,0))</f>
        <v>Giữ ấm</v>
      </c>
      <c r="I1543" s="11">
        <f>INDEX(Products!$D$2:$D$9,MATCH(D1543,Products!$A$2:$A$9,0))</f>
        <v>11000</v>
      </c>
      <c r="J1543" s="10">
        <f>IFERROR(INDEX(PlatformFees!$C$2:$C$5,MATCH(C1543,PlatformFees!$A$2:$A$5,0)),0)</f>
        <v>0.13</v>
      </c>
      <c r="K1543" s="11">
        <f t="shared" si="96"/>
        <v>22000</v>
      </c>
      <c r="L1543" s="11">
        <f t="shared" si="97"/>
        <v>10556</v>
      </c>
      <c r="M1543" s="11">
        <f t="shared" si="98"/>
        <v>48644</v>
      </c>
      <c r="N1543" s="10">
        <f t="shared" si="99"/>
        <v>0.59906403940886699</v>
      </c>
    </row>
    <row r="1544" spans="1:14" x14ac:dyDescent="0.3">
      <c r="A1544" s="9" t="s">
        <v>1681</v>
      </c>
      <c r="B1544" s="9" t="s">
        <v>1670</v>
      </c>
      <c r="C1544" s="9" t="s">
        <v>36</v>
      </c>
      <c r="D1544" s="9" t="s">
        <v>20</v>
      </c>
      <c r="E1544" s="9">
        <v>2</v>
      </c>
      <c r="F1544" s="11">
        <v>104600</v>
      </c>
      <c r="G1544" s="9" t="str">
        <f>INDEX(Products!$B$2:$B$9,MATCH(D1544,Products!$A$2:$A$9,0))</f>
        <v>Trà cà leo gai giảm cân</v>
      </c>
      <c r="H1544" s="9" t="str">
        <f>INDEX(Products!$C$2:$C$9,MATCH(D1544,Products!$A$2:$A$9,0))</f>
        <v>Detox</v>
      </c>
      <c r="I1544" s="11">
        <f>INDEX(Products!$D$2:$D$9,MATCH(D1544,Products!$A$2:$A$9,0))</f>
        <v>15000</v>
      </c>
      <c r="J1544" s="10">
        <f>IFERROR(INDEX(PlatformFees!$C$2:$C$5,MATCH(C1544,PlatformFees!$A$2:$A$5,0)),0)</f>
        <v>0.13</v>
      </c>
      <c r="K1544" s="11">
        <f t="shared" si="96"/>
        <v>30000</v>
      </c>
      <c r="L1544" s="11">
        <f t="shared" si="97"/>
        <v>13598</v>
      </c>
      <c r="M1544" s="11">
        <f t="shared" si="98"/>
        <v>61002</v>
      </c>
      <c r="N1544" s="10">
        <f t="shared" si="99"/>
        <v>0.58319311663479922</v>
      </c>
    </row>
    <row r="1545" spans="1:14" x14ac:dyDescent="0.3">
      <c r="A1545" s="9" t="s">
        <v>1682</v>
      </c>
      <c r="B1545" s="9" t="s">
        <v>1670</v>
      </c>
      <c r="C1545" s="9" t="s">
        <v>39</v>
      </c>
      <c r="D1545" s="9" t="s">
        <v>27</v>
      </c>
      <c r="E1545" s="9">
        <v>1</v>
      </c>
      <c r="F1545" s="11">
        <v>37900</v>
      </c>
      <c r="G1545" s="9" t="str">
        <f>INDEX(Products!$B$2:$B$9,MATCH(D1545,Products!$A$2:$A$9,0))</f>
        <v>Trà gừng mật ong</v>
      </c>
      <c r="H1545" s="9" t="str">
        <f>INDEX(Products!$C$2:$C$9,MATCH(D1545,Products!$A$2:$A$9,0))</f>
        <v>Giữ ấm</v>
      </c>
      <c r="I1545" s="11">
        <f>INDEX(Products!$D$2:$D$9,MATCH(D1545,Products!$A$2:$A$9,0))</f>
        <v>11000</v>
      </c>
      <c r="J1545" s="10">
        <f>IFERROR(INDEX(PlatformFees!$C$2:$C$5,MATCH(C1545,PlatformFees!$A$2:$A$5,0)),0)</f>
        <v>0</v>
      </c>
      <c r="K1545" s="11">
        <f t="shared" si="96"/>
        <v>11000</v>
      </c>
      <c r="L1545" s="11">
        <f t="shared" si="97"/>
        <v>0</v>
      </c>
      <c r="M1545" s="11">
        <f t="shared" si="98"/>
        <v>26900</v>
      </c>
      <c r="N1545" s="10">
        <f t="shared" si="99"/>
        <v>0.70976253298153036</v>
      </c>
    </row>
    <row r="1546" spans="1:14" x14ac:dyDescent="0.3">
      <c r="A1546" s="9" t="s">
        <v>1683</v>
      </c>
      <c r="B1546" s="9" t="s">
        <v>1670</v>
      </c>
      <c r="C1546" s="9" t="s">
        <v>36</v>
      </c>
      <c r="D1546" s="9" t="s">
        <v>17</v>
      </c>
      <c r="E1546" s="9">
        <v>2</v>
      </c>
      <c r="F1546" s="11">
        <v>86000</v>
      </c>
      <c r="G1546" s="9" t="str">
        <f>INDEX(Products!$B$2:$B$9,MATCH(D1546,Products!$A$2:$A$9,0))</f>
        <v>Trà diếp cá rau má</v>
      </c>
      <c r="H1546" s="9" t="str">
        <f>INDEX(Products!$C$2:$C$9,MATCH(D1546,Products!$A$2:$A$9,0))</f>
        <v>Detox</v>
      </c>
      <c r="I1546" s="11">
        <f>INDEX(Products!$D$2:$D$9,MATCH(D1546,Products!$A$2:$A$9,0))</f>
        <v>10500</v>
      </c>
      <c r="J1546" s="10">
        <f>IFERROR(INDEX(PlatformFees!$C$2:$C$5,MATCH(C1546,PlatformFees!$A$2:$A$5,0)),0)</f>
        <v>0.13</v>
      </c>
      <c r="K1546" s="11">
        <f t="shared" si="96"/>
        <v>21000</v>
      </c>
      <c r="L1546" s="11">
        <f t="shared" si="97"/>
        <v>11180</v>
      </c>
      <c r="M1546" s="11">
        <f t="shared" si="98"/>
        <v>53820</v>
      </c>
      <c r="N1546" s="10">
        <f t="shared" si="99"/>
        <v>0.6258139534883721</v>
      </c>
    </row>
    <row r="1547" spans="1:14" x14ac:dyDescent="0.3">
      <c r="A1547" s="9" t="s">
        <v>1684</v>
      </c>
      <c r="B1547" s="9" t="s">
        <v>1670</v>
      </c>
      <c r="C1547" s="9" t="s">
        <v>40</v>
      </c>
      <c r="D1547" s="9" t="s">
        <v>30</v>
      </c>
      <c r="E1547" s="9">
        <v>2</v>
      </c>
      <c r="F1547" s="11">
        <v>74000</v>
      </c>
      <c r="G1547" s="9" t="str">
        <f>INDEX(Products!$B$2:$B$9,MATCH(D1547,Products!$A$2:$A$9,0))</f>
        <v>Trà mâm xôi vitamin</v>
      </c>
      <c r="H1547" s="9" t="str">
        <f>INDEX(Products!$C$2:$C$9,MATCH(D1547,Products!$A$2:$A$9,0))</f>
        <v>Bổ sung dưỡng chất</v>
      </c>
      <c r="I1547" s="11">
        <f>INDEX(Products!$D$2:$D$9,MATCH(D1547,Products!$A$2:$A$9,0))</f>
        <v>9800</v>
      </c>
      <c r="J1547" s="10">
        <f>IFERROR(INDEX(PlatformFees!$C$2:$C$5,MATCH(C1547,PlatformFees!$A$2:$A$5,0)),0)</f>
        <v>0</v>
      </c>
      <c r="K1547" s="11">
        <f t="shared" si="96"/>
        <v>19600</v>
      </c>
      <c r="L1547" s="11">
        <f t="shared" si="97"/>
        <v>0</v>
      </c>
      <c r="M1547" s="11">
        <f t="shared" si="98"/>
        <v>54400</v>
      </c>
      <c r="N1547" s="10">
        <f t="shared" si="99"/>
        <v>0.73513513513513518</v>
      </c>
    </row>
    <row r="1548" spans="1:14" x14ac:dyDescent="0.3">
      <c r="A1548" s="9" t="s">
        <v>1685</v>
      </c>
      <c r="B1548" s="9" t="s">
        <v>1670</v>
      </c>
      <c r="C1548" s="9" t="s">
        <v>36</v>
      </c>
      <c r="D1548" s="9" t="s">
        <v>20</v>
      </c>
      <c r="E1548" s="9">
        <v>2</v>
      </c>
      <c r="F1548" s="11">
        <v>101600</v>
      </c>
      <c r="G1548" s="9" t="str">
        <f>INDEX(Products!$B$2:$B$9,MATCH(D1548,Products!$A$2:$A$9,0))</f>
        <v>Trà cà leo gai giảm cân</v>
      </c>
      <c r="H1548" s="9" t="str">
        <f>INDEX(Products!$C$2:$C$9,MATCH(D1548,Products!$A$2:$A$9,0))</f>
        <v>Detox</v>
      </c>
      <c r="I1548" s="11">
        <f>INDEX(Products!$D$2:$D$9,MATCH(D1548,Products!$A$2:$A$9,0))</f>
        <v>15000</v>
      </c>
      <c r="J1548" s="10">
        <f>IFERROR(INDEX(PlatformFees!$C$2:$C$5,MATCH(C1548,PlatformFees!$A$2:$A$5,0)),0)</f>
        <v>0.13</v>
      </c>
      <c r="K1548" s="11">
        <f t="shared" si="96"/>
        <v>30000</v>
      </c>
      <c r="L1548" s="11">
        <f t="shared" si="97"/>
        <v>13208</v>
      </c>
      <c r="M1548" s="11">
        <f t="shared" si="98"/>
        <v>58392</v>
      </c>
      <c r="N1548" s="10">
        <f t="shared" si="99"/>
        <v>0.57472440944881886</v>
      </c>
    </row>
    <row r="1549" spans="1:14" x14ac:dyDescent="0.3">
      <c r="A1549" s="9" t="s">
        <v>1686</v>
      </c>
      <c r="B1549" s="9" t="s">
        <v>1670</v>
      </c>
      <c r="C1549" s="9" t="s">
        <v>38</v>
      </c>
      <c r="D1549" s="9" t="s">
        <v>20</v>
      </c>
      <c r="E1549" s="9">
        <v>3</v>
      </c>
      <c r="F1549" s="11">
        <v>166700</v>
      </c>
      <c r="G1549" s="9" t="str">
        <f>INDEX(Products!$B$2:$B$9,MATCH(D1549,Products!$A$2:$A$9,0))</f>
        <v>Trà cà leo gai giảm cân</v>
      </c>
      <c r="H1549" s="9" t="str">
        <f>INDEX(Products!$C$2:$C$9,MATCH(D1549,Products!$A$2:$A$9,0))</f>
        <v>Detox</v>
      </c>
      <c r="I1549" s="11">
        <f>INDEX(Products!$D$2:$D$9,MATCH(D1549,Products!$A$2:$A$9,0))</f>
        <v>15000</v>
      </c>
      <c r="J1549" s="10">
        <f>IFERROR(INDEX(PlatformFees!$C$2:$C$5,MATCH(C1549,PlatformFees!$A$2:$A$5,0)),0)</f>
        <v>0.16</v>
      </c>
      <c r="K1549" s="11">
        <f t="shared" si="96"/>
        <v>45000</v>
      </c>
      <c r="L1549" s="11">
        <f t="shared" si="97"/>
        <v>26672</v>
      </c>
      <c r="M1549" s="11">
        <f t="shared" si="98"/>
        <v>95028</v>
      </c>
      <c r="N1549" s="10">
        <f t="shared" si="99"/>
        <v>0.57005398920215955</v>
      </c>
    </row>
    <row r="1550" spans="1:14" x14ac:dyDescent="0.3">
      <c r="A1550" s="9" t="s">
        <v>1687</v>
      </c>
      <c r="B1550" s="9" t="s">
        <v>1670</v>
      </c>
      <c r="C1550" s="9" t="s">
        <v>38</v>
      </c>
      <c r="D1550" s="9" t="s">
        <v>17</v>
      </c>
      <c r="E1550" s="9">
        <v>2</v>
      </c>
      <c r="F1550" s="11">
        <v>84200</v>
      </c>
      <c r="G1550" s="9" t="str">
        <f>INDEX(Products!$B$2:$B$9,MATCH(D1550,Products!$A$2:$A$9,0))</f>
        <v>Trà diếp cá rau má</v>
      </c>
      <c r="H1550" s="9" t="str">
        <f>INDEX(Products!$C$2:$C$9,MATCH(D1550,Products!$A$2:$A$9,0))</f>
        <v>Detox</v>
      </c>
      <c r="I1550" s="11">
        <f>INDEX(Products!$D$2:$D$9,MATCH(D1550,Products!$A$2:$A$9,0))</f>
        <v>10500</v>
      </c>
      <c r="J1550" s="10">
        <f>IFERROR(INDEX(PlatformFees!$C$2:$C$5,MATCH(C1550,PlatformFees!$A$2:$A$5,0)),0)</f>
        <v>0.16</v>
      </c>
      <c r="K1550" s="11">
        <f t="shared" si="96"/>
        <v>21000</v>
      </c>
      <c r="L1550" s="11">
        <f t="shared" si="97"/>
        <v>13472</v>
      </c>
      <c r="M1550" s="11">
        <f t="shared" si="98"/>
        <v>49728</v>
      </c>
      <c r="N1550" s="10">
        <f t="shared" si="99"/>
        <v>0.59059382422802853</v>
      </c>
    </row>
    <row r="1551" spans="1:14" x14ac:dyDescent="0.3">
      <c r="A1551" s="9" t="s">
        <v>1688</v>
      </c>
      <c r="B1551" s="9" t="s">
        <v>1670</v>
      </c>
      <c r="C1551" s="9" t="s">
        <v>38</v>
      </c>
      <c r="D1551" s="9" t="s">
        <v>20</v>
      </c>
      <c r="E1551" s="9">
        <v>1</v>
      </c>
      <c r="F1551" s="11">
        <v>51400</v>
      </c>
      <c r="G1551" s="9" t="str">
        <f>INDEX(Products!$B$2:$B$9,MATCH(D1551,Products!$A$2:$A$9,0))</f>
        <v>Trà cà leo gai giảm cân</v>
      </c>
      <c r="H1551" s="9" t="str">
        <f>INDEX(Products!$C$2:$C$9,MATCH(D1551,Products!$A$2:$A$9,0))</f>
        <v>Detox</v>
      </c>
      <c r="I1551" s="11">
        <f>INDEX(Products!$D$2:$D$9,MATCH(D1551,Products!$A$2:$A$9,0))</f>
        <v>15000</v>
      </c>
      <c r="J1551" s="10">
        <f>IFERROR(INDEX(PlatformFees!$C$2:$C$5,MATCH(C1551,PlatformFees!$A$2:$A$5,0)),0)</f>
        <v>0.16</v>
      </c>
      <c r="K1551" s="11">
        <f t="shared" si="96"/>
        <v>15000</v>
      </c>
      <c r="L1551" s="11">
        <f t="shared" si="97"/>
        <v>8224</v>
      </c>
      <c r="M1551" s="11">
        <f t="shared" si="98"/>
        <v>28176</v>
      </c>
      <c r="N1551" s="10">
        <f t="shared" si="99"/>
        <v>0.54817120622568094</v>
      </c>
    </row>
    <row r="1552" spans="1:14" x14ac:dyDescent="0.3">
      <c r="A1552" s="9" t="s">
        <v>1689</v>
      </c>
      <c r="B1552" s="9" t="s">
        <v>1670</v>
      </c>
      <c r="C1552" s="9" t="s">
        <v>36</v>
      </c>
      <c r="D1552" s="9" t="s">
        <v>22</v>
      </c>
      <c r="E1552" s="9">
        <v>1</v>
      </c>
      <c r="F1552" s="11">
        <v>35000</v>
      </c>
      <c r="G1552" s="9" t="str">
        <f>INDEX(Products!$B$2:$B$9,MATCH(D1552,Products!$A$2:$A$9,0))</f>
        <v>Trà hoa cúc an thần</v>
      </c>
      <c r="H1552" s="9" t="str">
        <f>INDEX(Products!$C$2:$C$9,MATCH(D1552,Products!$A$2:$A$9,0))</f>
        <v>An thần</v>
      </c>
      <c r="I1552" s="11">
        <f>INDEX(Products!$D$2:$D$9,MATCH(D1552,Products!$A$2:$A$9,0))</f>
        <v>9500</v>
      </c>
      <c r="J1552" s="10">
        <f>IFERROR(INDEX(PlatformFees!$C$2:$C$5,MATCH(C1552,PlatformFees!$A$2:$A$5,0)),0)</f>
        <v>0.13</v>
      </c>
      <c r="K1552" s="11">
        <f t="shared" si="96"/>
        <v>9500</v>
      </c>
      <c r="L1552" s="11">
        <f t="shared" si="97"/>
        <v>4550</v>
      </c>
      <c r="M1552" s="11">
        <f t="shared" si="98"/>
        <v>20950</v>
      </c>
      <c r="N1552" s="10">
        <f t="shared" si="99"/>
        <v>0.59857142857142853</v>
      </c>
    </row>
    <row r="1553" spans="1:14" x14ac:dyDescent="0.3">
      <c r="A1553" s="9" t="s">
        <v>1690</v>
      </c>
      <c r="B1553" s="9" t="s">
        <v>1691</v>
      </c>
      <c r="C1553" s="9" t="s">
        <v>36</v>
      </c>
      <c r="D1553" s="9" t="s">
        <v>25</v>
      </c>
      <c r="E1553" s="9">
        <v>2</v>
      </c>
      <c r="F1553" s="11">
        <v>68100</v>
      </c>
      <c r="G1553" s="9" t="str">
        <f>INDEX(Products!$B$2:$B$9,MATCH(D1553,Products!$A$2:$A$9,0))</f>
        <v>Trà hoa đậu biếc</v>
      </c>
      <c r="H1553" s="9" t="str">
        <f>INDEX(Products!$C$2:$C$9,MATCH(D1553,Products!$A$2:$A$9,0))</f>
        <v>An thần</v>
      </c>
      <c r="I1553" s="11">
        <f>INDEX(Products!$D$2:$D$9,MATCH(D1553,Products!$A$2:$A$9,0))</f>
        <v>8800</v>
      </c>
      <c r="J1553" s="10">
        <f>IFERROR(INDEX(PlatformFees!$C$2:$C$5,MATCH(C1553,PlatformFees!$A$2:$A$5,0)),0)</f>
        <v>0.13</v>
      </c>
      <c r="K1553" s="11">
        <f t="shared" si="96"/>
        <v>17600</v>
      </c>
      <c r="L1553" s="11">
        <f t="shared" si="97"/>
        <v>8853</v>
      </c>
      <c r="M1553" s="11">
        <f t="shared" si="98"/>
        <v>41647</v>
      </c>
      <c r="N1553" s="10">
        <f t="shared" si="99"/>
        <v>0.61155653450807634</v>
      </c>
    </row>
    <row r="1554" spans="1:14" x14ac:dyDescent="0.3">
      <c r="A1554" s="9" t="s">
        <v>1692</v>
      </c>
      <c r="B1554" s="9" t="s">
        <v>1691</v>
      </c>
      <c r="C1554" s="9" t="s">
        <v>36</v>
      </c>
      <c r="D1554" s="9" t="s">
        <v>20</v>
      </c>
      <c r="E1554" s="9">
        <v>1</v>
      </c>
      <c r="F1554" s="11">
        <v>55900</v>
      </c>
      <c r="G1554" s="9" t="str">
        <f>INDEX(Products!$B$2:$B$9,MATCH(D1554,Products!$A$2:$A$9,0))</f>
        <v>Trà cà leo gai giảm cân</v>
      </c>
      <c r="H1554" s="9" t="str">
        <f>INDEX(Products!$C$2:$C$9,MATCH(D1554,Products!$A$2:$A$9,0))</f>
        <v>Detox</v>
      </c>
      <c r="I1554" s="11">
        <f>INDEX(Products!$D$2:$D$9,MATCH(D1554,Products!$A$2:$A$9,0))</f>
        <v>15000</v>
      </c>
      <c r="J1554" s="10">
        <f>IFERROR(INDEX(PlatformFees!$C$2:$C$5,MATCH(C1554,PlatformFees!$A$2:$A$5,0)),0)</f>
        <v>0.13</v>
      </c>
      <c r="K1554" s="11">
        <f t="shared" si="96"/>
        <v>15000</v>
      </c>
      <c r="L1554" s="11">
        <f t="shared" si="97"/>
        <v>7267</v>
      </c>
      <c r="M1554" s="11">
        <f t="shared" si="98"/>
        <v>33633</v>
      </c>
      <c r="N1554" s="10">
        <f t="shared" si="99"/>
        <v>0.60166368515205726</v>
      </c>
    </row>
    <row r="1555" spans="1:14" x14ac:dyDescent="0.3">
      <c r="A1555" s="9" t="s">
        <v>1693</v>
      </c>
      <c r="B1555" s="9" t="s">
        <v>1691</v>
      </c>
      <c r="C1555" s="9" t="s">
        <v>36</v>
      </c>
      <c r="D1555" s="9" t="s">
        <v>25</v>
      </c>
      <c r="E1555" s="9">
        <v>1</v>
      </c>
      <c r="F1555" s="11">
        <v>33600</v>
      </c>
      <c r="G1555" s="9" t="str">
        <f>INDEX(Products!$B$2:$B$9,MATCH(D1555,Products!$A$2:$A$9,0))</f>
        <v>Trà hoa đậu biếc</v>
      </c>
      <c r="H1555" s="9" t="str">
        <f>INDEX(Products!$C$2:$C$9,MATCH(D1555,Products!$A$2:$A$9,0))</f>
        <v>An thần</v>
      </c>
      <c r="I1555" s="11">
        <f>INDEX(Products!$D$2:$D$9,MATCH(D1555,Products!$A$2:$A$9,0))</f>
        <v>8800</v>
      </c>
      <c r="J1555" s="10">
        <f>IFERROR(INDEX(PlatformFees!$C$2:$C$5,MATCH(C1555,PlatformFees!$A$2:$A$5,0)),0)</f>
        <v>0.13</v>
      </c>
      <c r="K1555" s="11">
        <f t="shared" si="96"/>
        <v>8800</v>
      </c>
      <c r="L1555" s="11">
        <f t="shared" si="97"/>
        <v>4368</v>
      </c>
      <c r="M1555" s="11">
        <f t="shared" si="98"/>
        <v>20432</v>
      </c>
      <c r="N1555" s="10">
        <f t="shared" si="99"/>
        <v>0.60809523809523813</v>
      </c>
    </row>
    <row r="1556" spans="1:14" x14ac:dyDescent="0.3">
      <c r="A1556" s="9" t="s">
        <v>1694</v>
      </c>
      <c r="B1556" s="9" t="s">
        <v>1691</v>
      </c>
      <c r="C1556" s="9" t="s">
        <v>39</v>
      </c>
      <c r="D1556" s="9" t="s">
        <v>12</v>
      </c>
      <c r="E1556" s="9">
        <v>3</v>
      </c>
      <c r="F1556" s="11">
        <v>97400</v>
      </c>
      <c r="G1556" s="9" t="str">
        <f>INDEX(Products!$B$2:$B$9,MATCH(D1556,Products!$A$2:$A$9,0))</f>
        <v>Trà atiso thanh lọc</v>
      </c>
      <c r="H1556" s="9" t="str">
        <f>INDEX(Products!$C$2:$C$9,MATCH(D1556,Products!$A$2:$A$9,0))</f>
        <v>Thanh lọc</v>
      </c>
      <c r="I1556" s="11">
        <f>INDEX(Products!$D$2:$D$9,MATCH(D1556,Products!$A$2:$A$9,0))</f>
        <v>9000</v>
      </c>
      <c r="J1556" s="10">
        <f>IFERROR(INDEX(PlatformFees!$C$2:$C$5,MATCH(C1556,PlatformFees!$A$2:$A$5,0)),0)</f>
        <v>0</v>
      </c>
      <c r="K1556" s="11">
        <f t="shared" si="96"/>
        <v>27000</v>
      </c>
      <c r="L1556" s="11">
        <f t="shared" si="97"/>
        <v>0</v>
      </c>
      <c r="M1556" s="11">
        <f t="shared" si="98"/>
        <v>70400</v>
      </c>
      <c r="N1556" s="10">
        <f t="shared" si="99"/>
        <v>0.7227926078028748</v>
      </c>
    </row>
    <row r="1557" spans="1:14" x14ac:dyDescent="0.3">
      <c r="A1557" s="9" t="s">
        <v>1695</v>
      </c>
      <c r="B1557" s="9" t="s">
        <v>1691</v>
      </c>
      <c r="C1557" s="9" t="s">
        <v>39</v>
      </c>
      <c r="D1557" s="9" t="s">
        <v>17</v>
      </c>
      <c r="E1557" s="9">
        <v>1</v>
      </c>
      <c r="F1557" s="11">
        <v>40000</v>
      </c>
      <c r="G1557" s="9" t="str">
        <f>INDEX(Products!$B$2:$B$9,MATCH(D1557,Products!$A$2:$A$9,0))</f>
        <v>Trà diếp cá rau má</v>
      </c>
      <c r="H1557" s="9" t="str">
        <f>INDEX(Products!$C$2:$C$9,MATCH(D1557,Products!$A$2:$A$9,0))</f>
        <v>Detox</v>
      </c>
      <c r="I1557" s="11">
        <f>INDEX(Products!$D$2:$D$9,MATCH(D1557,Products!$A$2:$A$9,0))</f>
        <v>10500</v>
      </c>
      <c r="J1557" s="10">
        <f>IFERROR(INDEX(PlatformFees!$C$2:$C$5,MATCH(C1557,PlatformFees!$A$2:$A$5,0)),0)</f>
        <v>0</v>
      </c>
      <c r="K1557" s="11">
        <f t="shared" si="96"/>
        <v>10500</v>
      </c>
      <c r="L1557" s="11">
        <f t="shared" si="97"/>
        <v>0</v>
      </c>
      <c r="M1557" s="11">
        <f t="shared" si="98"/>
        <v>29500</v>
      </c>
      <c r="N1557" s="10">
        <f t="shared" si="99"/>
        <v>0.73750000000000004</v>
      </c>
    </row>
    <row r="1558" spans="1:14" x14ac:dyDescent="0.3">
      <c r="A1558" s="9" t="s">
        <v>1696</v>
      </c>
      <c r="B1558" s="9" t="s">
        <v>1691</v>
      </c>
      <c r="C1558" s="9" t="s">
        <v>39</v>
      </c>
      <c r="D1558" s="9" t="s">
        <v>25</v>
      </c>
      <c r="E1558" s="9">
        <v>2</v>
      </c>
      <c r="F1558" s="11">
        <v>66600</v>
      </c>
      <c r="G1558" s="9" t="str">
        <f>INDEX(Products!$B$2:$B$9,MATCH(D1558,Products!$A$2:$A$9,0))</f>
        <v>Trà hoa đậu biếc</v>
      </c>
      <c r="H1558" s="9" t="str">
        <f>INDEX(Products!$C$2:$C$9,MATCH(D1558,Products!$A$2:$A$9,0))</f>
        <v>An thần</v>
      </c>
      <c r="I1558" s="11">
        <f>INDEX(Products!$D$2:$D$9,MATCH(D1558,Products!$A$2:$A$9,0))</f>
        <v>8800</v>
      </c>
      <c r="J1558" s="10">
        <f>IFERROR(INDEX(PlatformFees!$C$2:$C$5,MATCH(C1558,PlatformFees!$A$2:$A$5,0)),0)</f>
        <v>0</v>
      </c>
      <c r="K1558" s="11">
        <f t="shared" si="96"/>
        <v>17600</v>
      </c>
      <c r="L1558" s="11">
        <f t="shared" si="97"/>
        <v>0</v>
      </c>
      <c r="M1558" s="11">
        <f t="shared" si="98"/>
        <v>49000</v>
      </c>
      <c r="N1558" s="10">
        <f t="shared" si="99"/>
        <v>0.7357357357357357</v>
      </c>
    </row>
    <row r="1559" spans="1:14" x14ac:dyDescent="0.3">
      <c r="A1559" s="9" t="s">
        <v>1697</v>
      </c>
      <c r="B1559" s="9" t="s">
        <v>1691</v>
      </c>
      <c r="C1559" s="9" t="s">
        <v>39</v>
      </c>
      <c r="D1559" s="9" t="s">
        <v>27</v>
      </c>
      <c r="E1559" s="9">
        <v>1</v>
      </c>
      <c r="F1559" s="11">
        <v>39500</v>
      </c>
      <c r="G1559" s="9" t="str">
        <f>INDEX(Products!$B$2:$B$9,MATCH(D1559,Products!$A$2:$A$9,0))</f>
        <v>Trà gừng mật ong</v>
      </c>
      <c r="H1559" s="9" t="str">
        <f>INDEX(Products!$C$2:$C$9,MATCH(D1559,Products!$A$2:$A$9,0))</f>
        <v>Giữ ấm</v>
      </c>
      <c r="I1559" s="11">
        <f>INDEX(Products!$D$2:$D$9,MATCH(D1559,Products!$A$2:$A$9,0))</f>
        <v>11000</v>
      </c>
      <c r="J1559" s="10">
        <f>IFERROR(INDEX(PlatformFees!$C$2:$C$5,MATCH(C1559,PlatformFees!$A$2:$A$5,0)),0)</f>
        <v>0</v>
      </c>
      <c r="K1559" s="11">
        <f t="shared" si="96"/>
        <v>11000</v>
      </c>
      <c r="L1559" s="11">
        <f t="shared" si="97"/>
        <v>0</v>
      </c>
      <c r="M1559" s="11">
        <f t="shared" si="98"/>
        <v>28500</v>
      </c>
      <c r="N1559" s="10">
        <f t="shared" si="99"/>
        <v>0.72151898734177211</v>
      </c>
    </row>
    <row r="1560" spans="1:14" x14ac:dyDescent="0.3">
      <c r="A1560" s="9" t="s">
        <v>1698</v>
      </c>
      <c r="B1560" s="9" t="s">
        <v>1691</v>
      </c>
      <c r="C1560" s="9" t="s">
        <v>36</v>
      </c>
      <c r="D1560" s="9" t="s">
        <v>30</v>
      </c>
      <c r="E1560" s="9">
        <v>2</v>
      </c>
      <c r="F1560" s="11">
        <v>73700</v>
      </c>
      <c r="G1560" s="9" t="str">
        <f>INDEX(Products!$B$2:$B$9,MATCH(D1560,Products!$A$2:$A$9,0))</f>
        <v>Trà mâm xôi vitamin</v>
      </c>
      <c r="H1560" s="9" t="str">
        <f>INDEX(Products!$C$2:$C$9,MATCH(D1560,Products!$A$2:$A$9,0))</f>
        <v>Bổ sung dưỡng chất</v>
      </c>
      <c r="I1560" s="11">
        <f>INDEX(Products!$D$2:$D$9,MATCH(D1560,Products!$A$2:$A$9,0))</f>
        <v>9800</v>
      </c>
      <c r="J1560" s="10">
        <f>IFERROR(INDEX(PlatformFees!$C$2:$C$5,MATCH(C1560,PlatformFees!$A$2:$A$5,0)),0)</f>
        <v>0.13</v>
      </c>
      <c r="K1560" s="11">
        <f t="shared" si="96"/>
        <v>19600</v>
      </c>
      <c r="L1560" s="11">
        <f t="shared" si="97"/>
        <v>9581</v>
      </c>
      <c r="M1560" s="11">
        <f t="shared" si="98"/>
        <v>44519</v>
      </c>
      <c r="N1560" s="10">
        <f t="shared" si="99"/>
        <v>0.60405698778833106</v>
      </c>
    </row>
    <row r="1561" spans="1:14" x14ac:dyDescent="0.3">
      <c r="A1561" s="9" t="s">
        <v>1699</v>
      </c>
      <c r="B1561" s="9" t="s">
        <v>1691</v>
      </c>
      <c r="C1561" s="9" t="s">
        <v>38</v>
      </c>
      <c r="D1561" s="9" t="s">
        <v>27</v>
      </c>
      <c r="E1561" s="9">
        <v>1</v>
      </c>
      <c r="F1561" s="11">
        <v>38500</v>
      </c>
      <c r="G1561" s="9" t="str">
        <f>INDEX(Products!$B$2:$B$9,MATCH(D1561,Products!$A$2:$A$9,0))</f>
        <v>Trà gừng mật ong</v>
      </c>
      <c r="H1561" s="9" t="str">
        <f>INDEX(Products!$C$2:$C$9,MATCH(D1561,Products!$A$2:$A$9,0))</f>
        <v>Giữ ấm</v>
      </c>
      <c r="I1561" s="11">
        <f>INDEX(Products!$D$2:$D$9,MATCH(D1561,Products!$A$2:$A$9,0))</f>
        <v>11000</v>
      </c>
      <c r="J1561" s="10">
        <f>IFERROR(INDEX(PlatformFees!$C$2:$C$5,MATCH(C1561,PlatformFees!$A$2:$A$5,0)),0)</f>
        <v>0.16</v>
      </c>
      <c r="K1561" s="11">
        <f t="shared" si="96"/>
        <v>11000</v>
      </c>
      <c r="L1561" s="11">
        <f t="shared" si="97"/>
        <v>6160</v>
      </c>
      <c r="M1561" s="11">
        <f t="shared" si="98"/>
        <v>21340</v>
      </c>
      <c r="N1561" s="10">
        <f t="shared" si="99"/>
        <v>0.55428571428571427</v>
      </c>
    </row>
    <row r="1562" spans="1:14" x14ac:dyDescent="0.3">
      <c r="A1562" s="9" t="s">
        <v>1700</v>
      </c>
      <c r="B1562" s="9" t="s">
        <v>1691</v>
      </c>
      <c r="C1562" s="9" t="s">
        <v>38</v>
      </c>
      <c r="D1562" s="9" t="s">
        <v>12</v>
      </c>
      <c r="E1562" s="9">
        <v>1</v>
      </c>
      <c r="F1562" s="11">
        <v>32900</v>
      </c>
      <c r="G1562" s="9" t="str">
        <f>INDEX(Products!$B$2:$B$9,MATCH(D1562,Products!$A$2:$A$9,0))</f>
        <v>Trà atiso thanh lọc</v>
      </c>
      <c r="H1562" s="9" t="str">
        <f>INDEX(Products!$C$2:$C$9,MATCH(D1562,Products!$A$2:$A$9,0))</f>
        <v>Thanh lọc</v>
      </c>
      <c r="I1562" s="11">
        <f>INDEX(Products!$D$2:$D$9,MATCH(D1562,Products!$A$2:$A$9,0))</f>
        <v>9000</v>
      </c>
      <c r="J1562" s="10">
        <f>IFERROR(INDEX(PlatformFees!$C$2:$C$5,MATCH(C1562,PlatformFees!$A$2:$A$5,0)),0)</f>
        <v>0.16</v>
      </c>
      <c r="K1562" s="11">
        <f t="shared" si="96"/>
        <v>9000</v>
      </c>
      <c r="L1562" s="11">
        <f t="shared" si="97"/>
        <v>5264</v>
      </c>
      <c r="M1562" s="11">
        <f t="shared" si="98"/>
        <v>18636</v>
      </c>
      <c r="N1562" s="10">
        <f t="shared" si="99"/>
        <v>0.56644376899696047</v>
      </c>
    </row>
    <row r="1563" spans="1:14" x14ac:dyDescent="0.3">
      <c r="A1563" s="9" t="s">
        <v>1701</v>
      </c>
      <c r="B1563" s="9" t="s">
        <v>1691</v>
      </c>
      <c r="C1563" s="9" t="s">
        <v>38</v>
      </c>
      <c r="D1563" s="9" t="s">
        <v>12</v>
      </c>
      <c r="E1563" s="9">
        <v>3</v>
      </c>
      <c r="F1563" s="11">
        <v>105500</v>
      </c>
      <c r="G1563" s="9" t="str">
        <f>INDEX(Products!$B$2:$B$9,MATCH(D1563,Products!$A$2:$A$9,0))</f>
        <v>Trà atiso thanh lọc</v>
      </c>
      <c r="H1563" s="9" t="str">
        <f>INDEX(Products!$C$2:$C$9,MATCH(D1563,Products!$A$2:$A$9,0))</f>
        <v>Thanh lọc</v>
      </c>
      <c r="I1563" s="11">
        <f>INDEX(Products!$D$2:$D$9,MATCH(D1563,Products!$A$2:$A$9,0))</f>
        <v>9000</v>
      </c>
      <c r="J1563" s="10">
        <f>IFERROR(INDEX(PlatformFees!$C$2:$C$5,MATCH(C1563,PlatformFees!$A$2:$A$5,0)),0)</f>
        <v>0.16</v>
      </c>
      <c r="K1563" s="11">
        <f t="shared" si="96"/>
        <v>27000</v>
      </c>
      <c r="L1563" s="11">
        <f t="shared" si="97"/>
        <v>16880</v>
      </c>
      <c r="M1563" s="11">
        <f t="shared" si="98"/>
        <v>61620</v>
      </c>
      <c r="N1563" s="10">
        <f t="shared" si="99"/>
        <v>0.58407582938388625</v>
      </c>
    </row>
    <row r="1564" spans="1:14" x14ac:dyDescent="0.3">
      <c r="A1564" s="9" t="s">
        <v>1702</v>
      </c>
      <c r="B1564" s="9" t="s">
        <v>1691</v>
      </c>
      <c r="C1564" s="9" t="s">
        <v>36</v>
      </c>
      <c r="D1564" s="9" t="s">
        <v>17</v>
      </c>
      <c r="E1564" s="9">
        <v>2</v>
      </c>
      <c r="F1564" s="11">
        <v>78300</v>
      </c>
      <c r="G1564" s="9" t="str">
        <f>INDEX(Products!$B$2:$B$9,MATCH(D1564,Products!$A$2:$A$9,0))</f>
        <v>Trà diếp cá rau má</v>
      </c>
      <c r="H1564" s="9" t="str">
        <f>INDEX(Products!$C$2:$C$9,MATCH(D1564,Products!$A$2:$A$9,0))</f>
        <v>Detox</v>
      </c>
      <c r="I1564" s="11">
        <f>INDEX(Products!$D$2:$D$9,MATCH(D1564,Products!$A$2:$A$9,0))</f>
        <v>10500</v>
      </c>
      <c r="J1564" s="10">
        <f>IFERROR(INDEX(PlatformFees!$C$2:$C$5,MATCH(C1564,PlatformFees!$A$2:$A$5,0)),0)</f>
        <v>0.13</v>
      </c>
      <c r="K1564" s="11">
        <f t="shared" si="96"/>
        <v>21000</v>
      </c>
      <c r="L1564" s="11">
        <f t="shared" si="97"/>
        <v>10179</v>
      </c>
      <c r="M1564" s="11">
        <f t="shared" si="98"/>
        <v>47121</v>
      </c>
      <c r="N1564" s="10">
        <f t="shared" si="99"/>
        <v>0.60180076628352486</v>
      </c>
    </row>
    <row r="1565" spans="1:14" x14ac:dyDescent="0.3">
      <c r="A1565" s="9" t="s">
        <v>1703</v>
      </c>
      <c r="B1565" s="9" t="s">
        <v>1691</v>
      </c>
      <c r="C1565" s="9" t="s">
        <v>38</v>
      </c>
      <c r="D1565" s="9" t="s">
        <v>30</v>
      </c>
      <c r="E1565" s="9">
        <v>2</v>
      </c>
      <c r="F1565" s="11">
        <v>73100</v>
      </c>
      <c r="G1565" s="9" t="str">
        <f>INDEX(Products!$B$2:$B$9,MATCH(D1565,Products!$A$2:$A$9,0))</f>
        <v>Trà mâm xôi vitamin</v>
      </c>
      <c r="H1565" s="9" t="str">
        <f>INDEX(Products!$C$2:$C$9,MATCH(D1565,Products!$A$2:$A$9,0))</f>
        <v>Bổ sung dưỡng chất</v>
      </c>
      <c r="I1565" s="11">
        <f>INDEX(Products!$D$2:$D$9,MATCH(D1565,Products!$A$2:$A$9,0))</f>
        <v>9800</v>
      </c>
      <c r="J1565" s="10">
        <f>IFERROR(INDEX(PlatformFees!$C$2:$C$5,MATCH(C1565,PlatformFees!$A$2:$A$5,0)),0)</f>
        <v>0.16</v>
      </c>
      <c r="K1565" s="11">
        <f t="shared" si="96"/>
        <v>19600</v>
      </c>
      <c r="L1565" s="11">
        <f t="shared" si="97"/>
        <v>11696</v>
      </c>
      <c r="M1565" s="11">
        <f t="shared" si="98"/>
        <v>41804</v>
      </c>
      <c r="N1565" s="10">
        <f t="shared" si="99"/>
        <v>0.57187414500683997</v>
      </c>
    </row>
    <row r="1566" spans="1:14" x14ac:dyDescent="0.3">
      <c r="A1566" s="9" t="s">
        <v>1704</v>
      </c>
      <c r="B1566" s="9" t="s">
        <v>1691</v>
      </c>
      <c r="C1566" s="9" t="s">
        <v>39</v>
      </c>
      <c r="D1566" s="9" t="s">
        <v>27</v>
      </c>
      <c r="E1566" s="9">
        <v>1</v>
      </c>
      <c r="F1566" s="11">
        <v>38200</v>
      </c>
      <c r="G1566" s="9" t="str">
        <f>INDEX(Products!$B$2:$B$9,MATCH(D1566,Products!$A$2:$A$9,0))</f>
        <v>Trà gừng mật ong</v>
      </c>
      <c r="H1566" s="9" t="str">
        <f>INDEX(Products!$C$2:$C$9,MATCH(D1566,Products!$A$2:$A$9,0))</f>
        <v>Giữ ấm</v>
      </c>
      <c r="I1566" s="11">
        <f>INDEX(Products!$D$2:$D$9,MATCH(D1566,Products!$A$2:$A$9,0))</f>
        <v>11000</v>
      </c>
      <c r="J1566" s="10">
        <f>IFERROR(INDEX(PlatformFees!$C$2:$C$5,MATCH(C1566,PlatformFees!$A$2:$A$5,0)),0)</f>
        <v>0</v>
      </c>
      <c r="K1566" s="11">
        <f t="shared" si="96"/>
        <v>11000</v>
      </c>
      <c r="L1566" s="11">
        <f t="shared" si="97"/>
        <v>0</v>
      </c>
      <c r="M1566" s="11">
        <f t="shared" si="98"/>
        <v>27200</v>
      </c>
      <c r="N1566" s="10">
        <f t="shared" si="99"/>
        <v>0.7120418848167539</v>
      </c>
    </row>
    <row r="1567" spans="1:14" x14ac:dyDescent="0.3">
      <c r="A1567" s="9" t="s">
        <v>1705</v>
      </c>
      <c r="B1567" s="9" t="s">
        <v>1691</v>
      </c>
      <c r="C1567" s="9" t="s">
        <v>39</v>
      </c>
      <c r="D1567" s="9" t="s">
        <v>22</v>
      </c>
      <c r="E1567" s="9">
        <v>2</v>
      </c>
      <c r="F1567" s="11">
        <v>72200</v>
      </c>
      <c r="G1567" s="9" t="str">
        <f>INDEX(Products!$B$2:$B$9,MATCH(D1567,Products!$A$2:$A$9,0))</f>
        <v>Trà hoa cúc an thần</v>
      </c>
      <c r="H1567" s="9" t="str">
        <f>INDEX(Products!$C$2:$C$9,MATCH(D1567,Products!$A$2:$A$9,0))</f>
        <v>An thần</v>
      </c>
      <c r="I1567" s="11">
        <f>INDEX(Products!$D$2:$D$9,MATCH(D1567,Products!$A$2:$A$9,0))</f>
        <v>9500</v>
      </c>
      <c r="J1567" s="10">
        <f>IFERROR(INDEX(PlatformFees!$C$2:$C$5,MATCH(C1567,PlatformFees!$A$2:$A$5,0)),0)</f>
        <v>0</v>
      </c>
      <c r="K1567" s="11">
        <f t="shared" si="96"/>
        <v>19000</v>
      </c>
      <c r="L1567" s="11">
        <f t="shared" si="97"/>
        <v>0</v>
      </c>
      <c r="M1567" s="11">
        <f t="shared" si="98"/>
        <v>53200</v>
      </c>
      <c r="N1567" s="10">
        <f t="shared" si="99"/>
        <v>0.73684210526315785</v>
      </c>
    </row>
    <row r="1568" spans="1:14" x14ac:dyDescent="0.3">
      <c r="A1568" s="9" t="s">
        <v>1706</v>
      </c>
      <c r="B1568" s="9" t="s">
        <v>1691</v>
      </c>
      <c r="C1568" s="9" t="s">
        <v>36</v>
      </c>
      <c r="D1568" s="9" t="s">
        <v>17</v>
      </c>
      <c r="E1568" s="9">
        <v>2</v>
      </c>
      <c r="F1568" s="11">
        <v>81900</v>
      </c>
      <c r="G1568" s="9" t="str">
        <f>INDEX(Products!$B$2:$B$9,MATCH(D1568,Products!$A$2:$A$9,0))</f>
        <v>Trà diếp cá rau má</v>
      </c>
      <c r="H1568" s="9" t="str">
        <f>INDEX(Products!$C$2:$C$9,MATCH(D1568,Products!$A$2:$A$9,0))</f>
        <v>Detox</v>
      </c>
      <c r="I1568" s="11">
        <f>INDEX(Products!$D$2:$D$9,MATCH(D1568,Products!$A$2:$A$9,0))</f>
        <v>10500</v>
      </c>
      <c r="J1568" s="10">
        <f>IFERROR(INDEX(PlatformFees!$C$2:$C$5,MATCH(C1568,PlatformFees!$A$2:$A$5,0)),0)</f>
        <v>0.13</v>
      </c>
      <c r="K1568" s="11">
        <f t="shared" si="96"/>
        <v>21000</v>
      </c>
      <c r="L1568" s="11">
        <f t="shared" si="97"/>
        <v>10647</v>
      </c>
      <c r="M1568" s="11">
        <f t="shared" si="98"/>
        <v>50253</v>
      </c>
      <c r="N1568" s="10">
        <f t="shared" si="99"/>
        <v>0.61358974358974361</v>
      </c>
    </row>
    <row r="1569" spans="1:14" x14ac:dyDescent="0.3">
      <c r="A1569" s="9" t="s">
        <v>1707</v>
      </c>
      <c r="B1569" s="9" t="s">
        <v>1691</v>
      </c>
      <c r="C1569" s="9" t="s">
        <v>39</v>
      </c>
      <c r="D1569" s="9" t="s">
        <v>22</v>
      </c>
      <c r="E1569" s="9">
        <v>2</v>
      </c>
      <c r="F1569" s="11">
        <v>75600</v>
      </c>
      <c r="G1569" s="9" t="str">
        <f>INDEX(Products!$B$2:$B$9,MATCH(D1569,Products!$A$2:$A$9,0))</f>
        <v>Trà hoa cúc an thần</v>
      </c>
      <c r="H1569" s="9" t="str">
        <f>INDEX(Products!$C$2:$C$9,MATCH(D1569,Products!$A$2:$A$9,0))</f>
        <v>An thần</v>
      </c>
      <c r="I1569" s="11">
        <f>INDEX(Products!$D$2:$D$9,MATCH(D1569,Products!$A$2:$A$9,0))</f>
        <v>9500</v>
      </c>
      <c r="J1569" s="10">
        <f>IFERROR(INDEX(PlatformFees!$C$2:$C$5,MATCH(C1569,PlatformFees!$A$2:$A$5,0)),0)</f>
        <v>0</v>
      </c>
      <c r="K1569" s="11">
        <f t="shared" si="96"/>
        <v>19000</v>
      </c>
      <c r="L1569" s="11">
        <f t="shared" si="97"/>
        <v>0</v>
      </c>
      <c r="M1569" s="11">
        <f t="shared" si="98"/>
        <v>56600</v>
      </c>
      <c r="N1569" s="10">
        <f t="shared" si="99"/>
        <v>0.74867724867724872</v>
      </c>
    </row>
    <row r="1570" spans="1:14" x14ac:dyDescent="0.3">
      <c r="A1570" s="9" t="s">
        <v>1708</v>
      </c>
      <c r="B1570" s="9" t="s">
        <v>1691</v>
      </c>
      <c r="C1570" s="9" t="s">
        <v>38</v>
      </c>
      <c r="D1570" s="9" t="s">
        <v>17</v>
      </c>
      <c r="E1570" s="9">
        <v>2</v>
      </c>
      <c r="F1570" s="11">
        <v>80700</v>
      </c>
      <c r="G1570" s="9" t="str">
        <f>INDEX(Products!$B$2:$B$9,MATCH(D1570,Products!$A$2:$A$9,0))</f>
        <v>Trà diếp cá rau má</v>
      </c>
      <c r="H1570" s="9" t="str">
        <f>INDEX(Products!$C$2:$C$9,MATCH(D1570,Products!$A$2:$A$9,0))</f>
        <v>Detox</v>
      </c>
      <c r="I1570" s="11">
        <f>INDEX(Products!$D$2:$D$9,MATCH(D1570,Products!$A$2:$A$9,0))</f>
        <v>10500</v>
      </c>
      <c r="J1570" s="10">
        <f>IFERROR(INDEX(PlatformFees!$C$2:$C$5,MATCH(C1570,PlatformFees!$A$2:$A$5,0)),0)</f>
        <v>0.16</v>
      </c>
      <c r="K1570" s="11">
        <f t="shared" si="96"/>
        <v>21000</v>
      </c>
      <c r="L1570" s="11">
        <f t="shared" si="97"/>
        <v>12912</v>
      </c>
      <c r="M1570" s="11">
        <f t="shared" si="98"/>
        <v>46788</v>
      </c>
      <c r="N1570" s="10">
        <f t="shared" si="99"/>
        <v>0.57977695167286247</v>
      </c>
    </row>
    <row r="1571" spans="1:14" x14ac:dyDescent="0.3">
      <c r="A1571" s="9" t="s">
        <v>1709</v>
      </c>
      <c r="B1571" s="9" t="s">
        <v>1691</v>
      </c>
      <c r="C1571" s="9" t="s">
        <v>38</v>
      </c>
      <c r="D1571" s="9" t="s">
        <v>22</v>
      </c>
      <c r="E1571" s="9">
        <v>1</v>
      </c>
      <c r="F1571" s="11">
        <v>35700</v>
      </c>
      <c r="G1571" s="9" t="str">
        <f>INDEX(Products!$B$2:$B$9,MATCH(D1571,Products!$A$2:$A$9,0))</f>
        <v>Trà hoa cúc an thần</v>
      </c>
      <c r="H1571" s="9" t="str">
        <f>INDEX(Products!$C$2:$C$9,MATCH(D1571,Products!$A$2:$A$9,0))</f>
        <v>An thần</v>
      </c>
      <c r="I1571" s="11">
        <f>INDEX(Products!$D$2:$D$9,MATCH(D1571,Products!$A$2:$A$9,0))</f>
        <v>9500</v>
      </c>
      <c r="J1571" s="10">
        <f>IFERROR(INDEX(PlatformFees!$C$2:$C$5,MATCH(C1571,PlatformFees!$A$2:$A$5,0)),0)</f>
        <v>0.16</v>
      </c>
      <c r="K1571" s="11">
        <f t="shared" si="96"/>
        <v>9500</v>
      </c>
      <c r="L1571" s="11">
        <f t="shared" si="97"/>
        <v>5712</v>
      </c>
      <c r="M1571" s="11">
        <f t="shared" si="98"/>
        <v>20488</v>
      </c>
      <c r="N1571" s="10">
        <f t="shared" si="99"/>
        <v>0.57389355742296921</v>
      </c>
    </row>
    <row r="1572" spans="1:14" x14ac:dyDescent="0.3">
      <c r="A1572" s="9" t="s">
        <v>1710</v>
      </c>
      <c r="B1572" s="9" t="s">
        <v>1691</v>
      </c>
      <c r="C1572" s="9" t="s">
        <v>39</v>
      </c>
      <c r="D1572" s="9" t="s">
        <v>12</v>
      </c>
      <c r="E1572" s="9">
        <v>2</v>
      </c>
      <c r="F1572" s="11">
        <v>71300</v>
      </c>
      <c r="G1572" s="9" t="str">
        <f>INDEX(Products!$B$2:$B$9,MATCH(D1572,Products!$A$2:$A$9,0))</f>
        <v>Trà atiso thanh lọc</v>
      </c>
      <c r="H1572" s="9" t="str">
        <f>INDEX(Products!$C$2:$C$9,MATCH(D1572,Products!$A$2:$A$9,0))</f>
        <v>Thanh lọc</v>
      </c>
      <c r="I1572" s="11">
        <f>INDEX(Products!$D$2:$D$9,MATCH(D1572,Products!$A$2:$A$9,0))</f>
        <v>9000</v>
      </c>
      <c r="J1572" s="10">
        <f>IFERROR(INDEX(PlatformFees!$C$2:$C$5,MATCH(C1572,PlatformFees!$A$2:$A$5,0)),0)</f>
        <v>0</v>
      </c>
      <c r="K1572" s="11">
        <f t="shared" si="96"/>
        <v>18000</v>
      </c>
      <c r="L1572" s="11">
        <f t="shared" si="97"/>
        <v>0</v>
      </c>
      <c r="M1572" s="11">
        <f t="shared" si="98"/>
        <v>53300</v>
      </c>
      <c r="N1572" s="10">
        <f t="shared" si="99"/>
        <v>0.74754558204768584</v>
      </c>
    </row>
    <row r="1573" spans="1:14" x14ac:dyDescent="0.3">
      <c r="A1573" s="9" t="s">
        <v>1711</v>
      </c>
      <c r="B1573" s="9" t="s">
        <v>1691</v>
      </c>
      <c r="C1573" s="9" t="s">
        <v>36</v>
      </c>
      <c r="D1573" s="9" t="s">
        <v>30</v>
      </c>
      <c r="E1573" s="9">
        <v>1</v>
      </c>
      <c r="F1573" s="11">
        <v>33800</v>
      </c>
      <c r="G1573" s="9" t="str">
        <f>INDEX(Products!$B$2:$B$9,MATCH(D1573,Products!$A$2:$A$9,0))</f>
        <v>Trà mâm xôi vitamin</v>
      </c>
      <c r="H1573" s="9" t="str">
        <f>INDEX(Products!$C$2:$C$9,MATCH(D1573,Products!$A$2:$A$9,0))</f>
        <v>Bổ sung dưỡng chất</v>
      </c>
      <c r="I1573" s="11">
        <f>INDEX(Products!$D$2:$D$9,MATCH(D1573,Products!$A$2:$A$9,0))</f>
        <v>9800</v>
      </c>
      <c r="J1573" s="10">
        <f>IFERROR(INDEX(PlatformFees!$C$2:$C$5,MATCH(C1573,PlatformFees!$A$2:$A$5,0)),0)</f>
        <v>0.13</v>
      </c>
      <c r="K1573" s="11">
        <f t="shared" si="96"/>
        <v>9800</v>
      </c>
      <c r="L1573" s="11">
        <f t="shared" si="97"/>
        <v>4394</v>
      </c>
      <c r="M1573" s="11">
        <f t="shared" si="98"/>
        <v>19606</v>
      </c>
      <c r="N1573" s="10">
        <f t="shared" si="99"/>
        <v>0.58005917159763309</v>
      </c>
    </row>
    <row r="1574" spans="1:14" x14ac:dyDescent="0.3">
      <c r="A1574" s="9" t="s">
        <v>1712</v>
      </c>
      <c r="B1574" s="9" t="s">
        <v>1691</v>
      </c>
      <c r="C1574" s="9" t="s">
        <v>36</v>
      </c>
      <c r="D1574" s="9" t="s">
        <v>15</v>
      </c>
      <c r="E1574" s="9">
        <v>1</v>
      </c>
      <c r="F1574" s="11">
        <v>32500</v>
      </c>
      <c r="G1574" s="9" t="str">
        <f>INDEX(Products!$B$2:$B$9,MATCH(D1574,Products!$A$2:$A$9,0))</f>
        <v>Trà lá nam sen ổi</v>
      </c>
      <c r="H1574" s="9" t="str">
        <f>INDEX(Products!$C$2:$C$9,MATCH(D1574,Products!$A$2:$A$9,0))</f>
        <v>Thanh lọc</v>
      </c>
      <c r="I1574" s="11">
        <f>INDEX(Products!$D$2:$D$9,MATCH(D1574,Products!$A$2:$A$9,0))</f>
        <v>8500</v>
      </c>
      <c r="J1574" s="10">
        <f>IFERROR(INDEX(PlatformFees!$C$2:$C$5,MATCH(C1574,PlatformFees!$A$2:$A$5,0)),0)</f>
        <v>0.13</v>
      </c>
      <c r="K1574" s="11">
        <f t="shared" si="96"/>
        <v>8500</v>
      </c>
      <c r="L1574" s="11">
        <f t="shared" si="97"/>
        <v>4225</v>
      </c>
      <c r="M1574" s="11">
        <f t="shared" si="98"/>
        <v>19775</v>
      </c>
      <c r="N1574" s="10">
        <f t="shared" si="99"/>
        <v>0.6084615384615385</v>
      </c>
    </row>
    <row r="1575" spans="1:14" x14ac:dyDescent="0.3">
      <c r="A1575" s="9" t="s">
        <v>1713</v>
      </c>
      <c r="B1575" s="9" t="s">
        <v>1691</v>
      </c>
      <c r="C1575" s="9" t="s">
        <v>38</v>
      </c>
      <c r="D1575" s="9" t="s">
        <v>22</v>
      </c>
      <c r="E1575" s="9">
        <v>1</v>
      </c>
      <c r="F1575" s="11">
        <v>36700</v>
      </c>
      <c r="G1575" s="9" t="str">
        <f>INDEX(Products!$B$2:$B$9,MATCH(D1575,Products!$A$2:$A$9,0))</f>
        <v>Trà hoa cúc an thần</v>
      </c>
      <c r="H1575" s="9" t="str">
        <f>INDEX(Products!$C$2:$C$9,MATCH(D1575,Products!$A$2:$A$9,0))</f>
        <v>An thần</v>
      </c>
      <c r="I1575" s="11">
        <f>INDEX(Products!$D$2:$D$9,MATCH(D1575,Products!$A$2:$A$9,0))</f>
        <v>9500</v>
      </c>
      <c r="J1575" s="10">
        <f>IFERROR(INDEX(PlatformFees!$C$2:$C$5,MATCH(C1575,PlatformFees!$A$2:$A$5,0)),0)</f>
        <v>0.16</v>
      </c>
      <c r="K1575" s="11">
        <f t="shared" si="96"/>
        <v>9500</v>
      </c>
      <c r="L1575" s="11">
        <f t="shared" si="97"/>
        <v>5872</v>
      </c>
      <c r="M1575" s="11">
        <f t="shared" si="98"/>
        <v>21328</v>
      </c>
      <c r="N1575" s="10">
        <f t="shared" si="99"/>
        <v>0.58114441416893736</v>
      </c>
    </row>
    <row r="1576" spans="1:14" x14ac:dyDescent="0.3">
      <c r="A1576" s="9" t="s">
        <v>1714</v>
      </c>
      <c r="B1576" s="9" t="s">
        <v>1691</v>
      </c>
      <c r="C1576" s="9" t="s">
        <v>38</v>
      </c>
      <c r="D1576" s="9" t="s">
        <v>30</v>
      </c>
      <c r="E1576" s="9">
        <v>2</v>
      </c>
      <c r="F1576" s="11">
        <v>69000</v>
      </c>
      <c r="G1576" s="9" t="str">
        <f>INDEX(Products!$B$2:$B$9,MATCH(D1576,Products!$A$2:$A$9,0))</f>
        <v>Trà mâm xôi vitamin</v>
      </c>
      <c r="H1576" s="9" t="str">
        <f>INDEX(Products!$C$2:$C$9,MATCH(D1576,Products!$A$2:$A$9,0))</f>
        <v>Bổ sung dưỡng chất</v>
      </c>
      <c r="I1576" s="11">
        <f>INDEX(Products!$D$2:$D$9,MATCH(D1576,Products!$A$2:$A$9,0))</f>
        <v>9800</v>
      </c>
      <c r="J1576" s="10">
        <f>IFERROR(INDEX(PlatformFees!$C$2:$C$5,MATCH(C1576,PlatformFees!$A$2:$A$5,0)),0)</f>
        <v>0.16</v>
      </c>
      <c r="K1576" s="11">
        <f t="shared" si="96"/>
        <v>19600</v>
      </c>
      <c r="L1576" s="11">
        <f t="shared" si="97"/>
        <v>11040</v>
      </c>
      <c r="M1576" s="11">
        <f t="shared" si="98"/>
        <v>38360</v>
      </c>
      <c r="N1576" s="10">
        <f t="shared" si="99"/>
        <v>0.55594202898550726</v>
      </c>
    </row>
    <row r="1577" spans="1:14" x14ac:dyDescent="0.3">
      <c r="A1577" s="9" t="s">
        <v>1715</v>
      </c>
      <c r="B1577" s="9" t="s">
        <v>1691</v>
      </c>
      <c r="C1577" s="9" t="s">
        <v>36</v>
      </c>
      <c r="D1577" s="9" t="s">
        <v>22</v>
      </c>
      <c r="E1577" s="9">
        <v>1</v>
      </c>
      <c r="F1577" s="11">
        <v>35800</v>
      </c>
      <c r="G1577" s="9" t="str">
        <f>INDEX(Products!$B$2:$B$9,MATCH(D1577,Products!$A$2:$A$9,0))</f>
        <v>Trà hoa cúc an thần</v>
      </c>
      <c r="H1577" s="9" t="str">
        <f>INDEX(Products!$C$2:$C$9,MATCH(D1577,Products!$A$2:$A$9,0))</f>
        <v>An thần</v>
      </c>
      <c r="I1577" s="11">
        <f>INDEX(Products!$D$2:$D$9,MATCH(D1577,Products!$A$2:$A$9,0))</f>
        <v>9500</v>
      </c>
      <c r="J1577" s="10">
        <f>IFERROR(INDEX(PlatformFees!$C$2:$C$5,MATCH(C1577,PlatformFees!$A$2:$A$5,0)),0)</f>
        <v>0.13</v>
      </c>
      <c r="K1577" s="11">
        <f t="shared" si="96"/>
        <v>9500</v>
      </c>
      <c r="L1577" s="11">
        <f t="shared" si="97"/>
        <v>4654</v>
      </c>
      <c r="M1577" s="11">
        <f t="shared" si="98"/>
        <v>21646</v>
      </c>
      <c r="N1577" s="10">
        <f t="shared" si="99"/>
        <v>0.60463687150837986</v>
      </c>
    </row>
    <row r="1578" spans="1:14" x14ac:dyDescent="0.3">
      <c r="A1578" s="9" t="s">
        <v>1716</v>
      </c>
      <c r="B1578" s="9" t="s">
        <v>1717</v>
      </c>
      <c r="C1578" s="9" t="s">
        <v>39</v>
      </c>
      <c r="D1578" s="9" t="s">
        <v>15</v>
      </c>
      <c r="E1578" s="9">
        <v>2</v>
      </c>
      <c r="F1578" s="11">
        <v>63400</v>
      </c>
      <c r="G1578" s="9" t="str">
        <f>INDEX(Products!$B$2:$B$9,MATCH(D1578,Products!$A$2:$A$9,0))</f>
        <v>Trà lá nam sen ổi</v>
      </c>
      <c r="H1578" s="9" t="str">
        <f>INDEX(Products!$C$2:$C$9,MATCH(D1578,Products!$A$2:$A$9,0))</f>
        <v>Thanh lọc</v>
      </c>
      <c r="I1578" s="11">
        <f>INDEX(Products!$D$2:$D$9,MATCH(D1578,Products!$A$2:$A$9,0))</f>
        <v>8500</v>
      </c>
      <c r="J1578" s="10">
        <f>IFERROR(INDEX(PlatformFees!$C$2:$C$5,MATCH(C1578,PlatformFees!$A$2:$A$5,0)),0)</f>
        <v>0</v>
      </c>
      <c r="K1578" s="11">
        <f t="shared" si="96"/>
        <v>17000</v>
      </c>
      <c r="L1578" s="11">
        <f t="shared" si="97"/>
        <v>0</v>
      </c>
      <c r="M1578" s="11">
        <f t="shared" si="98"/>
        <v>46400</v>
      </c>
      <c r="N1578" s="10">
        <f t="shared" si="99"/>
        <v>0.73186119873817035</v>
      </c>
    </row>
    <row r="1579" spans="1:14" x14ac:dyDescent="0.3">
      <c r="A1579" s="9" t="s">
        <v>1718</v>
      </c>
      <c r="B1579" s="9" t="s">
        <v>1717</v>
      </c>
      <c r="C1579" s="9" t="s">
        <v>36</v>
      </c>
      <c r="D1579" s="9" t="s">
        <v>17</v>
      </c>
      <c r="E1579" s="9">
        <v>3</v>
      </c>
      <c r="F1579" s="11">
        <v>126800</v>
      </c>
      <c r="G1579" s="9" t="str">
        <f>INDEX(Products!$B$2:$B$9,MATCH(D1579,Products!$A$2:$A$9,0))</f>
        <v>Trà diếp cá rau má</v>
      </c>
      <c r="H1579" s="9" t="str">
        <f>INDEX(Products!$C$2:$C$9,MATCH(D1579,Products!$A$2:$A$9,0))</f>
        <v>Detox</v>
      </c>
      <c r="I1579" s="11">
        <f>INDEX(Products!$D$2:$D$9,MATCH(D1579,Products!$A$2:$A$9,0))</f>
        <v>10500</v>
      </c>
      <c r="J1579" s="10">
        <f>IFERROR(INDEX(PlatformFees!$C$2:$C$5,MATCH(C1579,PlatformFees!$A$2:$A$5,0)),0)</f>
        <v>0.13</v>
      </c>
      <c r="K1579" s="11">
        <f t="shared" si="96"/>
        <v>31500</v>
      </c>
      <c r="L1579" s="11">
        <f t="shared" si="97"/>
        <v>16484</v>
      </c>
      <c r="M1579" s="11">
        <f t="shared" si="98"/>
        <v>78816</v>
      </c>
      <c r="N1579" s="10">
        <f t="shared" si="99"/>
        <v>0.62157728706624604</v>
      </c>
    </row>
    <row r="1580" spans="1:14" x14ac:dyDescent="0.3">
      <c r="A1580" s="9" t="s">
        <v>1719</v>
      </c>
      <c r="B1580" s="9" t="s">
        <v>1717</v>
      </c>
      <c r="C1580" s="9" t="s">
        <v>38</v>
      </c>
      <c r="D1580" s="9" t="s">
        <v>22</v>
      </c>
      <c r="E1580" s="9">
        <v>2</v>
      </c>
      <c r="F1580" s="11">
        <v>77000</v>
      </c>
      <c r="G1580" s="9" t="str">
        <f>INDEX(Products!$B$2:$B$9,MATCH(D1580,Products!$A$2:$A$9,0))</f>
        <v>Trà hoa cúc an thần</v>
      </c>
      <c r="H1580" s="9" t="str">
        <f>INDEX(Products!$C$2:$C$9,MATCH(D1580,Products!$A$2:$A$9,0))</f>
        <v>An thần</v>
      </c>
      <c r="I1580" s="11">
        <f>INDEX(Products!$D$2:$D$9,MATCH(D1580,Products!$A$2:$A$9,0))</f>
        <v>9500</v>
      </c>
      <c r="J1580" s="10">
        <f>IFERROR(INDEX(PlatformFees!$C$2:$C$5,MATCH(C1580,PlatformFees!$A$2:$A$5,0)),0)</f>
        <v>0.16</v>
      </c>
      <c r="K1580" s="11">
        <f t="shared" si="96"/>
        <v>19000</v>
      </c>
      <c r="L1580" s="11">
        <f t="shared" si="97"/>
        <v>12320</v>
      </c>
      <c r="M1580" s="11">
        <f t="shared" si="98"/>
        <v>45680</v>
      </c>
      <c r="N1580" s="10">
        <f t="shared" si="99"/>
        <v>0.59324675324675324</v>
      </c>
    </row>
    <row r="1581" spans="1:14" x14ac:dyDescent="0.3">
      <c r="A1581" s="9" t="s">
        <v>1720</v>
      </c>
      <c r="B1581" s="9" t="s">
        <v>1717</v>
      </c>
      <c r="C1581" s="9" t="s">
        <v>36</v>
      </c>
      <c r="D1581" s="9" t="s">
        <v>17</v>
      </c>
      <c r="E1581" s="9">
        <v>1</v>
      </c>
      <c r="F1581" s="11">
        <v>42800</v>
      </c>
      <c r="G1581" s="9" t="str">
        <f>INDEX(Products!$B$2:$B$9,MATCH(D1581,Products!$A$2:$A$9,0))</f>
        <v>Trà diếp cá rau má</v>
      </c>
      <c r="H1581" s="9" t="str">
        <f>INDEX(Products!$C$2:$C$9,MATCH(D1581,Products!$A$2:$A$9,0))</f>
        <v>Detox</v>
      </c>
      <c r="I1581" s="11">
        <f>INDEX(Products!$D$2:$D$9,MATCH(D1581,Products!$A$2:$A$9,0))</f>
        <v>10500</v>
      </c>
      <c r="J1581" s="10">
        <f>IFERROR(INDEX(PlatformFees!$C$2:$C$5,MATCH(C1581,PlatformFees!$A$2:$A$5,0)),0)</f>
        <v>0.13</v>
      </c>
      <c r="K1581" s="11">
        <f t="shared" si="96"/>
        <v>10500</v>
      </c>
      <c r="L1581" s="11">
        <f t="shared" si="97"/>
        <v>5564</v>
      </c>
      <c r="M1581" s="11">
        <f t="shared" si="98"/>
        <v>26736</v>
      </c>
      <c r="N1581" s="10">
        <f t="shared" si="99"/>
        <v>0.62467289719626173</v>
      </c>
    </row>
    <row r="1582" spans="1:14" x14ac:dyDescent="0.3">
      <c r="A1582" s="9" t="s">
        <v>1721</v>
      </c>
      <c r="B1582" s="9" t="s">
        <v>1717</v>
      </c>
      <c r="C1582" s="9" t="s">
        <v>36</v>
      </c>
      <c r="D1582" s="9" t="s">
        <v>25</v>
      </c>
      <c r="E1582" s="9">
        <v>1</v>
      </c>
      <c r="F1582" s="11">
        <v>33100</v>
      </c>
      <c r="G1582" s="9" t="str">
        <f>INDEX(Products!$B$2:$B$9,MATCH(D1582,Products!$A$2:$A$9,0))</f>
        <v>Trà hoa đậu biếc</v>
      </c>
      <c r="H1582" s="9" t="str">
        <f>INDEX(Products!$C$2:$C$9,MATCH(D1582,Products!$A$2:$A$9,0))</f>
        <v>An thần</v>
      </c>
      <c r="I1582" s="11">
        <f>INDEX(Products!$D$2:$D$9,MATCH(D1582,Products!$A$2:$A$9,0))</f>
        <v>8800</v>
      </c>
      <c r="J1582" s="10">
        <f>IFERROR(INDEX(PlatformFees!$C$2:$C$5,MATCH(C1582,PlatformFees!$A$2:$A$5,0)),0)</f>
        <v>0.13</v>
      </c>
      <c r="K1582" s="11">
        <f t="shared" si="96"/>
        <v>8800</v>
      </c>
      <c r="L1582" s="11">
        <f t="shared" si="97"/>
        <v>4303</v>
      </c>
      <c r="M1582" s="11">
        <f t="shared" si="98"/>
        <v>19997</v>
      </c>
      <c r="N1582" s="10">
        <f t="shared" si="99"/>
        <v>0.60413897280966766</v>
      </c>
    </row>
    <row r="1583" spans="1:14" x14ac:dyDescent="0.3">
      <c r="A1583" s="9" t="s">
        <v>1722</v>
      </c>
      <c r="B1583" s="9" t="s">
        <v>1717</v>
      </c>
      <c r="C1583" s="9" t="s">
        <v>40</v>
      </c>
      <c r="D1583" s="9" t="s">
        <v>27</v>
      </c>
      <c r="E1583" s="9">
        <v>1</v>
      </c>
      <c r="F1583" s="11">
        <v>37500</v>
      </c>
      <c r="G1583" s="9" t="str">
        <f>INDEX(Products!$B$2:$B$9,MATCH(D1583,Products!$A$2:$A$9,0))</f>
        <v>Trà gừng mật ong</v>
      </c>
      <c r="H1583" s="9" t="str">
        <f>INDEX(Products!$C$2:$C$9,MATCH(D1583,Products!$A$2:$A$9,0))</f>
        <v>Giữ ấm</v>
      </c>
      <c r="I1583" s="11">
        <f>INDEX(Products!$D$2:$D$9,MATCH(D1583,Products!$A$2:$A$9,0))</f>
        <v>11000</v>
      </c>
      <c r="J1583" s="10">
        <f>IFERROR(INDEX(PlatformFees!$C$2:$C$5,MATCH(C1583,PlatformFees!$A$2:$A$5,0)),0)</f>
        <v>0</v>
      </c>
      <c r="K1583" s="11">
        <f t="shared" si="96"/>
        <v>11000</v>
      </c>
      <c r="L1583" s="11">
        <f t="shared" si="97"/>
        <v>0</v>
      </c>
      <c r="M1583" s="11">
        <f t="shared" si="98"/>
        <v>26500</v>
      </c>
      <c r="N1583" s="10">
        <f t="shared" si="99"/>
        <v>0.70666666666666667</v>
      </c>
    </row>
    <row r="1584" spans="1:14" x14ac:dyDescent="0.3">
      <c r="A1584" s="9" t="s">
        <v>1723</v>
      </c>
      <c r="B1584" s="9" t="s">
        <v>1717</v>
      </c>
      <c r="C1584" s="9" t="s">
        <v>36</v>
      </c>
      <c r="D1584" s="9" t="s">
        <v>30</v>
      </c>
      <c r="E1584" s="9">
        <v>2</v>
      </c>
      <c r="F1584" s="11">
        <v>73600</v>
      </c>
      <c r="G1584" s="9" t="str">
        <f>INDEX(Products!$B$2:$B$9,MATCH(D1584,Products!$A$2:$A$9,0))</f>
        <v>Trà mâm xôi vitamin</v>
      </c>
      <c r="H1584" s="9" t="str">
        <f>INDEX(Products!$C$2:$C$9,MATCH(D1584,Products!$A$2:$A$9,0))</f>
        <v>Bổ sung dưỡng chất</v>
      </c>
      <c r="I1584" s="11">
        <f>INDEX(Products!$D$2:$D$9,MATCH(D1584,Products!$A$2:$A$9,0))</f>
        <v>9800</v>
      </c>
      <c r="J1584" s="10">
        <f>IFERROR(INDEX(PlatformFees!$C$2:$C$5,MATCH(C1584,PlatformFees!$A$2:$A$5,0)),0)</f>
        <v>0.13</v>
      </c>
      <c r="K1584" s="11">
        <f t="shared" si="96"/>
        <v>19600</v>
      </c>
      <c r="L1584" s="11">
        <f t="shared" si="97"/>
        <v>9568</v>
      </c>
      <c r="M1584" s="11">
        <f t="shared" si="98"/>
        <v>44432</v>
      </c>
      <c r="N1584" s="10">
        <f t="shared" si="99"/>
        <v>0.60369565217391308</v>
      </c>
    </row>
    <row r="1585" spans="1:14" x14ac:dyDescent="0.3">
      <c r="A1585" s="9" t="s">
        <v>1724</v>
      </c>
      <c r="B1585" s="9" t="s">
        <v>1717</v>
      </c>
      <c r="C1585" s="9" t="s">
        <v>39</v>
      </c>
      <c r="D1585" s="9" t="s">
        <v>15</v>
      </c>
      <c r="E1585" s="9">
        <v>1</v>
      </c>
      <c r="F1585" s="11">
        <v>32400</v>
      </c>
      <c r="G1585" s="9" t="str">
        <f>INDEX(Products!$B$2:$B$9,MATCH(D1585,Products!$A$2:$A$9,0))</f>
        <v>Trà lá nam sen ổi</v>
      </c>
      <c r="H1585" s="9" t="str">
        <f>INDEX(Products!$C$2:$C$9,MATCH(D1585,Products!$A$2:$A$9,0))</f>
        <v>Thanh lọc</v>
      </c>
      <c r="I1585" s="11">
        <f>INDEX(Products!$D$2:$D$9,MATCH(D1585,Products!$A$2:$A$9,0))</f>
        <v>8500</v>
      </c>
      <c r="J1585" s="10">
        <f>IFERROR(INDEX(PlatformFees!$C$2:$C$5,MATCH(C1585,PlatformFees!$A$2:$A$5,0)),0)</f>
        <v>0</v>
      </c>
      <c r="K1585" s="11">
        <f t="shared" si="96"/>
        <v>8500</v>
      </c>
      <c r="L1585" s="11">
        <f t="shared" si="97"/>
        <v>0</v>
      </c>
      <c r="M1585" s="11">
        <f t="shared" si="98"/>
        <v>23900</v>
      </c>
      <c r="N1585" s="10">
        <f t="shared" si="99"/>
        <v>0.73765432098765427</v>
      </c>
    </row>
    <row r="1586" spans="1:14" x14ac:dyDescent="0.3">
      <c r="A1586" s="9" t="s">
        <v>1725</v>
      </c>
      <c r="B1586" s="9" t="s">
        <v>1717</v>
      </c>
      <c r="C1586" s="9" t="s">
        <v>38</v>
      </c>
      <c r="D1586" s="9" t="s">
        <v>22</v>
      </c>
      <c r="E1586" s="9">
        <v>1</v>
      </c>
      <c r="F1586" s="11">
        <v>35600</v>
      </c>
      <c r="G1586" s="9" t="str">
        <f>INDEX(Products!$B$2:$B$9,MATCH(D1586,Products!$A$2:$A$9,0))</f>
        <v>Trà hoa cúc an thần</v>
      </c>
      <c r="H1586" s="9" t="str">
        <f>INDEX(Products!$C$2:$C$9,MATCH(D1586,Products!$A$2:$A$9,0))</f>
        <v>An thần</v>
      </c>
      <c r="I1586" s="11">
        <f>INDEX(Products!$D$2:$D$9,MATCH(D1586,Products!$A$2:$A$9,0))</f>
        <v>9500</v>
      </c>
      <c r="J1586" s="10">
        <f>IFERROR(INDEX(PlatformFees!$C$2:$C$5,MATCH(C1586,PlatformFees!$A$2:$A$5,0)),0)</f>
        <v>0.16</v>
      </c>
      <c r="K1586" s="11">
        <f t="shared" si="96"/>
        <v>9500</v>
      </c>
      <c r="L1586" s="11">
        <f t="shared" si="97"/>
        <v>5696</v>
      </c>
      <c r="M1586" s="11">
        <f t="shared" si="98"/>
        <v>20404</v>
      </c>
      <c r="N1586" s="10">
        <f t="shared" si="99"/>
        <v>0.57314606741573038</v>
      </c>
    </row>
    <row r="1587" spans="1:14" x14ac:dyDescent="0.3">
      <c r="A1587" s="9" t="s">
        <v>1726</v>
      </c>
      <c r="B1587" s="9" t="s">
        <v>1717</v>
      </c>
      <c r="C1587" s="9" t="s">
        <v>36</v>
      </c>
      <c r="D1587" s="9" t="s">
        <v>30</v>
      </c>
      <c r="E1587" s="9">
        <v>2</v>
      </c>
      <c r="F1587" s="11">
        <v>67200</v>
      </c>
      <c r="G1587" s="9" t="str">
        <f>INDEX(Products!$B$2:$B$9,MATCH(D1587,Products!$A$2:$A$9,0))</f>
        <v>Trà mâm xôi vitamin</v>
      </c>
      <c r="H1587" s="9" t="str">
        <f>INDEX(Products!$C$2:$C$9,MATCH(D1587,Products!$A$2:$A$9,0))</f>
        <v>Bổ sung dưỡng chất</v>
      </c>
      <c r="I1587" s="11">
        <f>INDEX(Products!$D$2:$D$9,MATCH(D1587,Products!$A$2:$A$9,0))</f>
        <v>9800</v>
      </c>
      <c r="J1587" s="10">
        <f>IFERROR(INDEX(PlatformFees!$C$2:$C$5,MATCH(C1587,PlatformFees!$A$2:$A$5,0)),0)</f>
        <v>0.13</v>
      </c>
      <c r="K1587" s="11">
        <f t="shared" si="96"/>
        <v>19600</v>
      </c>
      <c r="L1587" s="11">
        <f t="shared" si="97"/>
        <v>8736</v>
      </c>
      <c r="M1587" s="11">
        <f t="shared" si="98"/>
        <v>38864</v>
      </c>
      <c r="N1587" s="10">
        <f t="shared" si="99"/>
        <v>0.57833333333333337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5"/>
  <sheetViews>
    <sheetView zoomScaleNormal="100" workbookViewId="0">
      <pane ySplit="6" topLeftCell="A7" activePane="bottomLeft" state="frozen"/>
      <selection pane="bottomLeft" activeCell="A4" sqref="A4"/>
    </sheetView>
  </sheetViews>
  <sheetFormatPr defaultColWidth="8.6640625" defaultRowHeight="14.4" x14ac:dyDescent="0.3"/>
  <cols>
    <col min="1" max="1" width="10" customWidth="1"/>
    <col min="2" max="2" width="26" customWidth="1"/>
    <col min="3" max="3" width="18" customWidth="1"/>
    <col min="4" max="4" width="13" customWidth="1"/>
    <col min="5" max="5" width="12" customWidth="1"/>
    <col min="6" max="6" width="16" customWidth="1"/>
    <col min="7" max="7" width="14" customWidth="1"/>
    <col min="8" max="8" width="11" customWidth="1"/>
  </cols>
  <sheetData>
    <row r="1" spans="1:8" ht="21" x14ac:dyDescent="0.4">
      <c r="A1" s="4" t="s">
        <v>1727</v>
      </c>
    </row>
    <row r="2" spans="1:8" x14ac:dyDescent="0.3">
      <c r="A2" s="5"/>
    </row>
    <row r="4" spans="1:8" x14ac:dyDescent="0.3">
      <c r="A4" s="12" t="s">
        <v>1728</v>
      </c>
      <c r="B4" s="13">
        <v>0.3</v>
      </c>
    </row>
    <row r="6" spans="1:8" x14ac:dyDescent="0.3">
      <c r="A6" s="8" t="s">
        <v>8</v>
      </c>
      <c r="B6" s="8" t="s">
        <v>9</v>
      </c>
      <c r="C6" s="8" t="s">
        <v>10</v>
      </c>
      <c r="D6" s="8" t="s">
        <v>1729</v>
      </c>
      <c r="E6" s="8" t="s">
        <v>1730</v>
      </c>
      <c r="F6" s="8" t="s">
        <v>1731</v>
      </c>
      <c r="G6" s="8" t="s">
        <v>4</v>
      </c>
      <c r="H6" s="8" t="s">
        <v>1732</v>
      </c>
    </row>
    <row r="7" spans="1:8" x14ac:dyDescent="0.3">
      <c r="A7" s="9" t="s">
        <v>20</v>
      </c>
      <c r="B7" s="9" t="s">
        <v>21</v>
      </c>
      <c r="C7" s="9" t="s">
        <v>19</v>
      </c>
      <c r="D7" s="11">
        <f>SUMIF(RawData!$D$2:$D$1587,A7,RawData!$F$2:$F$1587)</f>
        <v>24059300</v>
      </c>
      <c r="E7" s="11">
        <f>SUMIF(RawData!$D$2:$D$1587,A7,RawData!$L$2:$L$1587)</f>
        <v>2849678</v>
      </c>
      <c r="F7" s="11">
        <f>SUMIF(RawData!$D$2:$D$1587,A7,RawData!$K$2:$K$1587)</f>
        <v>6735000</v>
      </c>
      <c r="G7" s="11">
        <f t="shared" ref="G7:G14" si="0">D7-E7-F7</f>
        <v>14474622</v>
      </c>
      <c r="H7" s="10">
        <f t="shared" ref="H7:H15" si="1">IFERROR(G7/D7,0)</f>
        <v>0.60162274047873376</v>
      </c>
    </row>
    <row r="8" spans="1:8" x14ac:dyDescent="0.3">
      <c r="A8" s="9" t="s">
        <v>17</v>
      </c>
      <c r="B8" s="9" t="s">
        <v>18</v>
      </c>
      <c r="C8" s="9" t="s">
        <v>19</v>
      </c>
      <c r="D8" s="11">
        <f>SUMIF(RawData!$D$2:$D$1587,A8,RawData!$F$2:$F$1587)</f>
        <v>17615700</v>
      </c>
      <c r="E8" s="11">
        <f>SUMIF(RawData!$D$2:$D$1587,A8,RawData!$L$2:$L$1587)</f>
        <v>2209826</v>
      </c>
      <c r="F8" s="11">
        <f>SUMIF(RawData!$D$2:$D$1587,A8,RawData!$K$2:$K$1587)</f>
        <v>4515000</v>
      </c>
      <c r="G8" s="11">
        <f t="shared" si="0"/>
        <v>10890874</v>
      </c>
      <c r="H8" s="10">
        <f t="shared" si="1"/>
        <v>0.61824815363567731</v>
      </c>
    </row>
    <row r="9" spans="1:8" x14ac:dyDescent="0.3">
      <c r="A9" s="9" t="s">
        <v>22</v>
      </c>
      <c r="B9" s="9" t="s">
        <v>23</v>
      </c>
      <c r="C9" s="9" t="s">
        <v>24</v>
      </c>
      <c r="D9" s="11">
        <f>SUMIF(RawData!$D$2:$D$1587,A9,RawData!$F$2:$F$1587)</f>
        <v>11218300</v>
      </c>
      <c r="E9" s="11">
        <f>SUMIF(RawData!$D$2:$D$1587,A9,RawData!$L$2:$L$1587)</f>
        <v>995443</v>
      </c>
      <c r="F9" s="11">
        <f>SUMIF(RawData!$D$2:$D$1587,A9,RawData!$K$2:$K$1587)</f>
        <v>2869000</v>
      </c>
      <c r="G9" s="11">
        <f t="shared" si="0"/>
        <v>7353857</v>
      </c>
      <c r="H9" s="10">
        <f t="shared" si="1"/>
        <v>0.65552329675619303</v>
      </c>
    </row>
    <row r="10" spans="1:8" x14ac:dyDescent="0.3">
      <c r="A10" s="9" t="s">
        <v>30</v>
      </c>
      <c r="B10" s="9" t="s">
        <v>31</v>
      </c>
      <c r="C10" s="9" t="s">
        <v>32</v>
      </c>
      <c r="D10" s="11">
        <f>SUMIF(RawData!$D$2:$D$1587,A10,RawData!$F$2:$F$1587)</f>
        <v>11175400</v>
      </c>
      <c r="E10" s="11">
        <f>SUMIF(RawData!$D$2:$D$1587,A10,RawData!$L$2:$L$1587)</f>
        <v>1067192</v>
      </c>
      <c r="F10" s="11">
        <f>SUMIF(RawData!$D$2:$D$1587,A10,RawData!$K$2:$K$1587)</f>
        <v>3116400</v>
      </c>
      <c r="G10" s="11">
        <f t="shared" si="0"/>
        <v>6991808</v>
      </c>
      <c r="H10" s="10">
        <f t="shared" si="1"/>
        <v>0.62564275104246825</v>
      </c>
    </row>
    <row r="11" spans="1:8" x14ac:dyDescent="0.3">
      <c r="A11" s="9" t="s">
        <v>27</v>
      </c>
      <c r="B11" s="9" t="s">
        <v>28</v>
      </c>
      <c r="C11" s="9" t="s">
        <v>29</v>
      </c>
      <c r="D11" s="11">
        <f>SUMIF(RawData!$D$2:$D$1587,A11,RawData!$F$2:$F$1587)</f>
        <v>10753800</v>
      </c>
      <c r="E11" s="11">
        <f>SUMIF(RawData!$D$2:$D$1587,A11,RawData!$L$2:$L$1587)</f>
        <v>929088</v>
      </c>
      <c r="F11" s="11">
        <f>SUMIF(RawData!$D$2:$D$1587,A11,RawData!$K$2:$K$1587)</f>
        <v>3036000</v>
      </c>
      <c r="G11" s="11">
        <f t="shared" si="0"/>
        <v>6788712</v>
      </c>
      <c r="H11" s="10">
        <f t="shared" si="1"/>
        <v>0.63128494113708644</v>
      </c>
    </row>
    <row r="12" spans="1:8" x14ac:dyDescent="0.3">
      <c r="A12" s="9" t="s">
        <v>12</v>
      </c>
      <c r="B12" s="9" t="s">
        <v>13</v>
      </c>
      <c r="C12" s="9" t="s">
        <v>14</v>
      </c>
      <c r="D12" s="11">
        <f>SUMIF(RawData!$D$2:$D$1587,A12,RawData!$F$2:$F$1587)</f>
        <v>10263600</v>
      </c>
      <c r="E12" s="11">
        <f>SUMIF(RawData!$D$2:$D$1587,A12,RawData!$L$2:$L$1587)</f>
        <v>759700</v>
      </c>
      <c r="F12" s="11">
        <f>SUMIF(RawData!$D$2:$D$1587,A12,RawData!$K$2:$K$1587)</f>
        <v>2709000</v>
      </c>
      <c r="G12" s="11">
        <f t="shared" si="0"/>
        <v>6794900</v>
      </c>
      <c r="H12" s="10">
        <f t="shared" si="1"/>
        <v>0.66203866089871</v>
      </c>
    </row>
    <row r="13" spans="1:8" x14ac:dyDescent="0.3">
      <c r="A13" s="9" t="s">
        <v>25</v>
      </c>
      <c r="B13" s="9" t="s">
        <v>26</v>
      </c>
      <c r="C13" s="9" t="s">
        <v>24</v>
      </c>
      <c r="D13" s="11">
        <f>SUMIF(RawData!$D$2:$D$1587,A13,RawData!$F$2:$F$1587)</f>
        <v>9952400</v>
      </c>
      <c r="E13" s="11">
        <f>SUMIF(RawData!$D$2:$D$1587,A13,RawData!$L$2:$L$1587)</f>
        <v>874629</v>
      </c>
      <c r="F13" s="11">
        <f>SUMIF(RawData!$D$2:$D$1587,A13,RawData!$K$2:$K$1587)</f>
        <v>2648800</v>
      </c>
      <c r="G13" s="11">
        <f t="shared" si="0"/>
        <v>6428971</v>
      </c>
      <c r="H13" s="10">
        <f t="shared" si="1"/>
        <v>0.64597192636951895</v>
      </c>
    </row>
    <row r="14" spans="1:8" x14ac:dyDescent="0.3">
      <c r="A14" s="9" t="s">
        <v>15</v>
      </c>
      <c r="B14" s="9" t="s">
        <v>16</v>
      </c>
      <c r="C14" s="9" t="s">
        <v>14</v>
      </c>
      <c r="D14" s="11">
        <f>SUMIF(RawData!$D$2:$D$1587,A14,RawData!$F$2:$F$1587)</f>
        <v>9694900</v>
      </c>
      <c r="E14" s="11">
        <f>SUMIF(RawData!$D$2:$D$1587,A14,RawData!$L$2:$L$1587)</f>
        <v>875763</v>
      </c>
      <c r="F14" s="11">
        <f>SUMIF(RawData!$D$2:$D$1587,A14,RawData!$K$2:$K$1587)</f>
        <v>2635000</v>
      </c>
      <c r="G14" s="11">
        <f t="shared" si="0"/>
        <v>6184137</v>
      </c>
      <c r="H14" s="10">
        <f t="shared" si="1"/>
        <v>0.63787527462892857</v>
      </c>
    </row>
    <row r="15" spans="1:8" x14ac:dyDescent="0.3">
      <c r="A15" s="14"/>
      <c r="B15" s="14" t="s">
        <v>1733</v>
      </c>
      <c r="C15" s="14"/>
      <c r="D15" s="15">
        <f>SUM(D7:D14)</f>
        <v>104733400</v>
      </c>
      <c r="E15" s="15">
        <f>SUM(E7:E14)</f>
        <v>10561319</v>
      </c>
      <c r="F15" s="15">
        <f>SUM(F7:F14)</f>
        <v>28264200</v>
      </c>
      <c r="G15" s="15">
        <f>SUM(G7:G14)</f>
        <v>65907881</v>
      </c>
      <c r="H15" s="16">
        <f t="shared" si="1"/>
        <v>0.62929190687975378</v>
      </c>
    </row>
  </sheetData>
  <conditionalFormatting sqref="A7:H14">
    <cfRule type="expression" dxfId="4" priority="3">
      <formula>$H7&lt;$B$4</formula>
    </cfRule>
  </conditionalFormatting>
  <conditionalFormatting sqref="H7:H14">
    <cfRule type="expression" dxfId="3" priority="2">
      <formula>H7&lt;$B$4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7"/>
  <sheetViews>
    <sheetView zoomScaleNormal="100" workbookViewId="0">
      <pane ySplit="4" topLeftCell="A5" activePane="bottomLeft" state="frozen"/>
      <selection pane="bottomLeft" activeCell="B2" sqref="B2"/>
    </sheetView>
  </sheetViews>
  <sheetFormatPr defaultColWidth="8.6640625" defaultRowHeight="14.4" x14ac:dyDescent="0.3"/>
  <cols>
    <col min="1" max="1" width="12" customWidth="1"/>
    <col min="2" max="2" width="10" customWidth="1"/>
    <col min="3" max="3" width="24" customWidth="1"/>
    <col min="4" max="5" width="13" customWidth="1"/>
    <col min="6" max="6" width="12" customWidth="1"/>
    <col min="7" max="7" width="16" customWidth="1"/>
    <col min="8" max="8" width="14" customWidth="1"/>
    <col min="9" max="9" width="22" customWidth="1"/>
  </cols>
  <sheetData>
    <row r="1" spans="1:9" ht="21" x14ac:dyDescent="0.4">
      <c r="A1" s="4" t="s">
        <v>1734</v>
      </c>
    </row>
    <row r="2" spans="1:9" x14ac:dyDescent="0.3">
      <c r="A2" s="12" t="s">
        <v>1735</v>
      </c>
      <c r="B2" s="17">
        <v>46265</v>
      </c>
    </row>
    <row r="4" spans="1:9" x14ac:dyDescent="0.3">
      <c r="A4" s="8" t="s">
        <v>1736</v>
      </c>
      <c r="B4" s="8" t="s">
        <v>8</v>
      </c>
      <c r="C4" s="8" t="s">
        <v>9</v>
      </c>
      <c r="D4" s="8" t="s">
        <v>1737</v>
      </c>
      <c r="E4" s="8" t="s">
        <v>1738</v>
      </c>
      <c r="F4" s="8" t="s">
        <v>1739</v>
      </c>
      <c r="G4" s="8" t="s">
        <v>1740</v>
      </c>
      <c r="H4" s="8" t="s">
        <v>1741</v>
      </c>
      <c r="I4" s="8" t="s">
        <v>1742</v>
      </c>
    </row>
    <row r="5" spans="1:9" x14ac:dyDescent="0.3">
      <c r="A5" s="9" t="s">
        <v>1743</v>
      </c>
      <c r="B5" s="9" t="s">
        <v>20</v>
      </c>
      <c r="C5" s="9" t="str">
        <f>IFERROR(INDEX(Products!$B$2:$B$9,MATCH(B5,Products!$A$2:$A$9,0)),"")</f>
        <v>Trà cà leo gai giảm cân</v>
      </c>
      <c r="D5" s="18" t="s">
        <v>1744</v>
      </c>
      <c r="E5" s="18" t="s">
        <v>1745</v>
      </c>
      <c r="F5" s="9">
        <v>150</v>
      </c>
      <c r="G5" s="9">
        <v>42</v>
      </c>
      <c r="H5" s="19">
        <f t="shared" ref="H5:H37" si="0">E5-$B$2</f>
        <v>10</v>
      </c>
      <c r="I5" s="9" t="str">
        <f t="shared" ref="I5:I37" si="1">IF(G5=0,"Hết hàng",IF(H5&lt;=15,"Khẩn cấp (&lt;=15 ngày)",IF(H5&lt;=30,"Cảnh báo (&lt;=30 ngày)","Bình thường")))</f>
        <v>Khẩn cấp (&lt;=15 ngày)</v>
      </c>
    </row>
    <row r="6" spans="1:9" x14ac:dyDescent="0.3">
      <c r="A6" s="9" t="s">
        <v>1746</v>
      </c>
      <c r="B6" s="9" t="s">
        <v>17</v>
      </c>
      <c r="C6" s="9" t="str">
        <f>IFERROR(INDEX(Products!$B$2:$B$9,MATCH(B6,Products!$A$2:$A$9,0)),"")</f>
        <v>Trà diếp cá rau má</v>
      </c>
      <c r="D6" s="18" t="s">
        <v>1747</v>
      </c>
      <c r="E6" s="18" t="s">
        <v>1748</v>
      </c>
      <c r="F6" s="9">
        <v>120</v>
      </c>
      <c r="G6" s="9">
        <v>25</v>
      </c>
      <c r="H6" s="19">
        <f t="shared" si="0"/>
        <v>18</v>
      </c>
      <c r="I6" s="9" t="str">
        <f t="shared" si="1"/>
        <v>Cảnh báo (&lt;=30 ngày)</v>
      </c>
    </row>
    <row r="7" spans="1:9" x14ac:dyDescent="0.3">
      <c r="A7" s="9" t="s">
        <v>1749</v>
      </c>
      <c r="B7" s="9" t="s">
        <v>27</v>
      </c>
      <c r="C7" s="9" t="str">
        <f>IFERROR(INDEX(Products!$B$2:$B$9,MATCH(B7,Products!$A$2:$A$9,0)),"")</f>
        <v>Trà gừng mật ong</v>
      </c>
      <c r="D7" s="18" t="s">
        <v>1750</v>
      </c>
      <c r="E7" s="18" t="s">
        <v>1751</v>
      </c>
      <c r="F7" s="9">
        <v>100</v>
      </c>
      <c r="G7" s="9">
        <v>30</v>
      </c>
      <c r="H7" s="19">
        <f t="shared" si="0"/>
        <v>25</v>
      </c>
      <c r="I7" s="9" t="str">
        <f t="shared" si="1"/>
        <v>Cảnh báo (&lt;=30 ngày)</v>
      </c>
    </row>
    <row r="8" spans="1:9" x14ac:dyDescent="0.3">
      <c r="A8" s="9" t="s">
        <v>1752</v>
      </c>
      <c r="B8" s="9" t="s">
        <v>17</v>
      </c>
      <c r="C8" s="9" t="str">
        <f>IFERROR(INDEX(Products!$B$2:$B$9,MATCH(B8,Products!$A$2:$A$9,0)),"")</f>
        <v>Trà diếp cá rau má</v>
      </c>
      <c r="D8" s="18" t="s">
        <v>156</v>
      </c>
      <c r="E8" s="18" t="s">
        <v>1753</v>
      </c>
      <c r="F8" s="9">
        <v>109</v>
      </c>
      <c r="G8" s="9">
        <v>51</v>
      </c>
      <c r="H8" s="19">
        <f t="shared" si="0"/>
        <v>214</v>
      </c>
      <c r="I8" s="9" t="str">
        <f t="shared" si="1"/>
        <v>Bình thường</v>
      </c>
    </row>
    <row r="9" spans="1:9" x14ac:dyDescent="0.3">
      <c r="A9" s="9" t="s">
        <v>1754</v>
      </c>
      <c r="B9" s="9" t="s">
        <v>25</v>
      </c>
      <c r="C9" s="9" t="str">
        <f>IFERROR(INDEX(Products!$B$2:$B$9,MATCH(B9,Products!$A$2:$A$9,0)),"")</f>
        <v>Trà hoa đậu biếc</v>
      </c>
      <c r="D9" s="18" t="s">
        <v>700</v>
      </c>
      <c r="E9" s="18" t="s">
        <v>1755</v>
      </c>
      <c r="F9" s="9">
        <v>188</v>
      </c>
      <c r="G9" s="9">
        <v>40</v>
      </c>
      <c r="H9" s="19">
        <f t="shared" si="0"/>
        <v>245</v>
      </c>
      <c r="I9" s="9" t="str">
        <f t="shared" si="1"/>
        <v>Bình thường</v>
      </c>
    </row>
    <row r="10" spans="1:9" x14ac:dyDescent="0.3">
      <c r="A10" s="9" t="s">
        <v>1756</v>
      </c>
      <c r="B10" s="9" t="s">
        <v>15</v>
      </c>
      <c r="C10" s="9" t="str">
        <f>IFERROR(INDEX(Products!$B$2:$B$9,MATCH(B10,Products!$A$2:$A$9,0)),"")</f>
        <v>Trà lá nam sen ổi</v>
      </c>
      <c r="D10" s="18" t="s">
        <v>768</v>
      </c>
      <c r="E10" s="18" t="s">
        <v>1757</v>
      </c>
      <c r="F10" s="9">
        <v>81</v>
      </c>
      <c r="G10" s="9">
        <v>6</v>
      </c>
      <c r="H10" s="19">
        <f t="shared" si="0"/>
        <v>249</v>
      </c>
      <c r="I10" s="9" t="str">
        <f t="shared" si="1"/>
        <v>Bình thường</v>
      </c>
    </row>
    <row r="11" spans="1:9" x14ac:dyDescent="0.3">
      <c r="A11" s="9" t="s">
        <v>1758</v>
      </c>
      <c r="B11" s="9" t="s">
        <v>20</v>
      </c>
      <c r="C11" s="9" t="str">
        <f>IFERROR(INDEX(Products!$B$2:$B$9,MATCH(B11,Products!$A$2:$A$9,0)),"")</f>
        <v>Trà cà leo gai giảm cân</v>
      </c>
      <c r="D11" s="18" t="s">
        <v>794</v>
      </c>
      <c r="E11" s="18" t="s">
        <v>1759</v>
      </c>
      <c r="F11" s="9">
        <v>129</v>
      </c>
      <c r="G11" s="9">
        <v>39</v>
      </c>
      <c r="H11" s="19">
        <f t="shared" si="0"/>
        <v>250</v>
      </c>
      <c r="I11" s="9" t="str">
        <f t="shared" si="1"/>
        <v>Bình thường</v>
      </c>
    </row>
    <row r="12" spans="1:9" x14ac:dyDescent="0.3">
      <c r="A12" s="9" t="s">
        <v>1760</v>
      </c>
      <c r="B12" s="9" t="s">
        <v>12</v>
      </c>
      <c r="C12" s="9" t="str">
        <f>IFERROR(INDEX(Products!$B$2:$B$9,MATCH(B12,Products!$A$2:$A$9,0)),"")</f>
        <v>Trà atiso thanh lọc</v>
      </c>
      <c r="D12" s="18" t="s">
        <v>897</v>
      </c>
      <c r="E12" s="18" t="s">
        <v>1761</v>
      </c>
      <c r="F12" s="9">
        <v>132</v>
      </c>
      <c r="G12" s="9">
        <v>41</v>
      </c>
      <c r="H12" s="19">
        <f t="shared" si="0"/>
        <v>256</v>
      </c>
      <c r="I12" s="9" t="str">
        <f t="shared" si="1"/>
        <v>Bình thường</v>
      </c>
    </row>
    <row r="13" spans="1:9" x14ac:dyDescent="0.3">
      <c r="A13" s="9" t="s">
        <v>1762</v>
      </c>
      <c r="B13" s="9" t="s">
        <v>12</v>
      </c>
      <c r="C13" s="9" t="str">
        <f>IFERROR(INDEX(Products!$B$2:$B$9,MATCH(B13,Products!$A$2:$A$9,0)),"")</f>
        <v>Trà atiso thanh lọc</v>
      </c>
      <c r="D13" s="18" t="s">
        <v>392</v>
      </c>
      <c r="E13" s="18" t="s">
        <v>1763</v>
      </c>
      <c r="F13" s="9">
        <v>194</v>
      </c>
      <c r="G13" s="9">
        <v>63</v>
      </c>
      <c r="H13" s="19">
        <f t="shared" si="0"/>
        <v>257</v>
      </c>
      <c r="I13" s="9" t="str">
        <f t="shared" si="1"/>
        <v>Bình thường</v>
      </c>
    </row>
    <row r="14" spans="1:9" x14ac:dyDescent="0.3">
      <c r="A14" s="9" t="s">
        <v>1764</v>
      </c>
      <c r="B14" s="9" t="s">
        <v>30</v>
      </c>
      <c r="C14" s="9" t="str">
        <f>IFERROR(INDEX(Products!$B$2:$B$9,MATCH(B14,Products!$A$2:$A$9,0)),"")</f>
        <v>Trà mâm xôi vitamin</v>
      </c>
      <c r="D14" s="18" t="s">
        <v>404</v>
      </c>
      <c r="E14" s="18" t="s">
        <v>1765</v>
      </c>
      <c r="F14" s="9">
        <v>156</v>
      </c>
      <c r="G14" s="9">
        <v>12</v>
      </c>
      <c r="H14" s="19">
        <f t="shared" si="0"/>
        <v>258</v>
      </c>
      <c r="I14" s="9" t="str">
        <f t="shared" si="1"/>
        <v>Bình thường</v>
      </c>
    </row>
    <row r="15" spans="1:9" x14ac:dyDescent="0.3">
      <c r="A15" s="9" t="s">
        <v>1766</v>
      </c>
      <c r="B15" s="9" t="s">
        <v>25</v>
      </c>
      <c r="C15" s="9" t="str">
        <f>IFERROR(INDEX(Products!$B$2:$B$9,MATCH(B15,Products!$A$2:$A$9,0)),"")</f>
        <v>Trà hoa đậu biếc</v>
      </c>
      <c r="D15" s="18" t="s">
        <v>1014</v>
      </c>
      <c r="E15" s="18" t="s">
        <v>1767</v>
      </c>
      <c r="F15" s="9">
        <v>102</v>
      </c>
      <c r="G15" s="9">
        <v>58</v>
      </c>
      <c r="H15" s="19">
        <f t="shared" si="0"/>
        <v>262</v>
      </c>
      <c r="I15" s="9" t="str">
        <f t="shared" si="1"/>
        <v>Bình thường</v>
      </c>
    </row>
    <row r="16" spans="1:9" x14ac:dyDescent="0.3">
      <c r="A16" s="9" t="s">
        <v>1768</v>
      </c>
      <c r="B16" s="9" t="s">
        <v>22</v>
      </c>
      <c r="C16" s="9" t="str">
        <f>IFERROR(INDEX(Products!$B$2:$B$9,MATCH(B16,Products!$A$2:$A$9,0)),"")</f>
        <v>Trà hoa cúc an thần</v>
      </c>
      <c r="D16" s="18" t="s">
        <v>491</v>
      </c>
      <c r="E16" s="18" t="s">
        <v>1769</v>
      </c>
      <c r="F16" s="9">
        <v>161</v>
      </c>
      <c r="G16" s="9">
        <v>46</v>
      </c>
      <c r="H16" s="19">
        <f t="shared" si="0"/>
        <v>263</v>
      </c>
      <c r="I16" s="9" t="str">
        <f t="shared" si="1"/>
        <v>Bình thường</v>
      </c>
    </row>
    <row r="17" spans="1:9" x14ac:dyDescent="0.3">
      <c r="A17" s="9" t="s">
        <v>1770</v>
      </c>
      <c r="B17" s="9" t="s">
        <v>20</v>
      </c>
      <c r="C17" s="9" t="str">
        <f>IFERROR(INDEX(Products!$B$2:$B$9,MATCH(B17,Products!$A$2:$A$9,0)),"")</f>
        <v>Trà cà leo gai giảm cân</v>
      </c>
      <c r="D17" s="18" t="s">
        <v>573</v>
      </c>
      <c r="E17" s="18" t="s">
        <v>1771</v>
      </c>
      <c r="F17" s="9">
        <v>130</v>
      </c>
      <c r="G17" s="9">
        <v>83</v>
      </c>
      <c r="H17" s="19">
        <f t="shared" si="0"/>
        <v>267</v>
      </c>
      <c r="I17" s="9" t="str">
        <f t="shared" si="1"/>
        <v>Bình thường</v>
      </c>
    </row>
    <row r="18" spans="1:9" x14ac:dyDescent="0.3">
      <c r="A18" s="9" t="s">
        <v>1772</v>
      </c>
      <c r="B18" s="9" t="s">
        <v>30</v>
      </c>
      <c r="C18" s="9" t="str">
        <f>IFERROR(INDEX(Products!$B$2:$B$9,MATCH(B18,Products!$A$2:$A$9,0)),"")</f>
        <v>Trà mâm xôi vitamin</v>
      </c>
      <c r="D18" s="18" t="s">
        <v>1125</v>
      </c>
      <c r="E18" s="18" t="s">
        <v>1773</v>
      </c>
      <c r="F18" s="9">
        <v>86</v>
      </c>
      <c r="G18" s="9">
        <v>15</v>
      </c>
      <c r="H18" s="19">
        <f t="shared" si="0"/>
        <v>268</v>
      </c>
      <c r="I18" s="9" t="str">
        <f t="shared" si="1"/>
        <v>Bình thường</v>
      </c>
    </row>
    <row r="19" spans="1:9" x14ac:dyDescent="0.3">
      <c r="A19" s="9" t="s">
        <v>1774</v>
      </c>
      <c r="B19" s="9" t="s">
        <v>22</v>
      </c>
      <c r="C19" s="9" t="str">
        <f>IFERROR(INDEX(Products!$B$2:$B$9,MATCH(B19,Products!$A$2:$A$9,0)),"")</f>
        <v>Trà hoa cúc an thần</v>
      </c>
      <c r="D19" s="18" t="s">
        <v>1224</v>
      </c>
      <c r="E19" s="18" t="s">
        <v>1775</v>
      </c>
      <c r="F19" s="9">
        <v>172</v>
      </c>
      <c r="G19" s="9">
        <v>71</v>
      </c>
      <c r="H19" s="19">
        <f t="shared" si="0"/>
        <v>274</v>
      </c>
      <c r="I19" s="9" t="str">
        <f t="shared" si="1"/>
        <v>Bình thường</v>
      </c>
    </row>
    <row r="20" spans="1:9" x14ac:dyDescent="0.3">
      <c r="A20" s="9" t="s">
        <v>1776</v>
      </c>
      <c r="B20" s="9" t="s">
        <v>22</v>
      </c>
      <c r="C20" s="9" t="str">
        <f>IFERROR(INDEX(Products!$B$2:$B$9,MATCH(B20,Products!$A$2:$A$9,0)),"")</f>
        <v>Trà hoa cúc an thần</v>
      </c>
      <c r="D20" s="18" t="s">
        <v>700</v>
      </c>
      <c r="E20" s="18" t="s">
        <v>1777</v>
      </c>
      <c r="F20" s="9">
        <v>169</v>
      </c>
      <c r="G20" s="9">
        <v>79</v>
      </c>
      <c r="H20" s="19">
        <f t="shared" si="0"/>
        <v>275</v>
      </c>
      <c r="I20" s="9" t="str">
        <f t="shared" si="1"/>
        <v>Bình thường</v>
      </c>
    </row>
    <row r="21" spans="1:9" x14ac:dyDescent="0.3">
      <c r="A21" s="9" t="s">
        <v>1778</v>
      </c>
      <c r="B21" s="9" t="s">
        <v>12</v>
      </c>
      <c r="C21" s="9" t="str">
        <f>IFERROR(INDEX(Products!$B$2:$B$9,MATCH(B21,Products!$A$2:$A$9,0)),"")</f>
        <v>Trà atiso thanh lọc</v>
      </c>
      <c r="D21" s="18" t="s">
        <v>134</v>
      </c>
      <c r="E21" s="18" t="s">
        <v>1779</v>
      </c>
      <c r="F21" s="9">
        <v>161</v>
      </c>
      <c r="G21" s="9">
        <v>10</v>
      </c>
      <c r="H21" s="19">
        <f t="shared" si="0"/>
        <v>278</v>
      </c>
      <c r="I21" s="9" t="str">
        <f t="shared" si="1"/>
        <v>Bình thường</v>
      </c>
    </row>
    <row r="22" spans="1:9" x14ac:dyDescent="0.3">
      <c r="A22" s="9" t="s">
        <v>1780</v>
      </c>
      <c r="B22" s="9" t="s">
        <v>25</v>
      </c>
      <c r="C22" s="9" t="str">
        <f>IFERROR(INDEX(Products!$B$2:$B$9,MATCH(B22,Products!$A$2:$A$9,0)),"")</f>
        <v>Trà hoa đậu biếc</v>
      </c>
      <c r="D22" s="18" t="s">
        <v>1339</v>
      </c>
      <c r="E22" s="18" t="s">
        <v>1781</v>
      </c>
      <c r="F22" s="9">
        <v>135</v>
      </c>
      <c r="G22" s="9">
        <v>29</v>
      </c>
      <c r="H22" s="19">
        <f t="shared" si="0"/>
        <v>280</v>
      </c>
      <c r="I22" s="9" t="str">
        <f t="shared" si="1"/>
        <v>Bình thường</v>
      </c>
    </row>
    <row r="23" spans="1:9" x14ac:dyDescent="0.3">
      <c r="A23" s="9" t="s">
        <v>1782</v>
      </c>
      <c r="B23" s="9" t="s">
        <v>15</v>
      </c>
      <c r="C23" s="9" t="str">
        <f>IFERROR(INDEX(Products!$B$2:$B$9,MATCH(B23,Products!$A$2:$A$9,0)),"")</f>
        <v>Trà lá nam sen ổi</v>
      </c>
      <c r="D23" s="18" t="s">
        <v>980</v>
      </c>
      <c r="E23" s="18" t="s">
        <v>1783</v>
      </c>
      <c r="F23" s="9">
        <v>117</v>
      </c>
      <c r="G23" s="9">
        <v>10</v>
      </c>
      <c r="H23" s="19">
        <f t="shared" si="0"/>
        <v>290</v>
      </c>
      <c r="I23" s="9" t="str">
        <f t="shared" si="1"/>
        <v>Bình thường</v>
      </c>
    </row>
    <row r="24" spans="1:9" x14ac:dyDescent="0.3">
      <c r="A24" s="9" t="s">
        <v>1784</v>
      </c>
      <c r="B24" s="9" t="s">
        <v>22</v>
      </c>
      <c r="C24" s="9" t="str">
        <f>IFERROR(INDEX(Products!$B$2:$B$9,MATCH(B24,Products!$A$2:$A$9,0)),"")</f>
        <v>Trà hoa cúc an thần</v>
      </c>
      <c r="D24" s="18" t="s">
        <v>1034</v>
      </c>
      <c r="E24" s="18" t="s">
        <v>1785</v>
      </c>
      <c r="F24" s="9">
        <v>178</v>
      </c>
      <c r="G24" s="9">
        <v>76</v>
      </c>
      <c r="H24" s="19">
        <f t="shared" si="0"/>
        <v>293</v>
      </c>
      <c r="I24" s="9" t="str">
        <f t="shared" si="1"/>
        <v>Bình thường</v>
      </c>
    </row>
    <row r="25" spans="1:9" x14ac:dyDescent="0.3">
      <c r="A25" s="9" t="s">
        <v>1786</v>
      </c>
      <c r="B25" s="9" t="s">
        <v>12</v>
      </c>
      <c r="C25" s="9" t="str">
        <f>IFERROR(INDEX(Products!$B$2:$B$9,MATCH(B25,Products!$A$2:$A$9,0)),"")</f>
        <v>Trà atiso thanh lọc</v>
      </c>
      <c r="D25" s="18" t="s">
        <v>420</v>
      </c>
      <c r="E25" s="18" t="s">
        <v>1787</v>
      </c>
      <c r="F25" s="9">
        <v>157</v>
      </c>
      <c r="G25" s="9">
        <v>91</v>
      </c>
      <c r="H25" s="19">
        <f t="shared" si="0"/>
        <v>294</v>
      </c>
      <c r="I25" s="9" t="str">
        <f t="shared" si="1"/>
        <v>Bình thường</v>
      </c>
    </row>
    <row r="26" spans="1:9" x14ac:dyDescent="0.3">
      <c r="A26" s="9" t="s">
        <v>1788</v>
      </c>
      <c r="B26" s="9" t="s">
        <v>17</v>
      </c>
      <c r="C26" s="9" t="str">
        <f>IFERROR(INDEX(Products!$B$2:$B$9,MATCH(B26,Products!$A$2:$A$9,0)),"")</f>
        <v>Trà diếp cá rau má</v>
      </c>
      <c r="D26" s="18" t="s">
        <v>1071</v>
      </c>
      <c r="E26" s="18" t="s">
        <v>1789</v>
      </c>
      <c r="F26" s="9">
        <v>108</v>
      </c>
      <c r="G26" s="9">
        <v>23</v>
      </c>
      <c r="H26" s="19">
        <f t="shared" si="0"/>
        <v>295</v>
      </c>
      <c r="I26" s="9" t="str">
        <f t="shared" si="1"/>
        <v>Bình thường</v>
      </c>
    </row>
    <row r="27" spans="1:9" x14ac:dyDescent="0.3">
      <c r="A27" s="9" t="s">
        <v>1790</v>
      </c>
      <c r="B27" s="9" t="s">
        <v>17</v>
      </c>
      <c r="C27" s="9" t="str">
        <f>IFERROR(INDEX(Products!$B$2:$B$9,MATCH(B27,Products!$A$2:$A$9,0)),"")</f>
        <v>Trà diếp cá rau má</v>
      </c>
      <c r="D27" s="18" t="s">
        <v>1139</v>
      </c>
      <c r="E27" s="18" t="s">
        <v>1791</v>
      </c>
      <c r="F27" s="9">
        <v>117</v>
      </c>
      <c r="G27" s="9">
        <v>20</v>
      </c>
      <c r="H27" s="19">
        <f t="shared" si="0"/>
        <v>299</v>
      </c>
      <c r="I27" s="9" t="str">
        <f t="shared" si="1"/>
        <v>Bình thường</v>
      </c>
    </row>
    <row r="28" spans="1:9" x14ac:dyDescent="0.3">
      <c r="A28" s="9" t="s">
        <v>1792</v>
      </c>
      <c r="B28" s="9" t="s">
        <v>20</v>
      </c>
      <c r="C28" s="9" t="str">
        <f>IFERROR(INDEX(Products!$B$2:$B$9,MATCH(B28,Products!$A$2:$A$9,0)),"")</f>
        <v>Trà cà leo gai giảm cân</v>
      </c>
      <c r="D28" s="18" t="s">
        <v>1275</v>
      </c>
      <c r="E28" s="18" t="s">
        <v>1793</v>
      </c>
      <c r="F28" s="9">
        <v>102</v>
      </c>
      <c r="G28" s="9">
        <v>7</v>
      </c>
      <c r="H28" s="19">
        <f t="shared" si="0"/>
        <v>307</v>
      </c>
      <c r="I28" s="9" t="str">
        <f t="shared" si="1"/>
        <v>Bình thường</v>
      </c>
    </row>
    <row r="29" spans="1:9" x14ac:dyDescent="0.3">
      <c r="A29" s="9" t="s">
        <v>1794</v>
      </c>
      <c r="B29" s="9" t="s">
        <v>30</v>
      </c>
      <c r="C29" s="9" t="str">
        <f>IFERROR(INDEX(Products!$B$2:$B$9,MATCH(B29,Products!$A$2:$A$9,0)),"")</f>
        <v>Trà mâm xôi vitamin</v>
      </c>
      <c r="D29" s="18" t="s">
        <v>716</v>
      </c>
      <c r="E29" s="18" t="s">
        <v>1795</v>
      </c>
      <c r="F29" s="9">
        <v>205</v>
      </c>
      <c r="G29" s="9">
        <v>128</v>
      </c>
      <c r="H29" s="19">
        <f t="shared" si="0"/>
        <v>311</v>
      </c>
      <c r="I29" s="9" t="str">
        <f t="shared" si="1"/>
        <v>Bình thường</v>
      </c>
    </row>
    <row r="30" spans="1:9" x14ac:dyDescent="0.3">
      <c r="A30" s="9" t="s">
        <v>1796</v>
      </c>
      <c r="B30" s="9" t="s">
        <v>30</v>
      </c>
      <c r="C30" s="9" t="str">
        <f>IFERROR(INDEX(Products!$B$2:$B$9,MATCH(B30,Products!$A$2:$A$9,0)),"")</f>
        <v>Trà mâm xôi vitamin</v>
      </c>
      <c r="D30" s="18" t="s">
        <v>733</v>
      </c>
      <c r="E30" s="18" t="s">
        <v>1797</v>
      </c>
      <c r="F30" s="9">
        <v>157</v>
      </c>
      <c r="G30" s="9">
        <v>56</v>
      </c>
      <c r="H30" s="19">
        <f t="shared" si="0"/>
        <v>312</v>
      </c>
      <c r="I30" s="9" t="str">
        <f t="shared" si="1"/>
        <v>Bình thường</v>
      </c>
    </row>
    <row r="31" spans="1:9" x14ac:dyDescent="0.3">
      <c r="A31" s="9" t="s">
        <v>1798</v>
      </c>
      <c r="B31" s="9" t="s">
        <v>27</v>
      </c>
      <c r="C31" s="9" t="str">
        <f>IFERROR(INDEX(Products!$B$2:$B$9,MATCH(B31,Products!$A$2:$A$9,0)),"")</f>
        <v>Trà gừng mật ong</v>
      </c>
      <c r="D31" s="18" t="s">
        <v>1410</v>
      </c>
      <c r="E31" s="18" t="s">
        <v>1799</v>
      </c>
      <c r="F31" s="9">
        <v>102</v>
      </c>
      <c r="G31" s="9">
        <v>66</v>
      </c>
      <c r="H31" s="19">
        <f t="shared" si="0"/>
        <v>314</v>
      </c>
      <c r="I31" s="9" t="str">
        <f t="shared" si="1"/>
        <v>Bình thường</v>
      </c>
    </row>
    <row r="32" spans="1:9" x14ac:dyDescent="0.3">
      <c r="A32" s="9" t="s">
        <v>1800</v>
      </c>
      <c r="B32" s="9" t="s">
        <v>27</v>
      </c>
      <c r="C32" s="9" t="str">
        <f>IFERROR(INDEX(Products!$B$2:$B$9,MATCH(B32,Products!$A$2:$A$9,0)),"")</f>
        <v>Trà gừng mật ong</v>
      </c>
      <c r="D32" s="18" t="s">
        <v>1523</v>
      </c>
      <c r="E32" s="18" t="s">
        <v>1801</v>
      </c>
      <c r="F32" s="9">
        <v>186</v>
      </c>
      <c r="G32" s="9">
        <v>101</v>
      </c>
      <c r="H32" s="19">
        <f t="shared" si="0"/>
        <v>320</v>
      </c>
      <c r="I32" s="9" t="str">
        <f t="shared" si="1"/>
        <v>Bình thường</v>
      </c>
    </row>
    <row r="33" spans="1:9" x14ac:dyDescent="0.3">
      <c r="A33" s="9" t="s">
        <v>1802</v>
      </c>
      <c r="B33" s="9" t="s">
        <v>17</v>
      </c>
      <c r="C33" s="9" t="str">
        <f>IFERROR(INDEX(Products!$B$2:$B$9,MATCH(B33,Products!$A$2:$A$9,0)),"")</f>
        <v>Trà diếp cá rau má</v>
      </c>
      <c r="D33" s="18" t="s">
        <v>980</v>
      </c>
      <c r="E33" s="18" t="s">
        <v>1803</v>
      </c>
      <c r="F33" s="9">
        <v>136</v>
      </c>
      <c r="G33" s="9">
        <v>52</v>
      </c>
      <c r="H33" s="19">
        <f t="shared" si="0"/>
        <v>325</v>
      </c>
      <c r="I33" s="9" t="str">
        <f t="shared" si="1"/>
        <v>Bình thường</v>
      </c>
    </row>
    <row r="34" spans="1:9" x14ac:dyDescent="0.3">
      <c r="A34" s="9" t="s">
        <v>1804</v>
      </c>
      <c r="B34" s="9" t="s">
        <v>25</v>
      </c>
      <c r="C34" s="9" t="str">
        <f>IFERROR(INDEX(Products!$B$2:$B$9,MATCH(B34,Products!$A$2:$A$9,0)),"")</f>
        <v>Trà hoa đậu biếc</v>
      </c>
      <c r="D34" s="18" t="s">
        <v>1071</v>
      </c>
      <c r="E34" s="18" t="s">
        <v>1805</v>
      </c>
      <c r="F34" s="9">
        <v>186</v>
      </c>
      <c r="G34" s="9">
        <v>31</v>
      </c>
      <c r="H34" s="19">
        <f t="shared" si="0"/>
        <v>330</v>
      </c>
      <c r="I34" s="9" t="str">
        <f t="shared" si="1"/>
        <v>Bình thường</v>
      </c>
    </row>
    <row r="35" spans="1:9" x14ac:dyDescent="0.3">
      <c r="A35" s="9" t="s">
        <v>1806</v>
      </c>
      <c r="B35" s="9" t="s">
        <v>27</v>
      </c>
      <c r="C35" s="9" t="str">
        <f>IFERROR(INDEX(Products!$B$2:$B$9,MATCH(B35,Products!$A$2:$A$9,0)),"")</f>
        <v>Trà gừng mật ong</v>
      </c>
      <c r="D35" s="18" t="s">
        <v>1125</v>
      </c>
      <c r="E35" s="18" t="s">
        <v>1807</v>
      </c>
      <c r="F35" s="9">
        <v>115</v>
      </c>
      <c r="G35" s="9">
        <v>61</v>
      </c>
      <c r="H35" s="19">
        <f t="shared" si="0"/>
        <v>333</v>
      </c>
      <c r="I35" s="9" t="str">
        <f t="shared" si="1"/>
        <v>Bình thường</v>
      </c>
    </row>
    <row r="36" spans="1:9" x14ac:dyDescent="0.3">
      <c r="A36" s="9" t="s">
        <v>1808</v>
      </c>
      <c r="B36" s="9" t="s">
        <v>27</v>
      </c>
      <c r="C36" s="9" t="str">
        <f>IFERROR(INDEX(Products!$B$2:$B$9,MATCH(B36,Products!$A$2:$A$9,0)),"")</f>
        <v>Trà gừng mật ong</v>
      </c>
      <c r="D36" s="18" t="s">
        <v>1139</v>
      </c>
      <c r="E36" s="18" t="s">
        <v>1809</v>
      </c>
      <c r="F36" s="9">
        <v>165</v>
      </c>
      <c r="G36" s="9">
        <v>101</v>
      </c>
      <c r="H36" s="19">
        <f t="shared" si="0"/>
        <v>334</v>
      </c>
      <c r="I36" s="9" t="str">
        <f t="shared" si="1"/>
        <v>Bình thường</v>
      </c>
    </row>
    <row r="37" spans="1:9" x14ac:dyDescent="0.3">
      <c r="A37" s="9" t="s">
        <v>1810</v>
      </c>
      <c r="B37" s="9" t="s">
        <v>15</v>
      </c>
      <c r="C37" s="9" t="str">
        <f>IFERROR(INDEX(Products!$B$2:$B$9,MATCH(B37,Products!$A$2:$A$9,0)),"")</f>
        <v>Trà lá nam sen ổi</v>
      </c>
      <c r="D37" s="18" t="s">
        <v>1300</v>
      </c>
      <c r="E37" s="18" t="s">
        <v>1811</v>
      </c>
      <c r="F37" s="9">
        <v>164</v>
      </c>
      <c r="G37" s="9">
        <v>43</v>
      </c>
      <c r="H37" s="19">
        <f t="shared" si="0"/>
        <v>343</v>
      </c>
      <c r="I37" s="9" t="str">
        <f t="shared" si="1"/>
        <v>Bình thường</v>
      </c>
    </row>
  </sheetData>
  <conditionalFormatting sqref="A5:I37">
    <cfRule type="expression" dxfId="2" priority="2">
      <formula>AND($G5&gt;0,$H5&lt;=15)</formula>
    </cfRule>
    <cfRule type="expression" dxfId="1" priority="3">
      <formula>AND($G5&gt;0,$H5&gt;15,$H5&lt;=30)</formula>
    </cfRule>
    <cfRule type="expression" dxfId="0" priority="4">
      <formula>AND($G5&gt;0,$H5&gt;30)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Products</vt:lpstr>
      <vt:lpstr>PlatformFees</vt:lpstr>
      <vt:lpstr>RawData</vt:lpstr>
      <vt:lpstr>ProductProfitability</vt:lpstr>
      <vt:lpstr>InventoryAlerts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Tú Xuân</cp:lastModifiedBy>
  <cp:revision>1</cp:revision>
  <dcterms:created xsi:type="dcterms:W3CDTF">2026-08-19T14:48:31Z</dcterms:created>
  <dcterms:modified xsi:type="dcterms:W3CDTF">2026-08-19T15:27:33Z</dcterms:modified>
  <dc:language>en-US</dc:language>
</cp:coreProperties>
</file>